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wner Self-Check" sheetId="1" state="visible" r:id="rId1"/>
    <sheet xmlns:r="http://schemas.openxmlformats.org/officeDocument/2006/relationships" name="Market Stage &amp; Fit" sheetId="2" state="visible" r:id="rId2"/>
    <sheet xmlns:r="http://schemas.openxmlformats.org/officeDocument/2006/relationships" name="Offer Scorecard" sheetId="3" state="visible" r:id="rId3"/>
    <sheet xmlns:r="http://schemas.openxmlformats.org/officeDocument/2006/relationships" name="Unit Economics" sheetId="4" state="visible" r:id="rId4"/>
    <sheet xmlns:r="http://schemas.openxmlformats.org/officeDocument/2006/relationships" name="Selling-Point Sprint" sheetId="5" state="visible" r:id="rId5"/>
    <sheet xmlns:r="http://schemas.openxmlformats.org/officeDocument/2006/relationships" name="Hook Library" sheetId="6" state="visible" r:id="rId6"/>
    <sheet xmlns:r="http://schemas.openxmlformats.org/officeDocument/2006/relationships" name="Content Positioning Board" sheetId="7" state="visible" r:id="rId7"/>
    <sheet xmlns:r="http://schemas.openxmlformats.org/officeDocument/2006/relationships" name="Asset Log &amp; Triage" sheetId="8" state="visible" r:id="rId8"/>
    <sheet xmlns:r="http://schemas.openxmlformats.org/officeDocument/2006/relationships" name="Creator Pipeline" sheetId="9" state="visible" r:id="rId9"/>
    <sheet xmlns:r="http://schemas.openxmlformats.org/officeDocument/2006/relationships" name="Paid Ads Diagnosis" sheetId="10" state="visible" r:id="rId10"/>
    <sheet xmlns:r="http://schemas.openxmlformats.org/officeDocument/2006/relationships" name="Scale Ceiling" sheetId="11" state="visible" r:id="rId11"/>
    <sheet xmlns:r="http://schemas.openxmlformats.org/officeDocument/2006/relationships" name="Hypothesis Ledger" sheetId="12" state="visible" r:id="rId12"/>
    <sheet xmlns:r="http://schemas.openxmlformats.org/officeDocument/2006/relationships" name="30-Day Test Sprint" sheetId="13" state="visible" r:id="rId13"/>
    <sheet xmlns:r="http://schemas.openxmlformats.org/officeDocument/2006/relationships" name="Launch Plan" sheetId="14" state="visible" r:id="rId14"/>
    <sheet xmlns:r="http://schemas.openxmlformats.org/officeDocument/2006/relationships" name="Weekly Review" sheetId="15" state="visible" r:id="rId15"/>
    <sheet xmlns:r="http://schemas.openxmlformats.org/officeDocument/2006/relationships" name="Role Manual &amp; KPI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3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165" fontId="0" fillId="0" borderId="0" pivotButton="0" quotePrefix="0" xfId="0"/>
    <xf numFmtId="2" fontId="0" fillId="4" borderId="0" pivotButton="0" quotePrefix="0" xfId="0"/>
    <xf numFmtId="164" fontId="2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57142857142857" customWidth="1" min="1" max="1"/>
    <col width="14.28571428571429" customWidth="1" min="2" max="2"/>
    <col width="17.14285714285714" customWidth="1" min="3" max="3"/>
    <col width="17.14285714285714" customWidth="1" min="4" max="4"/>
    <col width="17.14285714285714" customWidth="1" min="5" max="5"/>
    <col width="17.14285714285714" customWidth="1" min="6" max="6"/>
    <col width="17.14285714285714" customWidth="1" min="7" max="7"/>
    <col width="17.14285714285714" customWidth="1" min="8" max="8"/>
    <col width="15.71428571428571" customWidth="1" min="9" max="9"/>
    <col width="42.85714285714285" customWidth="1" min="10" max="10"/>
    <col width="28.57142857142857" customWidth="1" min="11" max="11"/>
    <col width="34.28571428571428" customWidth="1" min="12" max="12"/>
  </cols>
  <sheetData>
    <row r="1" ht="48" customHeight="1">
      <c r="A1" s="1" t="inlineStr">
        <is>
          <t>Project (one live project per row)</t>
        </is>
      </c>
      <c r="B1" s="1" t="inlineStr">
        <is>
          <t>Review date</t>
        </is>
      </c>
      <c r="C1" s="1" t="inlineStr">
        <is>
          <t>Passion-driven: stock/ads because "I like it" (0/1/2)</t>
        </is>
      </c>
      <c r="D1" s="1" t="inlineStr">
        <is>
          <t>Slogan worship: "blue ocean / hit / live wave" copied in (0/1/2)</t>
        </is>
      </c>
      <c r="E1" s="1" t="inlineStr">
        <is>
          <t>Emotional decisions: swap market/people/play on one ROI dip (0/1/2)</t>
        </is>
      </c>
      <c r="F1" s="1" t="inlineStr">
        <is>
          <t>False analogy: old platform/market playbook moved over as-is (0/1/2)</t>
        </is>
      </c>
      <c r="G1" s="1" t="inlineStr">
        <is>
          <t>Single-point: one hit video or creator → all in (0/1/2)</t>
        </is>
      </c>
      <c r="H1" s="1" t="inlineStr">
        <is>
          <t>No validation: heavy stock/team/spend before a small test (0/1/2)</t>
        </is>
      </c>
      <c r="I1" s="2" t="inlineStr">
        <is>
          <t>Total /12 ƒ</t>
        </is>
      </c>
      <c r="J1" s="2" t="inlineStr">
        <is>
          <t>Reading ƒ</t>
        </is>
      </c>
      <c r="K1" s="1" t="inlineStr">
        <is>
          <t>Fix first (highest-scoring trap)</t>
        </is>
      </c>
      <c r="L1" s="1" t="inlineStr">
        <is>
          <t>Evidence / next validation step</t>
        </is>
      </c>
    </row>
    <row r="2">
      <c r="A2" t="inlineStr">
        <is>
          <t>Example: new market launch</t>
        </is>
      </c>
      <c r="B2" t="inlineStr">
        <is>
          <t>2026-10-01</t>
        </is>
      </c>
      <c r="C2" t="n">
        <v>1</v>
      </c>
      <c r="D2" t="n">
        <v>0</v>
      </c>
      <c r="E2" t="n">
        <v>2</v>
      </c>
      <c r="F2" t="n">
        <v>1</v>
      </c>
      <c r="G2" t="n">
        <v>1</v>
      </c>
      <c r="H2" t="n">
        <v>0</v>
      </c>
      <c r="I2" s="3">
        <f>IF(A2="","",MIN(2,MAX(0,ROUND(C2,0)))+MIN(2,MAX(0,ROUND(D2,0)))+MIN(2,MAX(0,ROUND(E2,0)))+MIN(2,MAX(0,ROUND(F2,0)))+MIN(2,MAX(0,ROUND(G2,0)))+MIN(2,MAX(0,ROUND(H2,0))))</f>
        <v/>
      </c>
      <c r="J2" s="4">
        <f>IF(A2="","",IF(I2&lt;=3,"0-3 Foundation: verification habit; building a decision system",IF(I2&lt;=7,"4-7 Volatile: experience-led, swayed by short-term swings; add validation + retros",IF(I2&lt;=10,"8-10 At risk: emotion, analogy and single-point calls dominate","11-12 High risk: reactive pattern, no validation, cash at risk"))))</f>
        <v/>
      </c>
      <c r="K2" t="inlineStr">
        <is>
          <t>Emotional decisions</t>
        </is>
      </c>
      <c r="L2" t="inlineStr">
        <is>
          <t>Sleep on ROI dips; decide at weekly review with checklist</t>
        </is>
      </c>
    </row>
    <row r="3">
      <c r="I3" s="3">
        <f>IF(A3="","",MIN(2,MAX(0,ROUND(C3,0)))+MIN(2,MAX(0,ROUND(D3,0)))+MIN(2,MAX(0,ROUND(E3,0)))+MIN(2,MAX(0,ROUND(F3,0)))+MIN(2,MAX(0,ROUND(G3,0)))+MIN(2,MAX(0,ROUND(H3,0))))</f>
        <v/>
      </c>
      <c r="J3" s="4">
        <f>IF(A3="","",IF(I3&lt;=3,"0-3 Foundation: verification habit; building a decision system",IF(I3&lt;=7,"4-7 Volatile: experience-led, swayed by short-term swings; add validation + retros",IF(I3&lt;=10,"8-10 At risk: emotion, analogy and single-point calls dominate","11-12 High risk: reactive pattern, no validation, cash at risk"))))</f>
        <v/>
      </c>
    </row>
    <row r="4">
      <c r="I4" s="3">
        <f>IF(A4="","",MIN(2,MAX(0,ROUND(C4,0)))+MIN(2,MAX(0,ROUND(D4,0)))+MIN(2,MAX(0,ROUND(E4,0)))+MIN(2,MAX(0,ROUND(F4,0)))+MIN(2,MAX(0,ROUND(G4,0)))+MIN(2,MAX(0,ROUND(H4,0))))</f>
        <v/>
      </c>
      <c r="J4" s="4">
        <f>IF(A4="","",IF(I4&lt;=3,"0-3 Foundation: verification habit; building a decision system",IF(I4&lt;=7,"4-7 Volatile: experience-led, swayed by short-term swings; add validation + retros",IF(I4&lt;=10,"8-10 At risk: emotion, analogy and single-point calls dominate","11-12 High risk: reactive pattern, no validation, cash at risk"))))</f>
        <v/>
      </c>
    </row>
    <row r="5">
      <c r="I5" s="3">
        <f>IF(A5="","",MIN(2,MAX(0,ROUND(C5,0)))+MIN(2,MAX(0,ROUND(D5,0)))+MIN(2,MAX(0,ROUND(E5,0)))+MIN(2,MAX(0,ROUND(F5,0)))+MIN(2,MAX(0,ROUND(G5,0)))+MIN(2,MAX(0,ROUND(H5,0))))</f>
        <v/>
      </c>
      <c r="J5" s="4">
        <f>IF(A5="","",IF(I5&lt;=3,"0-3 Foundation: verification habit; building a decision system",IF(I5&lt;=7,"4-7 Volatile: experience-led, swayed by short-term swings; add validation + retros",IF(I5&lt;=10,"8-10 At risk: emotion, analogy and single-point calls dominate","11-12 High risk: reactive pattern, no validation, cash at risk"))))</f>
        <v/>
      </c>
    </row>
    <row r="6">
      <c r="I6" s="3">
        <f>IF(A6="","",MIN(2,MAX(0,ROUND(C6,0)))+MIN(2,MAX(0,ROUND(D6,0)))+MIN(2,MAX(0,ROUND(E6,0)))+MIN(2,MAX(0,ROUND(F6,0)))+MIN(2,MAX(0,ROUND(G6,0)))+MIN(2,MAX(0,ROUND(H6,0))))</f>
        <v/>
      </c>
      <c r="J6" s="4">
        <f>IF(A6="","",IF(I6&lt;=3,"0-3 Foundation: verification habit; building a decision system",IF(I6&lt;=7,"4-7 Volatile: experience-led, swayed by short-term swings; add validation + retros",IF(I6&lt;=10,"8-10 At risk: emotion, analogy and single-point calls dominate","11-12 High risk: reactive pattern, no validation, cash at risk"))))</f>
        <v/>
      </c>
    </row>
    <row r="7">
      <c r="I7" s="3">
        <f>IF(A7="","",MIN(2,MAX(0,ROUND(C7,0)))+MIN(2,MAX(0,ROUND(D7,0)))+MIN(2,MAX(0,ROUND(E7,0)))+MIN(2,MAX(0,ROUND(F7,0)))+MIN(2,MAX(0,ROUND(G7,0)))+MIN(2,MAX(0,ROUND(H7,0))))</f>
        <v/>
      </c>
      <c r="J7" s="4">
        <f>IF(A7="","",IF(I7&lt;=3,"0-3 Foundation: verification habit; building a decision system",IF(I7&lt;=7,"4-7 Volatile: experience-led, swayed by short-term swings; add validation + retros",IF(I7&lt;=10,"8-10 At risk: emotion, analogy and single-point calls dominate","11-12 High risk: reactive pattern, no validation, cash at risk"))))</f>
        <v/>
      </c>
    </row>
    <row r="8">
      <c r="I8" s="3">
        <f>IF(A8="","",MIN(2,MAX(0,ROUND(C8,0)))+MIN(2,MAX(0,ROUND(D8,0)))+MIN(2,MAX(0,ROUND(E8,0)))+MIN(2,MAX(0,ROUND(F8,0)))+MIN(2,MAX(0,ROUND(G8,0)))+MIN(2,MAX(0,ROUND(H8,0))))</f>
        <v/>
      </c>
      <c r="J8" s="4">
        <f>IF(A8="","",IF(I8&lt;=3,"0-3 Foundation: verification habit; building a decision system",IF(I8&lt;=7,"4-7 Volatile: experience-led, swayed by short-term swings; add validation + retros",IF(I8&lt;=10,"8-10 At risk: emotion, analogy and single-point calls dominate","11-12 High risk: reactive pattern, no validation, cash at risk"))))</f>
        <v/>
      </c>
    </row>
    <row r="9">
      <c r="I9" s="3">
        <f>IF(A9="","",MIN(2,MAX(0,ROUND(C9,0)))+MIN(2,MAX(0,ROUND(D9,0)))+MIN(2,MAX(0,ROUND(E9,0)))+MIN(2,MAX(0,ROUND(F9,0)))+MIN(2,MAX(0,ROUND(G9,0)))+MIN(2,MAX(0,ROUND(H9,0))))</f>
        <v/>
      </c>
      <c r="J9" s="4">
        <f>IF(A9="","",IF(I9&lt;=3,"0-3 Foundation: verification habit; building a decision system",IF(I9&lt;=7,"4-7 Volatile: experience-led, swayed by short-term swings; add validation + retros",IF(I9&lt;=10,"8-10 At risk: emotion, analogy and single-point calls dominate","11-12 High risk: reactive pattern, no validation, cash at risk"))))</f>
        <v/>
      </c>
    </row>
    <row r="10">
      <c r="I10" s="3">
        <f>IF(A10="","",MIN(2,MAX(0,ROUND(C10,0)))+MIN(2,MAX(0,ROUND(D10,0)))+MIN(2,MAX(0,ROUND(E10,0)))+MIN(2,MAX(0,ROUND(F10,0)))+MIN(2,MAX(0,ROUND(G10,0)))+MIN(2,MAX(0,ROUND(H10,0))))</f>
        <v/>
      </c>
      <c r="J10" s="4">
        <f>IF(A10="","",IF(I10&lt;=3,"0-3 Foundation: verification habit; building a decision system",IF(I10&lt;=7,"4-7 Volatile: experience-led, swayed by short-term swings; add validation + retros",IF(I10&lt;=10,"8-10 At risk: emotion, analogy and single-point calls dominate","11-12 High risk: reactive pattern, no validation, cash at risk"))))</f>
        <v/>
      </c>
    </row>
    <row r="11">
      <c r="I11" s="3">
        <f>IF(A11="","",MIN(2,MAX(0,ROUND(C11,0)))+MIN(2,MAX(0,ROUND(D11,0)))+MIN(2,MAX(0,ROUND(E11,0)))+MIN(2,MAX(0,ROUND(F11,0)))+MIN(2,MAX(0,ROUND(G11,0)))+MIN(2,MAX(0,ROUND(H11,0))))</f>
        <v/>
      </c>
      <c r="J11" s="4">
        <f>IF(A11="","",IF(I11&lt;=3,"0-3 Foundation: verification habit; building a decision system",IF(I11&lt;=7,"4-7 Volatile: experience-led, swayed by short-term swings; add validation + retros",IF(I11&lt;=10,"8-10 At risk: emotion, analogy and single-point calls dominate","11-12 High risk: reactive pattern, no validation, cash at risk"))))</f>
        <v/>
      </c>
    </row>
    <row r="12">
      <c r="I12" s="3">
        <f>IF(A12="","",MIN(2,MAX(0,ROUND(C12,0)))+MIN(2,MAX(0,ROUND(D12,0)))+MIN(2,MAX(0,ROUND(E12,0)))+MIN(2,MAX(0,ROUND(F12,0)))+MIN(2,MAX(0,ROUND(G12,0)))+MIN(2,MAX(0,ROUND(H12,0))))</f>
        <v/>
      </c>
      <c r="J12" s="4">
        <f>IF(A12="","",IF(I12&lt;=3,"0-3 Foundation: verification habit; building a decision system",IF(I12&lt;=7,"4-7 Volatile: experience-led, swayed by short-term swings; add validation + retros",IF(I12&lt;=10,"8-10 At risk: emotion, analogy and single-point calls dominate","11-12 High risk: reactive pattern, no validation, cash at risk"))))</f>
        <v/>
      </c>
    </row>
    <row r="13">
      <c r="I13" s="3">
        <f>IF(A13="","",MIN(2,MAX(0,ROUND(C13,0)))+MIN(2,MAX(0,ROUND(D13,0)))+MIN(2,MAX(0,ROUND(E13,0)))+MIN(2,MAX(0,ROUND(F13,0)))+MIN(2,MAX(0,ROUND(G13,0)))+MIN(2,MAX(0,ROUND(H13,0))))</f>
        <v/>
      </c>
      <c r="J13" s="4">
        <f>IF(A13="","",IF(I13&lt;=3,"0-3 Foundation: verification habit; building a decision system",IF(I13&lt;=7,"4-7 Volatile: experience-led, swayed by short-term swings; add validation + retros",IF(I13&lt;=10,"8-10 At risk: emotion, analogy and single-point calls dominate","11-12 High risk: reactive pattern, no validation, cash at risk"))))</f>
        <v/>
      </c>
    </row>
    <row r="14">
      <c r="I14" s="3">
        <f>IF(A14="","",MIN(2,MAX(0,ROUND(C14,0)))+MIN(2,MAX(0,ROUND(D14,0)))+MIN(2,MAX(0,ROUND(E14,0)))+MIN(2,MAX(0,ROUND(F14,0)))+MIN(2,MAX(0,ROUND(G14,0)))+MIN(2,MAX(0,ROUND(H14,0))))</f>
        <v/>
      </c>
      <c r="J14" s="4">
        <f>IF(A14="","",IF(I14&lt;=3,"0-3 Foundation: verification habit; building a decision system",IF(I14&lt;=7,"4-7 Volatile: experience-led, swayed by short-term swings; add validation + retros",IF(I14&lt;=10,"8-10 At risk: emotion, analogy and single-point calls dominate","11-12 High risk: reactive pattern, no validation, cash at risk"))))</f>
        <v/>
      </c>
    </row>
    <row r="15">
      <c r="I15" s="3">
        <f>IF(A15="","",MIN(2,MAX(0,ROUND(C15,0)))+MIN(2,MAX(0,ROUND(D15,0)))+MIN(2,MAX(0,ROUND(E15,0)))+MIN(2,MAX(0,ROUND(F15,0)))+MIN(2,MAX(0,ROUND(G15,0)))+MIN(2,MAX(0,ROUND(H15,0))))</f>
        <v/>
      </c>
      <c r="J15" s="4">
        <f>IF(A15="","",IF(I15&lt;=3,"0-3 Foundation: verification habit; building a decision system",IF(I15&lt;=7,"4-7 Volatile: experience-led, swayed by short-term swings; add validation + retros",IF(I15&lt;=10,"8-10 At risk: emotion, analogy and single-point calls dominate","11-12 High risk: reactive pattern, no validation, cash at risk"))))</f>
        <v/>
      </c>
    </row>
    <row r="16">
      <c r="I16" s="3">
        <f>IF(A16="","",MIN(2,MAX(0,ROUND(C16,0)))+MIN(2,MAX(0,ROUND(D16,0)))+MIN(2,MAX(0,ROUND(E16,0)))+MIN(2,MAX(0,ROUND(F16,0)))+MIN(2,MAX(0,ROUND(G16,0)))+MIN(2,MAX(0,ROUND(H16,0))))</f>
        <v/>
      </c>
      <c r="J16" s="4">
        <f>IF(A16="","",IF(I16&lt;=3,"0-3 Foundation: verification habit; building a decision system",IF(I16&lt;=7,"4-7 Volatile: experience-led, swayed by short-term swings; add validation + retros",IF(I16&lt;=10,"8-10 At risk: emotion, analogy and single-point calls dominate","11-12 High risk: reactive pattern, no validation, cash at risk"))))</f>
        <v/>
      </c>
    </row>
    <row r="17">
      <c r="I17" s="3">
        <f>IF(A17="","",MIN(2,MAX(0,ROUND(C17,0)))+MIN(2,MAX(0,ROUND(D17,0)))+MIN(2,MAX(0,ROUND(E17,0)))+MIN(2,MAX(0,ROUND(F17,0)))+MIN(2,MAX(0,ROUND(G17,0)))+MIN(2,MAX(0,ROUND(H17,0))))</f>
        <v/>
      </c>
      <c r="J17" s="4">
        <f>IF(A17="","",IF(I17&lt;=3,"0-3 Foundation: verification habit; building a decision system",IF(I17&lt;=7,"4-7 Volatile: experience-led, swayed by short-term swings; add validation + retros",IF(I17&lt;=10,"8-10 At risk: emotion, analogy and single-point calls dominate","11-12 High risk: reactive pattern, no validation, cash at risk"))))</f>
        <v/>
      </c>
    </row>
    <row r="18">
      <c r="I18" s="3">
        <f>IF(A18="","",MIN(2,MAX(0,ROUND(C18,0)))+MIN(2,MAX(0,ROUND(D18,0)))+MIN(2,MAX(0,ROUND(E18,0)))+MIN(2,MAX(0,ROUND(F18,0)))+MIN(2,MAX(0,ROUND(G18,0)))+MIN(2,MAX(0,ROUND(H18,0))))</f>
        <v/>
      </c>
      <c r="J18" s="4">
        <f>IF(A18="","",IF(I18&lt;=3,"0-3 Foundation: verification habit; building a decision system",IF(I18&lt;=7,"4-7 Volatile: experience-led, swayed by short-term swings; add validation + retros",IF(I18&lt;=10,"8-10 At risk: emotion, analogy and single-point calls dominate","11-12 High risk: reactive pattern, no validation, cash at risk"))))</f>
        <v/>
      </c>
    </row>
    <row r="19">
      <c r="I19" s="3">
        <f>IF(A19="","",MIN(2,MAX(0,ROUND(C19,0)))+MIN(2,MAX(0,ROUND(D19,0)))+MIN(2,MAX(0,ROUND(E19,0)))+MIN(2,MAX(0,ROUND(F19,0)))+MIN(2,MAX(0,ROUND(G19,0)))+MIN(2,MAX(0,ROUND(H19,0))))</f>
        <v/>
      </c>
      <c r="J19" s="4">
        <f>IF(A19="","",IF(I19&lt;=3,"0-3 Foundation: verification habit; building a decision system",IF(I19&lt;=7,"4-7 Volatile: experience-led, swayed by short-term swings; add validation + retros",IF(I19&lt;=10,"8-10 At risk: emotion, analogy and single-point calls dominate","11-12 High risk: reactive pattern, no validation, cash at risk"))))</f>
        <v/>
      </c>
    </row>
    <row r="20">
      <c r="I20" s="3">
        <f>IF(A20="","",MIN(2,MAX(0,ROUND(C20,0)))+MIN(2,MAX(0,ROUND(D20,0)))+MIN(2,MAX(0,ROUND(E20,0)))+MIN(2,MAX(0,ROUND(F20,0)))+MIN(2,MAX(0,ROUND(G20,0)))+MIN(2,MAX(0,ROUND(H20,0))))</f>
        <v/>
      </c>
      <c r="J20" s="4">
        <f>IF(A20="","",IF(I20&lt;=3,"0-3 Foundation: verification habit; building a decision system",IF(I20&lt;=7,"4-7 Volatile: experience-led, swayed by short-term swings; add validation + retros",IF(I20&lt;=10,"8-10 At risk: emotion, analogy and single-point calls dominate","11-12 High risk: reactive pattern, no validation, cash at risk"))))</f>
        <v/>
      </c>
    </row>
    <row r="21">
      <c r="I21" s="3">
        <f>IF(A21="","",MIN(2,MAX(0,ROUND(C21,0)))+MIN(2,MAX(0,ROUND(D21,0)))+MIN(2,MAX(0,ROUND(E21,0)))+MIN(2,MAX(0,ROUND(F21,0)))+MIN(2,MAX(0,ROUND(G21,0)))+MIN(2,MAX(0,ROUND(H21,0))))</f>
        <v/>
      </c>
      <c r="J21" s="4">
        <f>IF(A21="","",IF(I21&lt;=3,"0-3 Foundation: verification habit; building a decision system",IF(I21&lt;=7,"4-7 Volatile: experience-led, swayed by short-term swings; add validation + retros",IF(I21&lt;=10,"8-10 At risk: emotion, analogy and single-point calls dominate","11-12 High risk: reactive pattern, no validation, cash at risk"))))</f>
        <v/>
      </c>
    </row>
    <row r="22">
      <c r="I22" s="3">
        <f>IF(A22="","",MIN(2,MAX(0,ROUND(C22,0)))+MIN(2,MAX(0,ROUND(D22,0)))+MIN(2,MAX(0,ROUND(E22,0)))+MIN(2,MAX(0,ROUND(F22,0)))+MIN(2,MAX(0,ROUND(G22,0)))+MIN(2,MAX(0,ROUND(H22,0))))</f>
        <v/>
      </c>
      <c r="J22" s="4">
        <f>IF(A22="","",IF(I22&lt;=3,"0-3 Foundation: verification habit; building a decision system",IF(I22&lt;=7,"4-7 Volatile: experience-led, swayed by short-term swings; add validation + retros",IF(I22&lt;=10,"8-10 At risk: emotion, analogy and single-point calls dominate","11-12 High risk: reactive pattern, no validation, cash at risk"))))</f>
        <v/>
      </c>
    </row>
    <row r="23">
      <c r="I23" s="3">
        <f>IF(A23="","",MIN(2,MAX(0,ROUND(C23,0)))+MIN(2,MAX(0,ROUND(D23,0)))+MIN(2,MAX(0,ROUND(E23,0)))+MIN(2,MAX(0,ROUND(F23,0)))+MIN(2,MAX(0,ROUND(G23,0)))+MIN(2,MAX(0,ROUND(H23,0))))</f>
        <v/>
      </c>
      <c r="J23" s="4">
        <f>IF(A23="","",IF(I23&lt;=3,"0-3 Foundation: verification habit; building a decision system",IF(I23&lt;=7,"4-7 Volatile: experience-led, swayed by short-term swings; add validation + retros",IF(I23&lt;=10,"8-10 At risk: emotion, analogy and single-point calls dominate","11-12 High risk: reactive pattern, no validation, cash at risk"))))</f>
        <v/>
      </c>
    </row>
    <row r="24">
      <c r="I24" s="3">
        <f>IF(A24="","",MIN(2,MAX(0,ROUND(C24,0)))+MIN(2,MAX(0,ROUND(D24,0)))+MIN(2,MAX(0,ROUND(E24,0)))+MIN(2,MAX(0,ROUND(F24,0)))+MIN(2,MAX(0,ROUND(G24,0)))+MIN(2,MAX(0,ROUND(H24,0))))</f>
        <v/>
      </c>
      <c r="J24" s="4">
        <f>IF(A24="","",IF(I24&lt;=3,"0-3 Foundation: verification habit; building a decision system",IF(I24&lt;=7,"4-7 Volatile: experience-led, swayed by short-term swings; add validation + retros",IF(I24&lt;=10,"8-10 At risk: emotion, analogy and single-point calls dominate","11-12 High risk: reactive pattern, no validation, cash at risk"))))</f>
        <v/>
      </c>
    </row>
    <row r="25">
      <c r="I25" s="3">
        <f>IF(A25="","",MIN(2,MAX(0,ROUND(C25,0)))+MIN(2,MAX(0,ROUND(D25,0)))+MIN(2,MAX(0,ROUND(E25,0)))+MIN(2,MAX(0,ROUND(F25,0)))+MIN(2,MAX(0,ROUND(G25,0)))+MIN(2,MAX(0,ROUND(H25,0))))</f>
        <v/>
      </c>
      <c r="J25" s="4">
        <f>IF(A25="","",IF(I25&lt;=3,"0-3 Foundation: verification habit; building a decision system",IF(I25&lt;=7,"4-7 Volatile: experience-led, swayed by short-term swings; add validation + retros",IF(I25&lt;=10,"8-10 At risk: emotion, analogy and single-point calls dominate","11-12 High risk: reactive pattern, no validation, cash at risk"))))</f>
        <v/>
      </c>
    </row>
    <row r="26">
      <c r="I26" s="3">
        <f>IF(A26="","",MIN(2,MAX(0,ROUND(C26,0)))+MIN(2,MAX(0,ROUND(D26,0)))+MIN(2,MAX(0,ROUND(E26,0)))+MIN(2,MAX(0,ROUND(F26,0)))+MIN(2,MAX(0,ROUND(G26,0)))+MIN(2,MAX(0,ROUND(H26,0))))</f>
        <v/>
      </c>
      <c r="J26" s="4">
        <f>IF(A26="","",IF(I26&lt;=3,"0-3 Foundation: verification habit; building a decision system",IF(I26&lt;=7,"4-7 Volatile: experience-led, swayed by short-term swings; add validation + retros",IF(I26&lt;=10,"8-10 At risk: emotion, analogy and single-point calls dominate","11-12 High risk: reactive pattern, no validation, cash at risk"))))</f>
        <v/>
      </c>
    </row>
    <row r="27">
      <c r="I27" s="3">
        <f>IF(A27="","",MIN(2,MAX(0,ROUND(C27,0)))+MIN(2,MAX(0,ROUND(D27,0)))+MIN(2,MAX(0,ROUND(E27,0)))+MIN(2,MAX(0,ROUND(F27,0)))+MIN(2,MAX(0,ROUND(G27,0)))+MIN(2,MAX(0,ROUND(H27,0))))</f>
        <v/>
      </c>
      <c r="J27" s="4">
        <f>IF(A27="","",IF(I27&lt;=3,"0-3 Foundation: verification habit; building a decision system",IF(I27&lt;=7,"4-7 Volatile: experience-led, swayed by short-term swings; add validation + retros",IF(I27&lt;=10,"8-10 At risk: emotion, analogy and single-point calls dominate","11-12 High risk: reactive pattern, no validation, cash at risk"))))</f>
        <v/>
      </c>
    </row>
    <row r="28">
      <c r="I28" s="3">
        <f>IF(A28="","",MIN(2,MAX(0,ROUND(C28,0)))+MIN(2,MAX(0,ROUND(D28,0)))+MIN(2,MAX(0,ROUND(E28,0)))+MIN(2,MAX(0,ROUND(F28,0)))+MIN(2,MAX(0,ROUND(G28,0)))+MIN(2,MAX(0,ROUND(H28,0))))</f>
        <v/>
      </c>
      <c r="J28" s="4">
        <f>IF(A28="","",IF(I28&lt;=3,"0-3 Foundation: verification habit; building a decision system",IF(I28&lt;=7,"4-7 Volatile: experience-led, swayed by short-term swings; add validation + retros",IF(I28&lt;=10,"8-10 At risk: emotion, analogy and single-point calls dominate","11-12 High risk: reactive pattern, no validation, cash at risk"))))</f>
        <v/>
      </c>
    </row>
    <row r="29">
      <c r="I29" s="3">
        <f>IF(A29="","",MIN(2,MAX(0,ROUND(C29,0)))+MIN(2,MAX(0,ROUND(D29,0)))+MIN(2,MAX(0,ROUND(E29,0)))+MIN(2,MAX(0,ROUND(F29,0)))+MIN(2,MAX(0,ROUND(G29,0)))+MIN(2,MAX(0,ROUND(H29,0))))</f>
        <v/>
      </c>
      <c r="J29" s="4">
        <f>IF(A29="","",IF(I29&lt;=3,"0-3 Foundation: verification habit; building a decision system",IF(I29&lt;=7,"4-7 Volatile: experience-led, swayed by short-term swings; add validation + retros",IF(I29&lt;=10,"8-10 At risk: emotion, analogy and single-point calls dominate","11-12 High risk: reactive pattern, no validation, cash at risk"))))</f>
        <v/>
      </c>
    </row>
    <row r="30">
      <c r="I30" s="3">
        <f>IF(A30="","",MIN(2,MAX(0,ROUND(C30,0)))+MIN(2,MAX(0,ROUND(D30,0)))+MIN(2,MAX(0,ROUND(E30,0)))+MIN(2,MAX(0,ROUND(F30,0)))+MIN(2,MAX(0,ROUND(G30,0)))+MIN(2,MAX(0,ROUND(H30,0))))</f>
        <v/>
      </c>
      <c r="J30" s="4">
        <f>IF(A30="","",IF(I30&lt;=3,"0-3 Foundation: verification habit; building a decision system",IF(I30&lt;=7,"4-7 Volatile: experience-led, swayed by short-term swings; add validation + retros",IF(I30&lt;=10,"8-10 At risk: emotion, analogy and single-point calls dominate","11-12 High risk: reactive pattern, no validation, cash at risk"))))</f>
        <v/>
      </c>
    </row>
    <row r="31">
      <c r="I31" s="3">
        <f>IF(A31="","",MIN(2,MAX(0,ROUND(C31,0)))+MIN(2,MAX(0,ROUND(D31,0)))+MIN(2,MAX(0,ROUND(E31,0)))+MIN(2,MAX(0,ROUND(F31,0)))+MIN(2,MAX(0,ROUND(G31,0)))+MIN(2,MAX(0,ROUND(H31,0))))</f>
        <v/>
      </c>
      <c r="J31" s="4">
        <f>IF(A31="","",IF(I31&lt;=3,"0-3 Foundation: verification habit; building a decision system",IF(I31&lt;=7,"4-7 Volatile: experience-led, swayed by short-term swings; add validation + retros",IF(I31&lt;=10,"8-10 At risk: emotion, analogy and single-point calls dominate","11-12 High risk: reactive pattern, no validation, cash at risk"))))</f>
        <v/>
      </c>
    </row>
    <row r="32">
      <c r="I32" s="3">
        <f>IF(A32="","",MIN(2,MAX(0,ROUND(C32,0)))+MIN(2,MAX(0,ROUND(D32,0)))+MIN(2,MAX(0,ROUND(E32,0)))+MIN(2,MAX(0,ROUND(F32,0)))+MIN(2,MAX(0,ROUND(G32,0)))+MIN(2,MAX(0,ROUND(H32,0))))</f>
        <v/>
      </c>
      <c r="J32" s="4">
        <f>IF(A32="","",IF(I32&lt;=3,"0-3 Foundation: verification habit; building a decision system",IF(I32&lt;=7,"4-7 Volatile: experience-led, swayed by short-term swings; add validation + retros",IF(I32&lt;=10,"8-10 At risk: emotion, analogy and single-point calls dominate","11-12 High risk: reactive pattern, no validation, cash at risk"))))</f>
        <v/>
      </c>
    </row>
    <row r="33">
      <c r="I33" s="3">
        <f>IF(A33="","",MIN(2,MAX(0,ROUND(C33,0)))+MIN(2,MAX(0,ROUND(D33,0)))+MIN(2,MAX(0,ROUND(E33,0)))+MIN(2,MAX(0,ROUND(F33,0)))+MIN(2,MAX(0,ROUND(G33,0)))+MIN(2,MAX(0,ROUND(H33,0))))</f>
        <v/>
      </c>
      <c r="J33" s="4">
        <f>IF(A33="","",IF(I33&lt;=3,"0-3 Foundation: verification habit; building a decision system",IF(I33&lt;=7,"4-7 Volatile: experience-led, swayed by short-term swings; add validation + retros",IF(I33&lt;=10,"8-10 At risk: emotion, analogy and single-point calls dominate","11-12 High risk: reactive pattern, no validation, cash at risk"))))</f>
        <v/>
      </c>
    </row>
    <row r="34">
      <c r="I34" s="3">
        <f>IF(A34="","",MIN(2,MAX(0,ROUND(C34,0)))+MIN(2,MAX(0,ROUND(D34,0)))+MIN(2,MAX(0,ROUND(E34,0)))+MIN(2,MAX(0,ROUND(F34,0)))+MIN(2,MAX(0,ROUND(G34,0)))+MIN(2,MAX(0,ROUND(H34,0))))</f>
        <v/>
      </c>
      <c r="J34" s="4">
        <f>IF(A34="","",IF(I34&lt;=3,"0-3 Foundation: verification habit; building a decision system",IF(I34&lt;=7,"4-7 Volatile: experience-led, swayed by short-term swings; add validation + retros",IF(I34&lt;=10,"8-10 At risk: emotion, analogy and single-point calls dominate","11-12 High risk: reactive pattern, no validation, cash at risk"))))</f>
        <v/>
      </c>
    </row>
    <row r="35">
      <c r="I35" s="3">
        <f>IF(A35="","",MIN(2,MAX(0,ROUND(C35,0)))+MIN(2,MAX(0,ROUND(D35,0)))+MIN(2,MAX(0,ROUND(E35,0)))+MIN(2,MAX(0,ROUND(F35,0)))+MIN(2,MAX(0,ROUND(G35,0)))+MIN(2,MAX(0,ROUND(H35,0))))</f>
        <v/>
      </c>
      <c r="J35" s="4">
        <f>IF(A35="","",IF(I35&lt;=3,"0-3 Foundation: verification habit; building a decision system",IF(I35&lt;=7,"4-7 Volatile: experience-led, swayed by short-term swings; add validation + retros",IF(I35&lt;=10,"8-10 At risk: emotion, analogy and single-point calls dominate","11-12 High risk: reactive pattern, no validation, cash at risk"))))</f>
        <v/>
      </c>
    </row>
    <row r="36">
      <c r="I36" s="3">
        <f>IF(A36="","",MIN(2,MAX(0,ROUND(C36,0)))+MIN(2,MAX(0,ROUND(D36,0)))+MIN(2,MAX(0,ROUND(E36,0)))+MIN(2,MAX(0,ROUND(F36,0)))+MIN(2,MAX(0,ROUND(G36,0)))+MIN(2,MAX(0,ROUND(H36,0))))</f>
        <v/>
      </c>
      <c r="J36" s="4">
        <f>IF(A36="","",IF(I36&lt;=3,"0-3 Foundation: verification habit; building a decision system",IF(I36&lt;=7,"4-7 Volatile: experience-led, swayed by short-term swings; add validation + retros",IF(I36&lt;=10,"8-10 At risk: emotion, analogy and single-point calls dominate","11-12 High risk: reactive pattern, no validation, cash at risk"))))</f>
        <v/>
      </c>
    </row>
    <row r="37">
      <c r="I37" s="3">
        <f>IF(A37="","",MIN(2,MAX(0,ROUND(C37,0)))+MIN(2,MAX(0,ROUND(D37,0)))+MIN(2,MAX(0,ROUND(E37,0)))+MIN(2,MAX(0,ROUND(F37,0)))+MIN(2,MAX(0,ROUND(G37,0)))+MIN(2,MAX(0,ROUND(H37,0))))</f>
        <v/>
      </c>
      <c r="J37" s="4">
        <f>IF(A37="","",IF(I37&lt;=3,"0-3 Foundation: verification habit; building a decision system",IF(I37&lt;=7,"4-7 Volatile: experience-led, swayed by short-term swings; add validation + retros",IF(I37&lt;=10,"8-10 At risk: emotion, analogy and single-point calls dominate","11-12 High risk: reactive pattern, no validation, cash at risk"))))</f>
        <v/>
      </c>
    </row>
    <row r="38">
      <c r="I38" s="3">
        <f>IF(A38="","",MIN(2,MAX(0,ROUND(C38,0)))+MIN(2,MAX(0,ROUND(D38,0)))+MIN(2,MAX(0,ROUND(E38,0)))+MIN(2,MAX(0,ROUND(F38,0)))+MIN(2,MAX(0,ROUND(G38,0)))+MIN(2,MAX(0,ROUND(H38,0))))</f>
        <v/>
      </c>
      <c r="J38" s="4">
        <f>IF(A38="","",IF(I38&lt;=3,"0-3 Foundation: verification habit; building a decision system",IF(I38&lt;=7,"4-7 Volatile: experience-led, swayed by short-term swings; add validation + retros",IF(I38&lt;=10,"8-10 At risk: emotion, analogy and single-point calls dominate","11-12 High risk: reactive pattern, no validation, cash at risk"))))</f>
        <v/>
      </c>
    </row>
    <row r="39">
      <c r="I39" s="3">
        <f>IF(A39="","",MIN(2,MAX(0,ROUND(C39,0)))+MIN(2,MAX(0,ROUND(D39,0)))+MIN(2,MAX(0,ROUND(E39,0)))+MIN(2,MAX(0,ROUND(F39,0)))+MIN(2,MAX(0,ROUND(G39,0)))+MIN(2,MAX(0,ROUND(H39,0))))</f>
        <v/>
      </c>
      <c r="J39" s="4">
        <f>IF(A39="","",IF(I39&lt;=3,"0-3 Foundation: verification habit; building a decision system",IF(I39&lt;=7,"4-7 Volatile: experience-led, swayed by short-term swings; add validation + retros",IF(I39&lt;=10,"8-10 At risk: emotion, analogy and single-point calls dominate","11-12 High risk: reactive pattern, no validation, cash at risk"))))</f>
        <v/>
      </c>
    </row>
    <row r="40">
      <c r="I40" s="3">
        <f>IF(A40="","",MIN(2,MAX(0,ROUND(C40,0)))+MIN(2,MAX(0,ROUND(D40,0)))+MIN(2,MAX(0,ROUND(E40,0)))+MIN(2,MAX(0,ROUND(F40,0)))+MIN(2,MAX(0,ROUND(G40,0)))+MIN(2,MAX(0,ROUND(H40,0))))</f>
        <v/>
      </c>
      <c r="J40" s="4">
        <f>IF(A40="","",IF(I40&lt;=3,"0-3 Foundation: verification habit; building a decision system",IF(I40&lt;=7,"4-7 Volatile: experience-led, swayed by short-term swings; add validation + retros",IF(I40&lt;=10,"8-10 At risk: emotion, analogy and single-point calls dominate","11-12 High risk: reactive pattern, no validation, cash at risk"))))</f>
        <v/>
      </c>
    </row>
    <row r="41">
      <c r="I41" s="3">
        <f>IF(A41="","",MIN(2,MAX(0,ROUND(C41,0)))+MIN(2,MAX(0,ROUND(D41,0)))+MIN(2,MAX(0,ROUND(E41,0)))+MIN(2,MAX(0,ROUND(F41,0)))+MIN(2,MAX(0,ROUND(G41,0)))+MIN(2,MAX(0,ROUND(H41,0))))</f>
        <v/>
      </c>
      <c r="J41" s="4">
        <f>IF(A41="","",IF(I41&lt;=3,"0-3 Foundation: verification habit; building a decision system",IF(I41&lt;=7,"4-7 Volatile: experience-led, swayed by short-term swings; add validation + retros",IF(I41&lt;=10,"8-10 At risk: emotion, analogy and single-point calls dominate","11-12 High risk: reactive pattern, no validation, cash at risk"))))</f>
        <v/>
      </c>
    </row>
    <row r="42">
      <c r="I42" s="3">
        <f>IF(A42="","",MIN(2,MAX(0,ROUND(C42,0)))+MIN(2,MAX(0,ROUND(D42,0)))+MIN(2,MAX(0,ROUND(E42,0)))+MIN(2,MAX(0,ROUND(F42,0)))+MIN(2,MAX(0,ROUND(G42,0)))+MIN(2,MAX(0,ROUND(H42,0))))</f>
        <v/>
      </c>
      <c r="J42" s="4">
        <f>IF(A42="","",IF(I42&lt;=3,"0-3 Foundation: verification habit; building a decision system",IF(I42&lt;=7,"4-7 Volatile: experience-led, swayed by short-term swings; add validation + retros",IF(I42&lt;=10,"8-10 At risk: emotion, analogy and single-point calls dominate","11-12 High risk: reactive pattern, no validation, cash at risk"))))</f>
        <v/>
      </c>
    </row>
    <row r="43">
      <c r="I43" s="3">
        <f>IF(A43="","",MIN(2,MAX(0,ROUND(C43,0)))+MIN(2,MAX(0,ROUND(D43,0)))+MIN(2,MAX(0,ROUND(E43,0)))+MIN(2,MAX(0,ROUND(F43,0)))+MIN(2,MAX(0,ROUND(G43,0)))+MIN(2,MAX(0,ROUND(H43,0))))</f>
        <v/>
      </c>
      <c r="J43" s="4">
        <f>IF(A43="","",IF(I43&lt;=3,"0-3 Foundation: verification habit; building a decision system",IF(I43&lt;=7,"4-7 Volatile: experience-led, swayed by short-term swings; add validation + retros",IF(I43&lt;=10,"8-10 At risk: emotion, analogy and single-point calls dominate","11-12 High risk: reactive pattern, no validation, cash at risk"))))</f>
        <v/>
      </c>
    </row>
    <row r="44">
      <c r="I44" s="3">
        <f>IF(A44="","",MIN(2,MAX(0,ROUND(C44,0)))+MIN(2,MAX(0,ROUND(D44,0)))+MIN(2,MAX(0,ROUND(E44,0)))+MIN(2,MAX(0,ROUND(F44,0)))+MIN(2,MAX(0,ROUND(G44,0)))+MIN(2,MAX(0,ROUND(H44,0))))</f>
        <v/>
      </c>
      <c r="J44" s="4">
        <f>IF(A44="","",IF(I44&lt;=3,"0-3 Foundation: verification habit; building a decision system",IF(I44&lt;=7,"4-7 Volatile: experience-led, swayed by short-term swings; add validation + retros",IF(I44&lt;=10,"8-10 At risk: emotion, analogy and single-point calls dominate","11-12 High risk: reactive pattern, no validation, cash at risk"))))</f>
        <v/>
      </c>
    </row>
    <row r="45">
      <c r="I45" s="3">
        <f>IF(A45="","",MIN(2,MAX(0,ROUND(C45,0)))+MIN(2,MAX(0,ROUND(D45,0)))+MIN(2,MAX(0,ROUND(E45,0)))+MIN(2,MAX(0,ROUND(F45,0)))+MIN(2,MAX(0,ROUND(G45,0)))+MIN(2,MAX(0,ROUND(H45,0))))</f>
        <v/>
      </c>
      <c r="J45" s="4">
        <f>IF(A45="","",IF(I45&lt;=3,"0-3 Foundation: verification habit; building a decision system",IF(I45&lt;=7,"4-7 Volatile: experience-led, swayed by short-term swings; add validation + retros",IF(I45&lt;=10,"8-10 At risk: emotion, analogy and single-point calls dominate","11-12 High risk: reactive pattern, no validation, cash at risk"))))</f>
        <v/>
      </c>
    </row>
    <row r="46">
      <c r="I46" s="3">
        <f>IF(A46="","",MIN(2,MAX(0,ROUND(C46,0)))+MIN(2,MAX(0,ROUND(D46,0)))+MIN(2,MAX(0,ROUND(E46,0)))+MIN(2,MAX(0,ROUND(F46,0)))+MIN(2,MAX(0,ROUND(G46,0)))+MIN(2,MAX(0,ROUND(H46,0))))</f>
        <v/>
      </c>
      <c r="J46" s="4">
        <f>IF(A46="","",IF(I46&lt;=3,"0-3 Foundation: verification habit; building a decision system",IF(I46&lt;=7,"4-7 Volatile: experience-led, swayed by short-term swings; add validation + retros",IF(I46&lt;=10,"8-10 At risk: emotion, analogy and single-point calls dominate","11-12 High risk: reactive pattern, no validation, cash at risk"))))</f>
        <v/>
      </c>
    </row>
    <row r="47">
      <c r="I47" s="3">
        <f>IF(A47="","",MIN(2,MAX(0,ROUND(C47,0)))+MIN(2,MAX(0,ROUND(D47,0)))+MIN(2,MAX(0,ROUND(E47,0)))+MIN(2,MAX(0,ROUND(F47,0)))+MIN(2,MAX(0,ROUND(G47,0)))+MIN(2,MAX(0,ROUND(H47,0))))</f>
        <v/>
      </c>
      <c r="J47" s="4">
        <f>IF(A47="","",IF(I47&lt;=3,"0-3 Foundation: verification habit; building a decision system",IF(I47&lt;=7,"4-7 Volatile: experience-led, swayed by short-term swings; add validation + retros",IF(I47&lt;=10,"8-10 At risk: emotion, analogy and single-point calls dominate","11-12 High risk: reactive pattern, no validation, cash at risk"))))</f>
        <v/>
      </c>
    </row>
    <row r="48">
      <c r="I48" s="3">
        <f>IF(A48="","",MIN(2,MAX(0,ROUND(C48,0)))+MIN(2,MAX(0,ROUND(D48,0)))+MIN(2,MAX(0,ROUND(E48,0)))+MIN(2,MAX(0,ROUND(F48,0)))+MIN(2,MAX(0,ROUND(G48,0)))+MIN(2,MAX(0,ROUND(H48,0))))</f>
        <v/>
      </c>
      <c r="J48" s="4">
        <f>IF(A48="","",IF(I48&lt;=3,"0-3 Foundation: verification habit; building a decision system",IF(I48&lt;=7,"4-7 Volatile: experience-led, swayed by short-term swings; add validation + retros",IF(I48&lt;=10,"8-10 At risk: emotion, analogy and single-point calls dominate","11-12 High risk: reactive pattern, no validation, cash at risk"))))</f>
        <v/>
      </c>
    </row>
    <row r="49">
      <c r="I49" s="3">
        <f>IF(A49="","",MIN(2,MAX(0,ROUND(C49,0)))+MIN(2,MAX(0,ROUND(D49,0)))+MIN(2,MAX(0,ROUND(E49,0)))+MIN(2,MAX(0,ROUND(F49,0)))+MIN(2,MAX(0,ROUND(G49,0)))+MIN(2,MAX(0,ROUND(H49,0))))</f>
        <v/>
      </c>
      <c r="J49" s="4">
        <f>IF(A49="","",IF(I49&lt;=3,"0-3 Foundation: verification habit; building a decision system",IF(I49&lt;=7,"4-7 Volatile: experience-led, swayed by short-term swings; add validation + retros",IF(I49&lt;=10,"8-10 At risk: emotion, analogy and single-point calls dominate","11-12 High risk: reactive pattern, no validation, cash at risk"))))</f>
        <v/>
      </c>
    </row>
    <row r="50">
      <c r="I50" s="3">
        <f>IF(A50="","",MIN(2,MAX(0,ROUND(C50,0)))+MIN(2,MAX(0,ROUND(D50,0)))+MIN(2,MAX(0,ROUND(E50,0)))+MIN(2,MAX(0,ROUND(F50,0)))+MIN(2,MAX(0,ROUND(G50,0)))+MIN(2,MAX(0,ROUND(H50,0))))</f>
        <v/>
      </c>
      <c r="J50" s="4">
        <f>IF(A50="","",IF(I50&lt;=3,"0-3 Foundation: verification habit; building a decision system",IF(I50&lt;=7,"4-7 Volatile: experience-led, swayed by short-term swings; add validation + retros",IF(I50&lt;=10,"8-10 At risk: emotion, analogy and single-point calls dominate","11-12 High risk: reactive pattern, no validation, cash at risk"))))</f>
        <v/>
      </c>
    </row>
    <row r="51">
      <c r="I51" s="3">
        <f>IF(A51="","",MIN(2,MAX(0,ROUND(C51,0)))+MIN(2,MAX(0,ROUND(D51,0)))+MIN(2,MAX(0,ROUND(E51,0)))+MIN(2,MAX(0,ROUND(F51,0)))+MIN(2,MAX(0,ROUND(G51,0)))+MIN(2,MAX(0,ROUND(H51,0))))</f>
        <v/>
      </c>
      <c r="J51" s="4">
        <f>IF(A51="","",IF(I51&lt;=3,"0-3 Foundation: verification habit; building a decision system",IF(I51&lt;=7,"4-7 Volatile: experience-led, swayed by short-term swings; add validation + retros",IF(I51&lt;=10,"8-10 At risk: emotion, analogy and single-point calls dominate","11-12 High risk: reactive pattern, no validation, cash at risk"))))</f>
        <v/>
      </c>
    </row>
    <row r="52">
      <c r="I52" s="3">
        <f>IF(A52="","",MIN(2,MAX(0,ROUND(C52,0)))+MIN(2,MAX(0,ROUND(D52,0)))+MIN(2,MAX(0,ROUND(E52,0)))+MIN(2,MAX(0,ROUND(F52,0)))+MIN(2,MAX(0,ROUND(G52,0)))+MIN(2,MAX(0,ROUND(H52,0))))</f>
        <v/>
      </c>
      <c r="J52" s="4">
        <f>IF(A52="","",IF(I52&lt;=3,"0-3 Foundation: verification habit; building a decision system",IF(I52&lt;=7,"4-7 Volatile: experience-led, swayed by short-term swings; add validation + retros",IF(I52&lt;=10,"8-10 At risk: emotion, analogy and single-point calls dominate","11-12 High risk: reactive pattern, no validation, cash at risk"))))</f>
        <v/>
      </c>
    </row>
    <row r="53">
      <c r="I53" s="3">
        <f>IF(A53="","",MIN(2,MAX(0,ROUND(C53,0)))+MIN(2,MAX(0,ROUND(D53,0)))+MIN(2,MAX(0,ROUND(E53,0)))+MIN(2,MAX(0,ROUND(F53,0)))+MIN(2,MAX(0,ROUND(G53,0)))+MIN(2,MAX(0,ROUND(H53,0))))</f>
        <v/>
      </c>
      <c r="J53" s="4">
        <f>IF(A53="","",IF(I53&lt;=3,"0-3 Foundation: verification habit; building a decision system",IF(I53&lt;=7,"4-7 Volatile: experience-led, swayed by short-term swings; add validation + retros",IF(I53&lt;=10,"8-10 At risk: emotion, analogy and single-point calls dominate","11-12 High risk: reactive pattern, no validation, cash at risk"))))</f>
        <v/>
      </c>
    </row>
    <row r="54">
      <c r="I54" s="3">
        <f>IF(A54="","",MIN(2,MAX(0,ROUND(C54,0)))+MIN(2,MAX(0,ROUND(D54,0)))+MIN(2,MAX(0,ROUND(E54,0)))+MIN(2,MAX(0,ROUND(F54,0)))+MIN(2,MAX(0,ROUND(G54,0)))+MIN(2,MAX(0,ROUND(H54,0))))</f>
        <v/>
      </c>
      <c r="J54" s="4">
        <f>IF(A54="","",IF(I54&lt;=3,"0-3 Foundation: verification habit; building a decision system",IF(I54&lt;=7,"4-7 Volatile: experience-led, swayed by short-term swings; add validation + retros",IF(I54&lt;=10,"8-10 At risk: emotion, analogy and single-point calls dominate","11-12 High risk: reactive pattern, no validation, cash at risk"))))</f>
        <v/>
      </c>
    </row>
    <row r="55">
      <c r="I55" s="3">
        <f>IF(A55="","",MIN(2,MAX(0,ROUND(C55,0)))+MIN(2,MAX(0,ROUND(D55,0)))+MIN(2,MAX(0,ROUND(E55,0)))+MIN(2,MAX(0,ROUND(F55,0)))+MIN(2,MAX(0,ROUND(G55,0)))+MIN(2,MAX(0,ROUND(H55,0))))</f>
        <v/>
      </c>
      <c r="J55" s="4">
        <f>IF(A55="","",IF(I55&lt;=3,"0-3 Foundation: verification habit; building a decision system",IF(I55&lt;=7,"4-7 Volatile: experience-led, swayed by short-term swings; add validation + retros",IF(I55&lt;=10,"8-10 At risk: emotion, analogy and single-point calls dominate","11-12 High risk: reactive pattern, no validation, cash at risk"))))</f>
        <v/>
      </c>
    </row>
    <row r="56">
      <c r="I56" s="3">
        <f>IF(A56="","",MIN(2,MAX(0,ROUND(C56,0)))+MIN(2,MAX(0,ROUND(D56,0)))+MIN(2,MAX(0,ROUND(E56,0)))+MIN(2,MAX(0,ROUND(F56,0)))+MIN(2,MAX(0,ROUND(G56,0)))+MIN(2,MAX(0,ROUND(H56,0))))</f>
        <v/>
      </c>
      <c r="J56" s="4">
        <f>IF(A56="","",IF(I56&lt;=3,"0-3 Foundation: verification habit; building a decision system",IF(I56&lt;=7,"4-7 Volatile: experience-led, swayed by short-term swings; add validation + retros",IF(I56&lt;=10,"8-10 At risk: emotion, analogy and single-point calls dominate","11-12 High risk: reactive pattern, no validation, cash at risk"))))</f>
        <v/>
      </c>
    </row>
    <row r="57">
      <c r="I57" s="3">
        <f>IF(A57="","",MIN(2,MAX(0,ROUND(C57,0)))+MIN(2,MAX(0,ROUND(D57,0)))+MIN(2,MAX(0,ROUND(E57,0)))+MIN(2,MAX(0,ROUND(F57,0)))+MIN(2,MAX(0,ROUND(G57,0)))+MIN(2,MAX(0,ROUND(H57,0))))</f>
        <v/>
      </c>
      <c r="J57" s="4">
        <f>IF(A57="","",IF(I57&lt;=3,"0-3 Foundation: verification habit; building a decision system",IF(I57&lt;=7,"4-7 Volatile: experience-led, swayed by short-term swings; add validation + retros",IF(I57&lt;=10,"8-10 At risk: emotion, analogy and single-point calls dominate","11-12 High risk: reactive pattern, no validation, cash at risk"))))</f>
        <v/>
      </c>
    </row>
    <row r="58">
      <c r="I58" s="3">
        <f>IF(A58="","",MIN(2,MAX(0,ROUND(C58,0)))+MIN(2,MAX(0,ROUND(D58,0)))+MIN(2,MAX(0,ROUND(E58,0)))+MIN(2,MAX(0,ROUND(F58,0)))+MIN(2,MAX(0,ROUND(G58,0)))+MIN(2,MAX(0,ROUND(H58,0))))</f>
        <v/>
      </c>
      <c r="J58" s="4">
        <f>IF(A58="","",IF(I58&lt;=3,"0-3 Foundation: verification habit; building a decision system",IF(I58&lt;=7,"4-7 Volatile: experience-led, swayed by short-term swings; add validation + retros",IF(I58&lt;=10,"8-10 At risk: emotion, analogy and single-point calls dominate","11-12 High risk: reactive pattern, no validation, cash at risk"))))</f>
        <v/>
      </c>
    </row>
    <row r="59">
      <c r="I59" s="3">
        <f>IF(A59="","",MIN(2,MAX(0,ROUND(C59,0)))+MIN(2,MAX(0,ROUND(D59,0)))+MIN(2,MAX(0,ROUND(E59,0)))+MIN(2,MAX(0,ROUND(F59,0)))+MIN(2,MAX(0,ROUND(G59,0)))+MIN(2,MAX(0,ROUND(H59,0))))</f>
        <v/>
      </c>
      <c r="J59" s="4">
        <f>IF(A59="","",IF(I59&lt;=3,"0-3 Foundation: verification habit; building a decision system",IF(I59&lt;=7,"4-7 Volatile: experience-led, swayed by short-term swings; add validation + retros",IF(I59&lt;=10,"8-10 At risk: emotion, analogy and single-point calls dominate","11-12 High risk: reactive pattern, no validation, cash at risk"))))</f>
        <v/>
      </c>
    </row>
    <row r="60">
      <c r="I60" s="3">
        <f>IF(A60="","",MIN(2,MAX(0,ROUND(C60,0)))+MIN(2,MAX(0,ROUND(D60,0)))+MIN(2,MAX(0,ROUND(E60,0)))+MIN(2,MAX(0,ROUND(F60,0)))+MIN(2,MAX(0,ROUND(G60,0)))+MIN(2,MAX(0,ROUND(H60,0))))</f>
        <v/>
      </c>
      <c r="J60" s="4">
        <f>IF(A60="","",IF(I60&lt;=3,"0-3 Foundation: verification habit; building a decision system",IF(I60&lt;=7,"4-7 Volatile: experience-led, swayed by short-term swings; add validation + retros",IF(I60&lt;=10,"8-10 At risk: emotion, analogy and single-point calls dominate","11-12 High risk: reactive pattern, no validation, cash at risk"))))</f>
        <v/>
      </c>
    </row>
    <row r="61">
      <c r="I61" s="3">
        <f>IF(A61="","",MIN(2,MAX(0,ROUND(C61,0)))+MIN(2,MAX(0,ROUND(D61,0)))+MIN(2,MAX(0,ROUND(E61,0)))+MIN(2,MAX(0,ROUND(F61,0)))+MIN(2,MAX(0,ROUND(G61,0)))+MIN(2,MAX(0,ROUND(H61,0))))</f>
        <v/>
      </c>
      <c r="J61" s="4">
        <f>IF(A61="","",IF(I61&lt;=3,"0-3 Foundation: verification habit; building a decision system",IF(I61&lt;=7,"4-7 Volatile: experience-led, swayed by short-term swings; add validation + retros",IF(I61&lt;=10,"8-10 At risk: emotion, analogy and single-point calls dominate","11-12 High risk: reactive pattern, no validation, cash at risk"))))</f>
        <v/>
      </c>
    </row>
    <row r="62">
      <c r="I62" s="3">
        <f>IF(A62="","",MIN(2,MAX(0,ROUND(C62,0)))+MIN(2,MAX(0,ROUND(D62,0)))+MIN(2,MAX(0,ROUND(E62,0)))+MIN(2,MAX(0,ROUND(F62,0)))+MIN(2,MAX(0,ROUND(G62,0)))+MIN(2,MAX(0,ROUND(H62,0))))</f>
        <v/>
      </c>
      <c r="J62" s="4">
        <f>IF(A62="","",IF(I62&lt;=3,"0-3 Foundation: verification habit; building a decision system",IF(I62&lt;=7,"4-7 Volatile: experience-led, swayed by short-term swings; add validation + retros",IF(I62&lt;=10,"8-10 At risk: emotion, analogy and single-point calls dominate","11-12 High risk: reactive pattern, no validation, cash at risk"))))</f>
        <v/>
      </c>
    </row>
    <row r="63">
      <c r="I63" s="3">
        <f>IF(A63="","",MIN(2,MAX(0,ROUND(C63,0)))+MIN(2,MAX(0,ROUND(D63,0)))+MIN(2,MAX(0,ROUND(E63,0)))+MIN(2,MAX(0,ROUND(F63,0)))+MIN(2,MAX(0,ROUND(G63,0)))+MIN(2,MAX(0,ROUND(H63,0))))</f>
        <v/>
      </c>
      <c r="J63" s="4">
        <f>IF(A63="","",IF(I63&lt;=3,"0-3 Foundation: verification habit; building a decision system",IF(I63&lt;=7,"4-7 Volatile: experience-led, swayed by short-term swings; add validation + retros",IF(I63&lt;=10,"8-10 At risk: emotion, analogy and single-point calls dominate","11-12 High risk: reactive pattern, no validation, cash at risk"))))</f>
        <v/>
      </c>
    </row>
    <row r="64">
      <c r="I64" s="3">
        <f>IF(A64="","",MIN(2,MAX(0,ROUND(C64,0)))+MIN(2,MAX(0,ROUND(D64,0)))+MIN(2,MAX(0,ROUND(E64,0)))+MIN(2,MAX(0,ROUND(F64,0)))+MIN(2,MAX(0,ROUND(G64,0)))+MIN(2,MAX(0,ROUND(H64,0))))</f>
        <v/>
      </c>
      <c r="J64" s="4">
        <f>IF(A64="","",IF(I64&lt;=3,"0-3 Foundation: verification habit; building a decision system",IF(I64&lt;=7,"4-7 Volatile: experience-led, swayed by short-term swings; add validation + retros",IF(I64&lt;=10,"8-10 At risk: emotion, analogy and single-point calls dominate","11-12 High risk: reactive pattern, no validation, cash at risk"))))</f>
        <v/>
      </c>
    </row>
    <row r="65">
      <c r="I65" s="3">
        <f>IF(A65="","",MIN(2,MAX(0,ROUND(C65,0)))+MIN(2,MAX(0,ROUND(D65,0)))+MIN(2,MAX(0,ROUND(E65,0)))+MIN(2,MAX(0,ROUND(F65,0)))+MIN(2,MAX(0,ROUND(G65,0)))+MIN(2,MAX(0,ROUND(H65,0))))</f>
        <v/>
      </c>
      <c r="J65" s="4">
        <f>IF(A65="","",IF(I65&lt;=3,"0-3 Foundation: verification habit; building a decision system",IF(I65&lt;=7,"4-7 Volatile: experience-led, swayed by short-term swings; add validation + retros",IF(I65&lt;=10,"8-10 At risk: emotion, analogy and single-point calls dominate","11-12 High risk: reactive pattern, no validation, cash at risk"))))</f>
        <v/>
      </c>
    </row>
    <row r="66">
      <c r="I66" s="3">
        <f>IF(A66="","",MIN(2,MAX(0,ROUND(C66,0)))+MIN(2,MAX(0,ROUND(D66,0)))+MIN(2,MAX(0,ROUND(E66,0)))+MIN(2,MAX(0,ROUND(F66,0)))+MIN(2,MAX(0,ROUND(G66,0)))+MIN(2,MAX(0,ROUND(H66,0))))</f>
        <v/>
      </c>
      <c r="J66" s="4">
        <f>IF(A66="","",IF(I66&lt;=3,"0-3 Foundation: verification habit; building a decision system",IF(I66&lt;=7,"4-7 Volatile: experience-led, swayed by short-term swings; add validation + retros",IF(I66&lt;=10,"8-10 At risk: emotion, analogy and single-point calls dominate","11-12 High risk: reactive pattern, no validation, cash at risk"))))</f>
        <v/>
      </c>
    </row>
    <row r="67">
      <c r="I67" s="3">
        <f>IF(A67="","",MIN(2,MAX(0,ROUND(C67,0)))+MIN(2,MAX(0,ROUND(D67,0)))+MIN(2,MAX(0,ROUND(E67,0)))+MIN(2,MAX(0,ROUND(F67,0)))+MIN(2,MAX(0,ROUND(G67,0)))+MIN(2,MAX(0,ROUND(H67,0))))</f>
        <v/>
      </c>
      <c r="J67" s="4">
        <f>IF(A67="","",IF(I67&lt;=3,"0-3 Foundation: verification habit; building a decision system",IF(I67&lt;=7,"4-7 Volatile: experience-led, swayed by short-term swings; add validation + retros",IF(I67&lt;=10,"8-10 At risk: emotion, analogy and single-point calls dominate","11-12 High risk: reactive pattern, no validation, cash at risk"))))</f>
        <v/>
      </c>
    </row>
    <row r="68">
      <c r="I68" s="3">
        <f>IF(A68="","",MIN(2,MAX(0,ROUND(C68,0)))+MIN(2,MAX(0,ROUND(D68,0)))+MIN(2,MAX(0,ROUND(E68,0)))+MIN(2,MAX(0,ROUND(F68,0)))+MIN(2,MAX(0,ROUND(G68,0)))+MIN(2,MAX(0,ROUND(H68,0))))</f>
        <v/>
      </c>
      <c r="J68" s="4">
        <f>IF(A68="","",IF(I68&lt;=3,"0-3 Foundation: verification habit; building a decision system",IF(I68&lt;=7,"4-7 Volatile: experience-led, swayed by short-term swings; add validation + retros",IF(I68&lt;=10,"8-10 At risk: emotion, analogy and single-point calls dominate","11-12 High risk: reactive pattern, no validation, cash at risk"))))</f>
        <v/>
      </c>
    </row>
    <row r="69">
      <c r="I69" s="3">
        <f>IF(A69="","",MIN(2,MAX(0,ROUND(C69,0)))+MIN(2,MAX(0,ROUND(D69,0)))+MIN(2,MAX(0,ROUND(E69,0)))+MIN(2,MAX(0,ROUND(F69,0)))+MIN(2,MAX(0,ROUND(G69,0)))+MIN(2,MAX(0,ROUND(H69,0))))</f>
        <v/>
      </c>
      <c r="J69" s="4">
        <f>IF(A69="","",IF(I69&lt;=3,"0-3 Foundation: verification habit; building a decision system",IF(I69&lt;=7,"4-7 Volatile: experience-led, swayed by short-term swings; add validation + retros",IF(I69&lt;=10,"8-10 At risk: emotion, analogy and single-point calls dominate","11-12 High risk: reactive pattern, no validation, cash at risk"))))</f>
        <v/>
      </c>
    </row>
    <row r="70">
      <c r="I70" s="3">
        <f>IF(A70="","",MIN(2,MAX(0,ROUND(C70,0)))+MIN(2,MAX(0,ROUND(D70,0)))+MIN(2,MAX(0,ROUND(E70,0)))+MIN(2,MAX(0,ROUND(F70,0)))+MIN(2,MAX(0,ROUND(G70,0)))+MIN(2,MAX(0,ROUND(H70,0))))</f>
        <v/>
      </c>
      <c r="J70" s="4">
        <f>IF(A70="","",IF(I70&lt;=3,"0-3 Foundation: verification habit; building a decision system",IF(I70&lt;=7,"4-7 Volatile: experience-led, swayed by short-term swings; add validation + retros",IF(I70&lt;=10,"8-10 At risk: emotion, analogy and single-point calls dominate","11-12 High risk: reactive pattern, no validation, cash at risk"))))</f>
        <v/>
      </c>
    </row>
    <row r="71">
      <c r="I71" s="3">
        <f>IF(A71="","",MIN(2,MAX(0,ROUND(C71,0)))+MIN(2,MAX(0,ROUND(D71,0)))+MIN(2,MAX(0,ROUND(E71,0)))+MIN(2,MAX(0,ROUND(F71,0)))+MIN(2,MAX(0,ROUND(G71,0)))+MIN(2,MAX(0,ROUND(H71,0))))</f>
        <v/>
      </c>
      <c r="J71" s="4">
        <f>IF(A71="","",IF(I71&lt;=3,"0-3 Foundation: verification habit; building a decision system",IF(I71&lt;=7,"4-7 Volatile: experience-led, swayed by short-term swings; add validation + retros",IF(I71&lt;=10,"8-10 At risk: emotion, analogy and single-point calls dominate","11-12 High risk: reactive pattern, no validation, cash at risk"))))</f>
        <v/>
      </c>
    </row>
    <row r="72">
      <c r="I72" s="3">
        <f>IF(A72="","",MIN(2,MAX(0,ROUND(C72,0)))+MIN(2,MAX(0,ROUND(D72,0)))+MIN(2,MAX(0,ROUND(E72,0)))+MIN(2,MAX(0,ROUND(F72,0)))+MIN(2,MAX(0,ROUND(G72,0)))+MIN(2,MAX(0,ROUND(H72,0))))</f>
        <v/>
      </c>
      <c r="J72" s="4">
        <f>IF(A72="","",IF(I72&lt;=3,"0-3 Foundation: verification habit; building a decision system",IF(I72&lt;=7,"4-7 Volatile: experience-led, swayed by short-term swings; add validation + retros",IF(I72&lt;=10,"8-10 At risk: emotion, analogy and single-point calls dominate","11-12 High risk: reactive pattern, no validation, cash at risk"))))</f>
        <v/>
      </c>
    </row>
    <row r="73">
      <c r="I73" s="3">
        <f>IF(A73="","",MIN(2,MAX(0,ROUND(C73,0)))+MIN(2,MAX(0,ROUND(D73,0)))+MIN(2,MAX(0,ROUND(E73,0)))+MIN(2,MAX(0,ROUND(F73,0)))+MIN(2,MAX(0,ROUND(G73,0)))+MIN(2,MAX(0,ROUND(H73,0))))</f>
        <v/>
      </c>
      <c r="J73" s="4">
        <f>IF(A73="","",IF(I73&lt;=3,"0-3 Foundation: verification habit; building a decision system",IF(I73&lt;=7,"4-7 Volatile: experience-led, swayed by short-term swings; add validation + retros",IF(I73&lt;=10,"8-10 At risk: emotion, analogy and single-point calls dominate","11-12 High risk: reactive pattern, no validation, cash at risk"))))</f>
        <v/>
      </c>
    </row>
    <row r="74">
      <c r="I74" s="3">
        <f>IF(A74="","",MIN(2,MAX(0,ROUND(C74,0)))+MIN(2,MAX(0,ROUND(D74,0)))+MIN(2,MAX(0,ROUND(E74,0)))+MIN(2,MAX(0,ROUND(F74,0)))+MIN(2,MAX(0,ROUND(G74,0)))+MIN(2,MAX(0,ROUND(H74,0))))</f>
        <v/>
      </c>
      <c r="J74" s="4">
        <f>IF(A74="","",IF(I74&lt;=3,"0-3 Foundation: verification habit; building a decision system",IF(I74&lt;=7,"4-7 Volatile: experience-led, swayed by short-term swings; add validation + retros",IF(I74&lt;=10,"8-10 At risk: emotion, analogy and single-point calls dominate","11-12 High risk: reactive pattern, no validation, cash at risk"))))</f>
        <v/>
      </c>
    </row>
    <row r="75">
      <c r="I75" s="3">
        <f>IF(A75="","",MIN(2,MAX(0,ROUND(C75,0)))+MIN(2,MAX(0,ROUND(D75,0)))+MIN(2,MAX(0,ROUND(E75,0)))+MIN(2,MAX(0,ROUND(F75,0)))+MIN(2,MAX(0,ROUND(G75,0)))+MIN(2,MAX(0,ROUND(H75,0))))</f>
        <v/>
      </c>
      <c r="J75" s="4">
        <f>IF(A75="","",IF(I75&lt;=3,"0-3 Foundation: verification habit; building a decision system",IF(I75&lt;=7,"4-7 Volatile: experience-led, swayed by short-term swings; add validation + retros",IF(I75&lt;=10,"8-10 At risk: emotion, analogy and single-point calls dominate","11-12 High risk: reactive pattern, no validation, cash at risk"))))</f>
        <v/>
      </c>
    </row>
    <row r="76">
      <c r="I76" s="3">
        <f>IF(A76="","",MIN(2,MAX(0,ROUND(C76,0)))+MIN(2,MAX(0,ROUND(D76,0)))+MIN(2,MAX(0,ROUND(E76,0)))+MIN(2,MAX(0,ROUND(F76,0)))+MIN(2,MAX(0,ROUND(G76,0)))+MIN(2,MAX(0,ROUND(H76,0))))</f>
        <v/>
      </c>
      <c r="J76" s="4">
        <f>IF(A76="","",IF(I76&lt;=3,"0-3 Foundation: verification habit; building a decision system",IF(I76&lt;=7,"4-7 Volatile: experience-led, swayed by short-term swings; add validation + retros",IF(I76&lt;=10,"8-10 At risk: emotion, analogy and single-point calls dominate","11-12 High risk: reactive pattern, no validation, cash at risk"))))</f>
        <v/>
      </c>
    </row>
    <row r="77">
      <c r="I77" s="3">
        <f>IF(A77="","",MIN(2,MAX(0,ROUND(C77,0)))+MIN(2,MAX(0,ROUND(D77,0)))+MIN(2,MAX(0,ROUND(E77,0)))+MIN(2,MAX(0,ROUND(F77,0)))+MIN(2,MAX(0,ROUND(G77,0)))+MIN(2,MAX(0,ROUND(H77,0))))</f>
        <v/>
      </c>
      <c r="J77" s="4">
        <f>IF(A77="","",IF(I77&lt;=3,"0-3 Foundation: verification habit; building a decision system",IF(I77&lt;=7,"4-7 Volatile: experience-led, swayed by short-term swings; add validation + retros",IF(I77&lt;=10,"8-10 At risk: emotion, analogy and single-point calls dominate","11-12 High risk: reactive pattern, no validation, cash at risk"))))</f>
        <v/>
      </c>
    </row>
    <row r="78">
      <c r="I78" s="3">
        <f>IF(A78="","",MIN(2,MAX(0,ROUND(C78,0)))+MIN(2,MAX(0,ROUND(D78,0)))+MIN(2,MAX(0,ROUND(E78,0)))+MIN(2,MAX(0,ROUND(F78,0)))+MIN(2,MAX(0,ROUND(G78,0)))+MIN(2,MAX(0,ROUND(H78,0))))</f>
        <v/>
      </c>
      <c r="J78" s="4">
        <f>IF(A78="","",IF(I78&lt;=3,"0-3 Foundation: verification habit; building a decision system",IF(I78&lt;=7,"4-7 Volatile: experience-led, swayed by short-term swings; add validation + retros",IF(I78&lt;=10,"8-10 At risk: emotion, analogy and single-point calls dominate","11-12 High risk: reactive pattern, no validation, cash at risk"))))</f>
        <v/>
      </c>
    </row>
    <row r="79">
      <c r="I79" s="3">
        <f>IF(A79="","",MIN(2,MAX(0,ROUND(C79,0)))+MIN(2,MAX(0,ROUND(D79,0)))+MIN(2,MAX(0,ROUND(E79,0)))+MIN(2,MAX(0,ROUND(F79,0)))+MIN(2,MAX(0,ROUND(G79,0)))+MIN(2,MAX(0,ROUND(H79,0))))</f>
        <v/>
      </c>
      <c r="J79" s="4">
        <f>IF(A79="","",IF(I79&lt;=3,"0-3 Foundation: verification habit; building a decision system",IF(I79&lt;=7,"4-7 Volatile: experience-led, swayed by short-term swings; add validation + retros",IF(I79&lt;=10,"8-10 At risk: emotion, analogy and single-point calls dominate","11-12 High risk: reactive pattern, no validation, cash at risk"))))</f>
        <v/>
      </c>
    </row>
    <row r="80">
      <c r="I80" s="3">
        <f>IF(A80="","",MIN(2,MAX(0,ROUND(C80,0)))+MIN(2,MAX(0,ROUND(D80,0)))+MIN(2,MAX(0,ROUND(E80,0)))+MIN(2,MAX(0,ROUND(F80,0)))+MIN(2,MAX(0,ROUND(G80,0)))+MIN(2,MAX(0,ROUND(H80,0))))</f>
        <v/>
      </c>
      <c r="J80" s="4">
        <f>IF(A80="","",IF(I80&lt;=3,"0-3 Foundation: verification habit; building a decision system",IF(I80&lt;=7,"4-7 Volatile: experience-led, swayed by short-term swings; add validation + retros",IF(I80&lt;=10,"8-10 At risk: emotion, analogy and single-point calls dominate","11-12 High risk: reactive pattern, no validation, cash at risk"))))</f>
        <v/>
      </c>
    </row>
    <row r="81">
      <c r="I81" s="3">
        <f>IF(A81="","",MIN(2,MAX(0,ROUND(C81,0)))+MIN(2,MAX(0,ROUND(D81,0)))+MIN(2,MAX(0,ROUND(E81,0)))+MIN(2,MAX(0,ROUND(F81,0)))+MIN(2,MAX(0,ROUND(G81,0)))+MIN(2,MAX(0,ROUND(H81,0))))</f>
        <v/>
      </c>
      <c r="J81" s="4">
        <f>IF(A81="","",IF(I81&lt;=3,"0-3 Foundation: verification habit; building a decision system",IF(I81&lt;=7,"4-7 Volatile: experience-led, swayed by short-term swings; add validation + retros",IF(I81&lt;=10,"8-10 At risk: emotion, analogy and single-point calls dominate","11-12 High risk: reactive pattern, no validation, cash at risk"))))</f>
        <v/>
      </c>
    </row>
    <row r="82">
      <c r="I82" s="3">
        <f>IF(A82="","",MIN(2,MAX(0,ROUND(C82,0)))+MIN(2,MAX(0,ROUND(D82,0)))+MIN(2,MAX(0,ROUND(E82,0)))+MIN(2,MAX(0,ROUND(F82,0)))+MIN(2,MAX(0,ROUND(G82,0)))+MIN(2,MAX(0,ROUND(H82,0))))</f>
        <v/>
      </c>
      <c r="J82" s="4">
        <f>IF(A82="","",IF(I82&lt;=3,"0-3 Foundation: verification habit; building a decision system",IF(I82&lt;=7,"4-7 Volatile: experience-led, swayed by short-term swings; add validation + retros",IF(I82&lt;=10,"8-10 At risk: emotion, analogy and single-point calls dominate","11-12 High risk: reactive pattern, no validation, cash at risk"))))</f>
        <v/>
      </c>
    </row>
    <row r="83">
      <c r="I83" s="3">
        <f>IF(A83="","",MIN(2,MAX(0,ROUND(C83,0)))+MIN(2,MAX(0,ROUND(D83,0)))+MIN(2,MAX(0,ROUND(E83,0)))+MIN(2,MAX(0,ROUND(F83,0)))+MIN(2,MAX(0,ROUND(G83,0)))+MIN(2,MAX(0,ROUND(H83,0))))</f>
        <v/>
      </c>
      <c r="J83" s="4">
        <f>IF(A83="","",IF(I83&lt;=3,"0-3 Foundation: verification habit; building a decision system",IF(I83&lt;=7,"4-7 Volatile: experience-led, swayed by short-term swings; add validation + retros",IF(I83&lt;=10,"8-10 At risk: emotion, analogy and single-point calls dominate","11-12 High risk: reactive pattern, no validation, cash at risk"))))</f>
        <v/>
      </c>
    </row>
    <row r="84">
      <c r="I84" s="3">
        <f>IF(A84="","",MIN(2,MAX(0,ROUND(C84,0)))+MIN(2,MAX(0,ROUND(D84,0)))+MIN(2,MAX(0,ROUND(E84,0)))+MIN(2,MAX(0,ROUND(F84,0)))+MIN(2,MAX(0,ROUND(G84,0)))+MIN(2,MAX(0,ROUND(H84,0))))</f>
        <v/>
      </c>
      <c r="J84" s="4">
        <f>IF(A84="","",IF(I84&lt;=3,"0-3 Foundation: verification habit; building a decision system",IF(I84&lt;=7,"4-7 Volatile: experience-led, swayed by short-term swings; add validation + retros",IF(I84&lt;=10,"8-10 At risk: emotion, analogy and single-point calls dominate","11-12 High risk: reactive pattern, no validation, cash at risk"))))</f>
        <v/>
      </c>
    </row>
    <row r="85">
      <c r="I85" s="3">
        <f>IF(A85="","",MIN(2,MAX(0,ROUND(C85,0)))+MIN(2,MAX(0,ROUND(D85,0)))+MIN(2,MAX(0,ROUND(E85,0)))+MIN(2,MAX(0,ROUND(F85,0)))+MIN(2,MAX(0,ROUND(G85,0)))+MIN(2,MAX(0,ROUND(H85,0))))</f>
        <v/>
      </c>
      <c r="J85" s="4">
        <f>IF(A85="","",IF(I85&lt;=3,"0-3 Foundation: verification habit; building a decision system",IF(I85&lt;=7,"4-7 Volatile: experience-led, swayed by short-term swings; add validation + retros",IF(I85&lt;=10,"8-10 At risk: emotion, analogy and single-point calls dominate","11-12 High risk: reactive pattern, no validation, cash at risk"))))</f>
        <v/>
      </c>
    </row>
    <row r="86">
      <c r="I86" s="3">
        <f>IF(A86="","",MIN(2,MAX(0,ROUND(C86,0)))+MIN(2,MAX(0,ROUND(D86,0)))+MIN(2,MAX(0,ROUND(E86,0)))+MIN(2,MAX(0,ROUND(F86,0)))+MIN(2,MAX(0,ROUND(G86,0)))+MIN(2,MAX(0,ROUND(H86,0))))</f>
        <v/>
      </c>
      <c r="J86" s="4">
        <f>IF(A86="","",IF(I86&lt;=3,"0-3 Foundation: verification habit; building a decision system",IF(I86&lt;=7,"4-7 Volatile: experience-led, swayed by short-term swings; add validation + retros",IF(I86&lt;=10,"8-10 At risk: emotion, analogy and single-point calls dominate","11-12 High risk: reactive pattern, no validation, cash at risk"))))</f>
        <v/>
      </c>
    </row>
    <row r="87">
      <c r="I87" s="3">
        <f>IF(A87="","",MIN(2,MAX(0,ROUND(C87,0)))+MIN(2,MAX(0,ROUND(D87,0)))+MIN(2,MAX(0,ROUND(E87,0)))+MIN(2,MAX(0,ROUND(F87,0)))+MIN(2,MAX(0,ROUND(G87,0)))+MIN(2,MAX(0,ROUND(H87,0))))</f>
        <v/>
      </c>
      <c r="J87" s="4">
        <f>IF(A87="","",IF(I87&lt;=3,"0-3 Foundation: verification habit; building a decision system",IF(I87&lt;=7,"4-7 Volatile: experience-led, swayed by short-term swings; add validation + retros",IF(I87&lt;=10,"8-10 At risk: emotion, analogy and single-point calls dominate","11-12 High risk: reactive pattern, no validation, cash at risk"))))</f>
        <v/>
      </c>
    </row>
    <row r="88">
      <c r="I88" s="3">
        <f>IF(A88="","",MIN(2,MAX(0,ROUND(C88,0)))+MIN(2,MAX(0,ROUND(D88,0)))+MIN(2,MAX(0,ROUND(E88,0)))+MIN(2,MAX(0,ROUND(F88,0)))+MIN(2,MAX(0,ROUND(G88,0)))+MIN(2,MAX(0,ROUND(H88,0))))</f>
        <v/>
      </c>
      <c r="J88" s="4">
        <f>IF(A88="","",IF(I88&lt;=3,"0-3 Foundation: verification habit; building a decision system",IF(I88&lt;=7,"4-7 Volatile: experience-led, swayed by short-term swings; add validation + retros",IF(I88&lt;=10,"8-10 At risk: emotion, analogy and single-point calls dominate","11-12 High risk: reactive pattern, no validation, cash at risk"))))</f>
        <v/>
      </c>
    </row>
    <row r="89">
      <c r="I89" s="3">
        <f>IF(A89="","",MIN(2,MAX(0,ROUND(C89,0)))+MIN(2,MAX(0,ROUND(D89,0)))+MIN(2,MAX(0,ROUND(E89,0)))+MIN(2,MAX(0,ROUND(F89,0)))+MIN(2,MAX(0,ROUND(G89,0)))+MIN(2,MAX(0,ROUND(H89,0))))</f>
        <v/>
      </c>
      <c r="J89" s="4">
        <f>IF(A89="","",IF(I89&lt;=3,"0-3 Foundation: verification habit; building a decision system",IF(I89&lt;=7,"4-7 Volatile: experience-led, swayed by short-term swings; add validation + retros",IF(I89&lt;=10,"8-10 At risk: emotion, analogy and single-point calls dominate","11-12 High risk: reactive pattern, no validation, cash at risk"))))</f>
        <v/>
      </c>
    </row>
    <row r="90">
      <c r="I90" s="3">
        <f>IF(A90="","",MIN(2,MAX(0,ROUND(C90,0)))+MIN(2,MAX(0,ROUND(D90,0)))+MIN(2,MAX(0,ROUND(E90,0)))+MIN(2,MAX(0,ROUND(F90,0)))+MIN(2,MAX(0,ROUND(G90,0)))+MIN(2,MAX(0,ROUND(H90,0))))</f>
        <v/>
      </c>
      <c r="J90" s="4">
        <f>IF(A90="","",IF(I90&lt;=3,"0-3 Foundation: verification habit; building a decision system",IF(I90&lt;=7,"4-7 Volatile: experience-led, swayed by short-term swings; add validation + retros",IF(I90&lt;=10,"8-10 At risk: emotion, analogy and single-point calls dominate","11-12 High risk: reactive pattern, no validation, cash at risk"))))</f>
        <v/>
      </c>
    </row>
    <row r="91">
      <c r="I91" s="3">
        <f>IF(A91="","",MIN(2,MAX(0,ROUND(C91,0)))+MIN(2,MAX(0,ROUND(D91,0)))+MIN(2,MAX(0,ROUND(E91,0)))+MIN(2,MAX(0,ROUND(F91,0)))+MIN(2,MAX(0,ROUND(G91,0)))+MIN(2,MAX(0,ROUND(H91,0))))</f>
        <v/>
      </c>
      <c r="J91" s="4">
        <f>IF(A91="","",IF(I91&lt;=3,"0-3 Foundation: verification habit; building a decision system",IF(I91&lt;=7,"4-7 Volatile: experience-led, swayed by short-term swings; add validation + retros",IF(I91&lt;=10,"8-10 At risk: emotion, analogy and single-point calls dominate","11-12 High risk: reactive pattern, no validation, cash at risk"))))</f>
        <v/>
      </c>
    </row>
    <row r="92">
      <c r="I92" s="3">
        <f>IF(A92="","",MIN(2,MAX(0,ROUND(C92,0)))+MIN(2,MAX(0,ROUND(D92,0)))+MIN(2,MAX(0,ROUND(E92,0)))+MIN(2,MAX(0,ROUND(F92,0)))+MIN(2,MAX(0,ROUND(G92,0)))+MIN(2,MAX(0,ROUND(H92,0))))</f>
        <v/>
      </c>
      <c r="J92" s="4">
        <f>IF(A92="","",IF(I92&lt;=3,"0-3 Foundation: verification habit; building a decision system",IF(I92&lt;=7,"4-7 Volatile: experience-led, swayed by short-term swings; add validation + retros",IF(I92&lt;=10,"8-10 At risk: emotion, analogy and single-point calls dominate","11-12 High risk: reactive pattern, no validation, cash at risk"))))</f>
        <v/>
      </c>
    </row>
    <row r="93">
      <c r="I93" s="3">
        <f>IF(A93="","",MIN(2,MAX(0,ROUND(C93,0)))+MIN(2,MAX(0,ROUND(D93,0)))+MIN(2,MAX(0,ROUND(E93,0)))+MIN(2,MAX(0,ROUND(F93,0)))+MIN(2,MAX(0,ROUND(G93,0)))+MIN(2,MAX(0,ROUND(H93,0))))</f>
        <v/>
      </c>
      <c r="J93" s="4">
        <f>IF(A93="","",IF(I93&lt;=3,"0-3 Foundation: verification habit; building a decision system",IF(I93&lt;=7,"4-7 Volatile: experience-led, swayed by short-term swings; add validation + retros",IF(I93&lt;=10,"8-10 At risk: emotion, analogy and single-point calls dominate","11-12 High risk: reactive pattern, no validation, cash at risk"))))</f>
        <v/>
      </c>
    </row>
    <row r="94">
      <c r="I94" s="3">
        <f>IF(A94="","",MIN(2,MAX(0,ROUND(C94,0)))+MIN(2,MAX(0,ROUND(D94,0)))+MIN(2,MAX(0,ROUND(E94,0)))+MIN(2,MAX(0,ROUND(F94,0)))+MIN(2,MAX(0,ROUND(G94,0)))+MIN(2,MAX(0,ROUND(H94,0))))</f>
        <v/>
      </c>
      <c r="J94" s="4">
        <f>IF(A94="","",IF(I94&lt;=3,"0-3 Foundation: verification habit; building a decision system",IF(I94&lt;=7,"4-7 Volatile: experience-led, swayed by short-term swings; add validation + retros",IF(I94&lt;=10,"8-10 At risk: emotion, analogy and single-point calls dominate","11-12 High risk: reactive pattern, no validation, cash at risk"))))</f>
        <v/>
      </c>
    </row>
    <row r="95">
      <c r="I95" s="3">
        <f>IF(A95="","",MIN(2,MAX(0,ROUND(C95,0)))+MIN(2,MAX(0,ROUND(D95,0)))+MIN(2,MAX(0,ROUND(E95,0)))+MIN(2,MAX(0,ROUND(F95,0)))+MIN(2,MAX(0,ROUND(G95,0)))+MIN(2,MAX(0,ROUND(H95,0))))</f>
        <v/>
      </c>
      <c r="J95" s="4">
        <f>IF(A95="","",IF(I95&lt;=3,"0-3 Foundation: verification habit; building a decision system",IF(I95&lt;=7,"4-7 Volatile: experience-led, swayed by short-term swings; add validation + retros",IF(I95&lt;=10,"8-10 At risk: emotion, analogy and single-point calls dominate","11-12 High risk: reactive pattern, no validation, cash at risk"))))</f>
        <v/>
      </c>
    </row>
    <row r="96">
      <c r="I96" s="3">
        <f>IF(A96="","",MIN(2,MAX(0,ROUND(C96,0)))+MIN(2,MAX(0,ROUND(D96,0)))+MIN(2,MAX(0,ROUND(E96,0)))+MIN(2,MAX(0,ROUND(F96,0)))+MIN(2,MAX(0,ROUND(G96,0)))+MIN(2,MAX(0,ROUND(H96,0))))</f>
        <v/>
      </c>
      <c r="J96" s="4">
        <f>IF(A96="","",IF(I96&lt;=3,"0-3 Foundation: verification habit; building a decision system",IF(I96&lt;=7,"4-7 Volatile: experience-led, swayed by short-term swings; add validation + retros",IF(I96&lt;=10,"8-10 At risk: emotion, analogy and single-point calls dominate","11-12 High risk: reactive pattern, no validation, cash at risk"))))</f>
        <v/>
      </c>
    </row>
    <row r="97">
      <c r="I97" s="3">
        <f>IF(A97="","",MIN(2,MAX(0,ROUND(C97,0)))+MIN(2,MAX(0,ROUND(D97,0)))+MIN(2,MAX(0,ROUND(E97,0)))+MIN(2,MAX(0,ROUND(F97,0)))+MIN(2,MAX(0,ROUND(G97,0)))+MIN(2,MAX(0,ROUND(H97,0))))</f>
        <v/>
      </c>
      <c r="J97" s="4">
        <f>IF(A97="","",IF(I97&lt;=3,"0-3 Foundation: verification habit; building a decision system",IF(I97&lt;=7,"4-7 Volatile: experience-led, swayed by short-term swings; add validation + retros",IF(I97&lt;=10,"8-10 At risk: emotion, analogy and single-point calls dominate","11-12 High risk: reactive pattern, no validation, cash at risk"))))</f>
        <v/>
      </c>
    </row>
    <row r="98">
      <c r="I98" s="3">
        <f>IF(A98="","",MIN(2,MAX(0,ROUND(C98,0)))+MIN(2,MAX(0,ROUND(D98,0)))+MIN(2,MAX(0,ROUND(E98,0)))+MIN(2,MAX(0,ROUND(F98,0)))+MIN(2,MAX(0,ROUND(G98,0)))+MIN(2,MAX(0,ROUND(H98,0))))</f>
        <v/>
      </c>
      <c r="J98" s="4">
        <f>IF(A98="","",IF(I98&lt;=3,"0-3 Foundation: verification habit; building a decision system",IF(I98&lt;=7,"4-7 Volatile: experience-led, swayed by short-term swings; add validation + retros",IF(I98&lt;=10,"8-10 At risk: emotion, analogy and single-point calls dominate","11-12 High risk: reactive pattern, no validation, cash at risk"))))</f>
        <v/>
      </c>
    </row>
    <row r="99">
      <c r="I99" s="3">
        <f>IF(A99="","",MIN(2,MAX(0,ROUND(C99,0)))+MIN(2,MAX(0,ROUND(D99,0)))+MIN(2,MAX(0,ROUND(E99,0)))+MIN(2,MAX(0,ROUND(F99,0)))+MIN(2,MAX(0,ROUND(G99,0)))+MIN(2,MAX(0,ROUND(H99,0))))</f>
        <v/>
      </c>
      <c r="J99" s="4">
        <f>IF(A99="","",IF(I99&lt;=3,"0-3 Foundation: verification habit; building a decision system",IF(I99&lt;=7,"4-7 Volatile: experience-led, swayed by short-term swings; add validation + retros",IF(I99&lt;=10,"8-10 At risk: emotion, analogy and single-point calls dominate","11-12 High risk: reactive pattern, no validation, cash at risk"))))</f>
        <v/>
      </c>
    </row>
    <row r="100">
      <c r="I100" s="3">
        <f>IF(A100="","",MIN(2,MAX(0,ROUND(C100,0)))+MIN(2,MAX(0,ROUND(D100,0)))+MIN(2,MAX(0,ROUND(E100,0)))+MIN(2,MAX(0,ROUND(F100,0)))+MIN(2,MAX(0,ROUND(G100,0)))+MIN(2,MAX(0,ROUND(H100,0))))</f>
        <v/>
      </c>
      <c r="J100" s="4">
        <f>IF(A100="","",IF(I100&lt;=3,"0-3 Foundation: verification habit; building a decision system",IF(I100&lt;=7,"4-7 Volatile: experience-led, swayed by short-term swings; add validation + retros",IF(I100&lt;=10,"8-10 At risk: emotion, analogy and single-point calls dominate","11-12 High risk: reactive pattern, no validation, cash at risk"))))</f>
        <v/>
      </c>
    </row>
    <row r="101">
      <c r="I101" s="3">
        <f>IF(A101="","",MIN(2,MAX(0,ROUND(C101,0)))+MIN(2,MAX(0,ROUND(D101,0)))+MIN(2,MAX(0,ROUND(E101,0)))+MIN(2,MAX(0,ROUND(F101,0)))+MIN(2,MAX(0,ROUND(G101,0)))+MIN(2,MAX(0,ROUND(H101,0))))</f>
        <v/>
      </c>
      <c r="J101" s="4">
        <f>IF(A101="","",IF(I101&lt;=3,"0-3 Foundation: verification habit; building a decision system",IF(I101&lt;=7,"4-7 Volatile: experience-led, swayed by short-term swings; add validation + retros",IF(I101&lt;=10,"8-10 At risk: emotion, analogy and single-point calls dominate","11-12 High risk: reactive pattern, no validation, cash at risk"))))</f>
        <v/>
      </c>
    </row>
    <row r="102">
      <c r="I102" s="3">
        <f>IF(A102="","",MIN(2,MAX(0,ROUND(C102,0)))+MIN(2,MAX(0,ROUND(D102,0)))+MIN(2,MAX(0,ROUND(E102,0)))+MIN(2,MAX(0,ROUND(F102,0)))+MIN(2,MAX(0,ROUND(G102,0)))+MIN(2,MAX(0,ROUND(H102,0))))</f>
        <v/>
      </c>
      <c r="J102" s="4">
        <f>IF(A102="","",IF(I102&lt;=3,"0-3 Foundation: verification habit; building a decision system",IF(I102&lt;=7,"4-7 Volatile: experience-led, swayed by short-term swings; add validation + retros",IF(I102&lt;=10,"8-10 At risk: emotion, analogy and single-point calls dominate","11-12 High risk: reactive pattern, no validation, cash at risk"))))</f>
        <v/>
      </c>
    </row>
    <row r="103">
      <c r="I103" s="3">
        <f>IF(A103="","",MIN(2,MAX(0,ROUND(C103,0)))+MIN(2,MAX(0,ROUND(D103,0)))+MIN(2,MAX(0,ROUND(E103,0)))+MIN(2,MAX(0,ROUND(F103,0)))+MIN(2,MAX(0,ROUND(G103,0)))+MIN(2,MAX(0,ROUND(H103,0))))</f>
        <v/>
      </c>
      <c r="J103" s="4">
        <f>IF(A103="","",IF(I103&lt;=3,"0-3 Foundation: verification habit; building a decision system",IF(I103&lt;=7,"4-7 Volatile: experience-led, swayed by short-term swings; add validation + retros",IF(I103&lt;=10,"8-10 At risk: emotion, analogy and single-point calls dominate","11-12 High risk: reactive pattern, no validation, cash at risk"))))</f>
        <v/>
      </c>
    </row>
    <row r="104">
      <c r="I104" s="3">
        <f>IF(A104="","",MIN(2,MAX(0,ROUND(C104,0)))+MIN(2,MAX(0,ROUND(D104,0)))+MIN(2,MAX(0,ROUND(E104,0)))+MIN(2,MAX(0,ROUND(F104,0)))+MIN(2,MAX(0,ROUND(G104,0)))+MIN(2,MAX(0,ROUND(H104,0))))</f>
        <v/>
      </c>
      <c r="J104" s="4">
        <f>IF(A104="","",IF(I104&lt;=3,"0-3 Foundation: verification habit; building a decision system",IF(I104&lt;=7,"4-7 Volatile: experience-led, swayed by short-term swings; add validation + retros",IF(I104&lt;=10,"8-10 At risk: emotion, analogy and single-point calls dominate","11-12 High risk: reactive pattern, no validation, cash at risk"))))</f>
        <v/>
      </c>
    </row>
    <row r="105">
      <c r="I105" s="3">
        <f>IF(A105="","",MIN(2,MAX(0,ROUND(C105,0)))+MIN(2,MAX(0,ROUND(D105,0)))+MIN(2,MAX(0,ROUND(E105,0)))+MIN(2,MAX(0,ROUND(F105,0)))+MIN(2,MAX(0,ROUND(G105,0)))+MIN(2,MAX(0,ROUND(H105,0))))</f>
        <v/>
      </c>
      <c r="J105" s="4">
        <f>IF(A105="","",IF(I105&lt;=3,"0-3 Foundation: verification habit; building a decision system",IF(I105&lt;=7,"4-7 Volatile: experience-led, swayed by short-term swings; add validation + retros",IF(I105&lt;=10,"8-10 At risk: emotion, analogy and single-point calls dominate","11-12 High risk: reactive pattern, no validation, cash at risk"))))</f>
        <v/>
      </c>
    </row>
    <row r="106">
      <c r="I106" s="3">
        <f>IF(A106="","",MIN(2,MAX(0,ROUND(C106,0)))+MIN(2,MAX(0,ROUND(D106,0)))+MIN(2,MAX(0,ROUND(E106,0)))+MIN(2,MAX(0,ROUND(F106,0)))+MIN(2,MAX(0,ROUND(G106,0)))+MIN(2,MAX(0,ROUND(H106,0))))</f>
        <v/>
      </c>
      <c r="J106" s="4">
        <f>IF(A106="","",IF(I106&lt;=3,"0-3 Foundation: verification habit; building a decision system",IF(I106&lt;=7,"4-7 Volatile: experience-led, swayed by short-term swings; add validation + retros",IF(I106&lt;=10,"8-10 At risk: emotion, analogy and single-point calls dominate","11-12 High risk: reactive pattern, no validation, cash at risk"))))</f>
        <v/>
      </c>
    </row>
    <row r="107">
      <c r="I107" s="3">
        <f>IF(A107="","",MIN(2,MAX(0,ROUND(C107,0)))+MIN(2,MAX(0,ROUND(D107,0)))+MIN(2,MAX(0,ROUND(E107,0)))+MIN(2,MAX(0,ROUND(F107,0)))+MIN(2,MAX(0,ROUND(G107,0)))+MIN(2,MAX(0,ROUND(H107,0))))</f>
        <v/>
      </c>
      <c r="J107" s="4">
        <f>IF(A107="","",IF(I107&lt;=3,"0-3 Foundation: verification habit; building a decision system",IF(I107&lt;=7,"4-7 Volatile: experience-led, swayed by short-term swings; add validation + retros",IF(I107&lt;=10,"8-10 At risk: emotion, analogy and single-point calls dominate","11-12 High risk: reactive pattern, no validation, cash at risk"))))</f>
        <v/>
      </c>
    </row>
    <row r="108">
      <c r="I108" s="3">
        <f>IF(A108="","",MIN(2,MAX(0,ROUND(C108,0)))+MIN(2,MAX(0,ROUND(D108,0)))+MIN(2,MAX(0,ROUND(E108,0)))+MIN(2,MAX(0,ROUND(F108,0)))+MIN(2,MAX(0,ROUND(G108,0)))+MIN(2,MAX(0,ROUND(H108,0))))</f>
        <v/>
      </c>
      <c r="J108" s="4">
        <f>IF(A108="","",IF(I108&lt;=3,"0-3 Foundation: verification habit; building a decision system",IF(I108&lt;=7,"4-7 Volatile: experience-led, swayed by short-term swings; add validation + retros",IF(I108&lt;=10,"8-10 At risk: emotion, analogy and single-point calls dominate","11-12 High risk: reactive pattern, no validation, cash at risk"))))</f>
        <v/>
      </c>
    </row>
    <row r="109">
      <c r="I109" s="3">
        <f>IF(A109="","",MIN(2,MAX(0,ROUND(C109,0)))+MIN(2,MAX(0,ROUND(D109,0)))+MIN(2,MAX(0,ROUND(E109,0)))+MIN(2,MAX(0,ROUND(F109,0)))+MIN(2,MAX(0,ROUND(G109,0)))+MIN(2,MAX(0,ROUND(H109,0))))</f>
        <v/>
      </c>
      <c r="J109" s="4">
        <f>IF(A109="","",IF(I109&lt;=3,"0-3 Foundation: verification habit; building a decision system",IF(I109&lt;=7,"4-7 Volatile: experience-led, swayed by short-term swings; add validation + retros",IF(I109&lt;=10,"8-10 At risk: emotion, analogy and single-point calls dominate","11-12 High risk: reactive pattern, no validation, cash at risk"))))</f>
        <v/>
      </c>
    </row>
    <row r="110">
      <c r="I110" s="3">
        <f>IF(A110="","",MIN(2,MAX(0,ROUND(C110,0)))+MIN(2,MAX(0,ROUND(D110,0)))+MIN(2,MAX(0,ROUND(E110,0)))+MIN(2,MAX(0,ROUND(F110,0)))+MIN(2,MAX(0,ROUND(G110,0)))+MIN(2,MAX(0,ROUND(H110,0))))</f>
        <v/>
      </c>
      <c r="J110" s="4">
        <f>IF(A110="","",IF(I110&lt;=3,"0-3 Foundation: verification habit; building a decision system",IF(I110&lt;=7,"4-7 Volatile: experience-led, swayed by short-term swings; add validation + retros",IF(I110&lt;=10,"8-10 At risk: emotion, analogy and single-point calls dominate","11-12 High risk: reactive pattern, no validation, cash at risk"))))</f>
        <v/>
      </c>
    </row>
    <row r="111">
      <c r="I111" s="3">
        <f>IF(A111="","",MIN(2,MAX(0,ROUND(C111,0)))+MIN(2,MAX(0,ROUND(D111,0)))+MIN(2,MAX(0,ROUND(E111,0)))+MIN(2,MAX(0,ROUND(F111,0)))+MIN(2,MAX(0,ROUND(G111,0)))+MIN(2,MAX(0,ROUND(H111,0))))</f>
        <v/>
      </c>
      <c r="J111" s="4">
        <f>IF(A111="","",IF(I111&lt;=3,"0-3 Foundation: verification habit; building a decision system",IF(I111&lt;=7,"4-7 Volatile: experience-led, swayed by short-term swings; add validation + retros",IF(I111&lt;=10,"8-10 At risk: emotion, analogy and single-point calls dominate","11-12 High risk: reactive pattern, no validation, cash at risk"))))</f>
        <v/>
      </c>
    </row>
    <row r="112">
      <c r="I112" s="3">
        <f>IF(A112="","",MIN(2,MAX(0,ROUND(C112,0)))+MIN(2,MAX(0,ROUND(D112,0)))+MIN(2,MAX(0,ROUND(E112,0)))+MIN(2,MAX(0,ROUND(F112,0)))+MIN(2,MAX(0,ROUND(G112,0)))+MIN(2,MAX(0,ROUND(H112,0))))</f>
        <v/>
      </c>
      <c r="J112" s="4">
        <f>IF(A112="","",IF(I112&lt;=3,"0-3 Foundation: verification habit; building a decision system",IF(I112&lt;=7,"4-7 Volatile: experience-led, swayed by short-term swings; add validation + retros",IF(I112&lt;=10,"8-10 At risk: emotion, analogy and single-point calls dominate","11-12 High risk: reactive pattern, no validation, cash at risk"))))</f>
        <v/>
      </c>
    </row>
    <row r="113">
      <c r="I113" s="3">
        <f>IF(A113="","",MIN(2,MAX(0,ROUND(C113,0)))+MIN(2,MAX(0,ROUND(D113,0)))+MIN(2,MAX(0,ROUND(E113,0)))+MIN(2,MAX(0,ROUND(F113,0)))+MIN(2,MAX(0,ROUND(G113,0)))+MIN(2,MAX(0,ROUND(H113,0))))</f>
        <v/>
      </c>
      <c r="J113" s="4">
        <f>IF(A113="","",IF(I113&lt;=3,"0-3 Foundation: verification habit; building a decision system",IF(I113&lt;=7,"4-7 Volatile: experience-led, swayed by short-term swings; add validation + retros",IF(I113&lt;=10,"8-10 At risk: emotion, analogy and single-point calls dominate","11-12 High risk: reactive pattern, no validation, cash at risk"))))</f>
        <v/>
      </c>
    </row>
    <row r="114">
      <c r="I114" s="3">
        <f>IF(A114="","",MIN(2,MAX(0,ROUND(C114,0)))+MIN(2,MAX(0,ROUND(D114,0)))+MIN(2,MAX(0,ROUND(E114,0)))+MIN(2,MAX(0,ROUND(F114,0)))+MIN(2,MAX(0,ROUND(G114,0)))+MIN(2,MAX(0,ROUND(H114,0))))</f>
        <v/>
      </c>
      <c r="J114" s="4">
        <f>IF(A114="","",IF(I114&lt;=3,"0-3 Foundation: verification habit; building a decision system",IF(I114&lt;=7,"4-7 Volatile: experience-led, swayed by short-term swings; add validation + retros",IF(I114&lt;=10,"8-10 At risk: emotion, analogy and single-point calls dominate","11-12 High risk: reactive pattern, no validation, cash at risk"))))</f>
        <v/>
      </c>
    </row>
    <row r="115">
      <c r="I115" s="3">
        <f>IF(A115="","",MIN(2,MAX(0,ROUND(C115,0)))+MIN(2,MAX(0,ROUND(D115,0)))+MIN(2,MAX(0,ROUND(E115,0)))+MIN(2,MAX(0,ROUND(F115,0)))+MIN(2,MAX(0,ROUND(G115,0)))+MIN(2,MAX(0,ROUND(H115,0))))</f>
        <v/>
      </c>
      <c r="J115" s="4">
        <f>IF(A115="","",IF(I115&lt;=3,"0-3 Foundation: verification habit; building a decision system",IF(I115&lt;=7,"4-7 Volatile: experience-led, swayed by short-term swings; add validation + retros",IF(I115&lt;=10,"8-10 At risk: emotion, analogy and single-point calls dominate","11-12 High risk: reactive pattern, no validation, cash at risk"))))</f>
        <v/>
      </c>
    </row>
    <row r="116">
      <c r="I116" s="3">
        <f>IF(A116="","",MIN(2,MAX(0,ROUND(C116,0)))+MIN(2,MAX(0,ROUND(D116,0)))+MIN(2,MAX(0,ROUND(E116,0)))+MIN(2,MAX(0,ROUND(F116,0)))+MIN(2,MAX(0,ROUND(G116,0)))+MIN(2,MAX(0,ROUND(H116,0))))</f>
        <v/>
      </c>
      <c r="J116" s="4">
        <f>IF(A116="","",IF(I116&lt;=3,"0-3 Foundation: verification habit; building a decision system",IF(I116&lt;=7,"4-7 Volatile: experience-led, swayed by short-term swings; add validation + retros",IF(I116&lt;=10,"8-10 At risk: emotion, analogy and single-point calls dominate","11-12 High risk: reactive pattern, no validation, cash at risk"))))</f>
        <v/>
      </c>
    </row>
    <row r="117">
      <c r="I117" s="3">
        <f>IF(A117="","",MIN(2,MAX(0,ROUND(C117,0)))+MIN(2,MAX(0,ROUND(D117,0)))+MIN(2,MAX(0,ROUND(E117,0)))+MIN(2,MAX(0,ROUND(F117,0)))+MIN(2,MAX(0,ROUND(G117,0)))+MIN(2,MAX(0,ROUND(H117,0))))</f>
        <v/>
      </c>
      <c r="J117" s="4">
        <f>IF(A117="","",IF(I117&lt;=3,"0-3 Foundation: verification habit; building a decision system",IF(I117&lt;=7,"4-7 Volatile: experience-led, swayed by short-term swings; add validation + retros",IF(I117&lt;=10,"8-10 At risk: emotion, analogy and single-point calls dominate","11-12 High risk: reactive pattern, no validation, cash at risk"))))</f>
        <v/>
      </c>
    </row>
    <row r="118">
      <c r="I118" s="3">
        <f>IF(A118="","",MIN(2,MAX(0,ROUND(C118,0)))+MIN(2,MAX(0,ROUND(D118,0)))+MIN(2,MAX(0,ROUND(E118,0)))+MIN(2,MAX(0,ROUND(F118,0)))+MIN(2,MAX(0,ROUND(G118,0)))+MIN(2,MAX(0,ROUND(H118,0))))</f>
        <v/>
      </c>
      <c r="J118" s="4">
        <f>IF(A118="","",IF(I118&lt;=3,"0-3 Foundation: verification habit; building a decision system",IF(I118&lt;=7,"4-7 Volatile: experience-led, swayed by short-term swings; add validation + retros",IF(I118&lt;=10,"8-10 At risk: emotion, analogy and single-point calls dominate","11-12 High risk: reactive pattern, no validation, cash at risk"))))</f>
        <v/>
      </c>
    </row>
    <row r="119">
      <c r="I119" s="3">
        <f>IF(A119="","",MIN(2,MAX(0,ROUND(C119,0)))+MIN(2,MAX(0,ROUND(D119,0)))+MIN(2,MAX(0,ROUND(E119,0)))+MIN(2,MAX(0,ROUND(F119,0)))+MIN(2,MAX(0,ROUND(G119,0)))+MIN(2,MAX(0,ROUND(H119,0))))</f>
        <v/>
      </c>
      <c r="J119" s="4">
        <f>IF(A119="","",IF(I119&lt;=3,"0-3 Foundation: verification habit; building a decision system",IF(I119&lt;=7,"4-7 Volatile: experience-led, swayed by short-term swings; add validation + retros",IF(I119&lt;=10,"8-10 At risk: emotion, analogy and single-point calls dominate","11-12 High risk: reactive pattern, no validation, cash at risk"))))</f>
        <v/>
      </c>
    </row>
    <row r="120">
      <c r="I120" s="3">
        <f>IF(A120="","",MIN(2,MAX(0,ROUND(C120,0)))+MIN(2,MAX(0,ROUND(D120,0)))+MIN(2,MAX(0,ROUND(E120,0)))+MIN(2,MAX(0,ROUND(F120,0)))+MIN(2,MAX(0,ROUND(G120,0)))+MIN(2,MAX(0,ROUND(H120,0))))</f>
        <v/>
      </c>
      <c r="J120" s="4">
        <f>IF(A120="","",IF(I120&lt;=3,"0-3 Foundation: verification habit; building a decision system",IF(I120&lt;=7,"4-7 Volatile: experience-led, swayed by short-term swings; add validation + retros",IF(I120&lt;=10,"8-10 At risk: emotion, analogy and single-point calls dominate","11-12 High risk: reactive pattern, no validation, cash at risk"))))</f>
        <v/>
      </c>
    </row>
    <row r="121">
      <c r="I121" s="3">
        <f>IF(A121="","",MIN(2,MAX(0,ROUND(C121,0)))+MIN(2,MAX(0,ROUND(D121,0)))+MIN(2,MAX(0,ROUND(E121,0)))+MIN(2,MAX(0,ROUND(F121,0)))+MIN(2,MAX(0,ROUND(G121,0)))+MIN(2,MAX(0,ROUND(H121,0))))</f>
        <v/>
      </c>
      <c r="J121" s="4">
        <f>IF(A121="","",IF(I121&lt;=3,"0-3 Foundation: verification habit; building a decision system",IF(I121&lt;=7,"4-7 Volatile: experience-led, swayed by short-term swings; add validation + retros",IF(I121&lt;=10,"8-10 At risk: emotion, analogy and single-point calls dominate","11-12 High risk: reactive pattern, no validation, cash at risk"))))</f>
        <v/>
      </c>
    </row>
    <row r="122">
      <c r="I122" s="3">
        <f>IF(A122="","",MIN(2,MAX(0,ROUND(C122,0)))+MIN(2,MAX(0,ROUND(D122,0)))+MIN(2,MAX(0,ROUND(E122,0)))+MIN(2,MAX(0,ROUND(F122,0)))+MIN(2,MAX(0,ROUND(G122,0)))+MIN(2,MAX(0,ROUND(H122,0))))</f>
        <v/>
      </c>
      <c r="J122" s="4">
        <f>IF(A122="","",IF(I122&lt;=3,"0-3 Foundation: verification habit; building a decision system",IF(I122&lt;=7,"4-7 Volatile: experience-led, swayed by short-term swings; add validation + retros",IF(I122&lt;=10,"8-10 At risk: emotion, analogy and single-point calls dominate","11-12 High risk: reactive pattern, no validation, cash at risk"))))</f>
        <v/>
      </c>
    </row>
    <row r="123">
      <c r="I123" s="3">
        <f>IF(A123="","",MIN(2,MAX(0,ROUND(C123,0)))+MIN(2,MAX(0,ROUND(D123,0)))+MIN(2,MAX(0,ROUND(E123,0)))+MIN(2,MAX(0,ROUND(F123,0)))+MIN(2,MAX(0,ROUND(G123,0)))+MIN(2,MAX(0,ROUND(H123,0))))</f>
        <v/>
      </c>
      <c r="J123" s="4">
        <f>IF(A123="","",IF(I123&lt;=3,"0-3 Foundation: verification habit; building a decision system",IF(I123&lt;=7,"4-7 Volatile: experience-led, swayed by short-term swings; add validation + retros",IF(I123&lt;=10,"8-10 At risk: emotion, analogy and single-point calls dominate","11-12 High risk: reactive pattern, no validation, cash at risk"))))</f>
        <v/>
      </c>
    </row>
    <row r="124">
      <c r="I124" s="3">
        <f>IF(A124="","",MIN(2,MAX(0,ROUND(C124,0)))+MIN(2,MAX(0,ROUND(D124,0)))+MIN(2,MAX(0,ROUND(E124,0)))+MIN(2,MAX(0,ROUND(F124,0)))+MIN(2,MAX(0,ROUND(G124,0)))+MIN(2,MAX(0,ROUND(H124,0))))</f>
        <v/>
      </c>
      <c r="J124" s="4">
        <f>IF(A124="","",IF(I124&lt;=3,"0-3 Foundation: verification habit; building a decision system",IF(I124&lt;=7,"4-7 Volatile: experience-led, swayed by short-term swings; add validation + retros",IF(I124&lt;=10,"8-10 At risk: emotion, analogy and single-point calls dominate","11-12 High risk: reactive pattern, no validation, cash at risk"))))</f>
        <v/>
      </c>
    </row>
    <row r="125">
      <c r="I125" s="3">
        <f>IF(A125="","",MIN(2,MAX(0,ROUND(C125,0)))+MIN(2,MAX(0,ROUND(D125,0)))+MIN(2,MAX(0,ROUND(E125,0)))+MIN(2,MAX(0,ROUND(F125,0)))+MIN(2,MAX(0,ROUND(G125,0)))+MIN(2,MAX(0,ROUND(H125,0))))</f>
        <v/>
      </c>
      <c r="J125" s="4">
        <f>IF(A125="","",IF(I125&lt;=3,"0-3 Foundation: verification habit; building a decision system",IF(I125&lt;=7,"4-7 Volatile: experience-led, swayed by short-term swings; add validation + retros",IF(I125&lt;=10,"8-10 At risk: emotion, analogy and single-point calls dominate","11-12 High risk: reactive pattern, no validation, cash at risk"))))</f>
        <v/>
      </c>
    </row>
    <row r="126">
      <c r="I126" s="3">
        <f>IF(A126="","",MIN(2,MAX(0,ROUND(C126,0)))+MIN(2,MAX(0,ROUND(D126,0)))+MIN(2,MAX(0,ROUND(E126,0)))+MIN(2,MAX(0,ROUND(F126,0)))+MIN(2,MAX(0,ROUND(G126,0)))+MIN(2,MAX(0,ROUND(H126,0))))</f>
        <v/>
      </c>
      <c r="J126" s="4">
        <f>IF(A126="","",IF(I126&lt;=3,"0-3 Foundation: verification habit; building a decision system",IF(I126&lt;=7,"4-7 Volatile: experience-led, swayed by short-term swings; add validation + retros",IF(I126&lt;=10,"8-10 At risk: emotion, analogy and single-point calls dominate","11-12 High risk: reactive pattern, no validation, cash at risk"))))</f>
        <v/>
      </c>
    </row>
    <row r="127">
      <c r="I127" s="3">
        <f>IF(A127="","",MIN(2,MAX(0,ROUND(C127,0)))+MIN(2,MAX(0,ROUND(D127,0)))+MIN(2,MAX(0,ROUND(E127,0)))+MIN(2,MAX(0,ROUND(F127,0)))+MIN(2,MAX(0,ROUND(G127,0)))+MIN(2,MAX(0,ROUND(H127,0))))</f>
        <v/>
      </c>
      <c r="J127" s="4">
        <f>IF(A127="","",IF(I127&lt;=3,"0-3 Foundation: verification habit; building a decision system",IF(I127&lt;=7,"4-7 Volatile: experience-led, swayed by short-term swings; add validation + retros",IF(I127&lt;=10,"8-10 At risk: emotion, analogy and single-point calls dominate","11-12 High risk: reactive pattern, no validation, cash at risk"))))</f>
        <v/>
      </c>
    </row>
    <row r="128">
      <c r="I128" s="3">
        <f>IF(A128="","",MIN(2,MAX(0,ROUND(C128,0)))+MIN(2,MAX(0,ROUND(D128,0)))+MIN(2,MAX(0,ROUND(E128,0)))+MIN(2,MAX(0,ROUND(F128,0)))+MIN(2,MAX(0,ROUND(G128,0)))+MIN(2,MAX(0,ROUND(H128,0))))</f>
        <v/>
      </c>
      <c r="J128" s="4">
        <f>IF(A128="","",IF(I128&lt;=3,"0-3 Foundation: verification habit; building a decision system",IF(I128&lt;=7,"4-7 Volatile: experience-led, swayed by short-term swings; add validation + retros",IF(I128&lt;=10,"8-10 At risk: emotion, analogy and single-point calls dominate","11-12 High risk: reactive pattern, no validation, cash at risk"))))</f>
        <v/>
      </c>
    </row>
    <row r="129">
      <c r="I129" s="3">
        <f>IF(A129="","",MIN(2,MAX(0,ROUND(C129,0)))+MIN(2,MAX(0,ROUND(D129,0)))+MIN(2,MAX(0,ROUND(E129,0)))+MIN(2,MAX(0,ROUND(F129,0)))+MIN(2,MAX(0,ROUND(G129,0)))+MIN(2,MAX(0,ROUND(H129,0))))</f>
        <v/>
      </c>
      <c r="J129" s="4">
        <f>IF(A129="","",IF(I129&lt;=3,"0-3 Foundation: verification habit; building a decision system",IF(I129&lt;=7,"4-7 Volatile: experience-led, swayed by short-term swings; add validation + retros",IF(I129&lt;=10,"8-10 At risk: emotion, analogy and single-point calls dominate","11-12 High risk: reactive pattern, no validation, cash at risk"))))</f>
        <v/>
      </c>
    </row>
    <row r="130">
      <c r="I130" s="3">
        <f>IF(A130="","",MIN(2,MAX(0,ROUND(C130,0)))+MIN(2,MAX(0,ROUND(D130,0)))+MIN(2,MAX(0,ROUND(E130,0)))+MIN(2,MAX(0,ROUND(F130,0)))+MIN(2,MAX(0,ROUND(G130,0)))+MIN(2,MAX(0,ROUND(H130,0))))</f>
        <v/>
      </c>
      <c r="J130" s="4">
        <f>IF(A130="","",IF(I130&lt;=3,"0-3 Foundation: verification habit; building a decision system",IF(I130&lt;=7,"4-7 Volatile: experience-led, swayed by short-term swings; add validation + retros",IF(I130&lt;=10,"8-10 At risk: emotion, analogy and single-point calls dominate","11-12 High risk: reactive pattern, no validation, cash at risk"))))</f>
        <v/>
      </c>
    </row>
    <row r="131">
      <c r="I131" s="3">
        <f>IF(A131="","",MIN(2,MAX(0,ROUND(C131,0)))+MIN(2,MAX(0,ROUND(D131,0)))+MIN(2,MAX(0,ROUND(E131,0)))+MIN(2,MAX(0,ROUND(F131,0)))+MIN(2,MAX(0,ROUND(G131,0)))+MIN(2,MAX(0,ROUND(H131,0))))</f>
        <v/>
      </c>
      <c r="J131" s="4">
        <f>IF(A131="","",IF(I131&lt;=3,"0-3 Foundation: verification habit; building a decision system",IF(I131&lt;=7,"4-7 Volatile: experience-led, swayed by short-term swings; add validation + retros",IF(I131&lt;=10,"8-10 At risk: emotion, analogy and single-point calls dominate","11-12 High risk: reactive pattern, no validation, cash at risk"))))</f>
        <v/>
      </c>
    </row>
    <row r="132">
      <c r="I132" s="3">
        <f>IF(A132="","",MIN(2,MAX(0,ROUND(C132,0)))+MIN(2,MAX(0,ROUND(D132,0)))+MIN(2,MAX(0,ROUND(E132,0)))+MIN(2,MAX(0,ROUND(F132,0)))+MIN(2,MAX(0,ROUND(G132,0)))+MIN(2,MAX(0,ROUND(H132,0))))</f>
        <v/>
      </c>
      <c r="J132" s="4">
        <f>IF(A132="","",IF(I132&lt;=3,"0-3 Foundation: verification habit; building a decision system",IF(I132&lt;=7,"4-7 Volatile: experience-led, swayed by short-term swings; add validation + retros",IF(I132&lt;=10,"8-10 At risk: emotion, analogy and single-point calls dominate","11-12 High risk: reactive pattern, no validation, cash at risk"))))</f>
        <v/>
      </c>
    </row>
    <row r="133">
      <c r="I133" s="3">
        <f>IF(A133="","",MIN(2,MAX(0,ROUND(C133,0)))+MIN(2,MAX(0,ROUND(D133,0)))+MIN(2,MAX(0,ROUND(E133,0)))+MIN(2,MAX(0,ROUND(F133,0)))+MIN(2,MAX(0,ROUND(G133,0)))+MIN(2,MAX(0,ROUND(H133,0))))</f>
        <v/>
      </c>
      <c r="J133" s="4">
        <f>IF(A133="","",IF(I133&lt;=3,"0-3 Foundation: verification habit; building a decision system",IF(I133&lt;=7,"4-7 Volatile: experience-led, swayed by short-term swings; add validation + retros",IF(I133&lt;=10,"8-10 At risk: emotion, analogy and single-point calls dominate","11-12 High risk: reactive pattern, no validation, cash at risk"))))</f>
        <v/>
      </c>
    </row>
    <row r="134">
      <c r="I134" s="3">
        <f>IF(A134="","",MIN(2,MAX(0,ROUND(C134,0)))+MIN(2,MAX(0,ROUND(D134,0)))+MIN(2,MAX(0,ROUND(E134,0)))+MIN(2,MAX(0,ROUND(F134,0)))+MIN(2,MAX(0,ROUND(G134,0)))+MIN(2,MAX(0,ROUND(H134,0))))</f>
        <v/>
      </c>
      <c r="J134" s="4">
        <f>IF(A134="","",IF(I134&lt;=3,"0-3 Foundation: verification habit; building a decision system",IF(I134&lt;=7,"4-7 Volatile: experience-led, swayed by short-term swings; add validation + retros",IF(I134&lt;=10,"8-10 At risk: emotion, analogy and single-point calls dominate","11-12 High risk: reactive pattern, no validation, cash at risk"))))</f>
        <v/>
      </c>
    </row>
    <row r="135">
      <c r="I135" s="3">
        <f>IF(A135="","",MIN(2,MAX(0,ROUND(C135,0)))+MIN(2,MAX(0,ROUND(D135,0)))+MIN(2,MAX(0,ROUND(E135,0)))+MIN(2,MAX(0,ROUND(F135,0)))+MIN(2,MAX(0,ROUND(G135,0)))+MIN(2,MAX(0,ROUND(H135,0))))</f>
        <v/>
      </c>
      <c r="J135" s="4">
        <f>IF(A135="","",IF(I135&lt;=3,"0-3 Foundation: verification habit; building a decision system",IF(I135&lt;=7,"4-7 Volatile: experience-led, swayed by short-term swings; add validation + retros",IF(I135&lt;=10,"8-10 At risk: emotion, analogy and single-point calls dominate","11-12 High risk: reactive pattern, no validation, cash at risk"))))</f>
        <v/>
      </c>
    </row>
    <row r="136">
      <c r="I136" s="3">
        <f>IF(A136="","",MIN(2,MAX(0,ROUND(C136,0)))+MIN(2,MAX(0,ROUND(D136,0)))+MIN(2,MAX(0,ROUND(E136,0)))+MIN(2,MAX(0,ROUND(F136,0)))+MIN(2,MAX(0,ROUND(G136,0)))+MIN(2,MAX(0,ROUND(H136,0))))</f>
        <v/>
      </c>
      <c r="J136" s="4">
        <f>IF(A136="","",IF(I136&lt;=3,"0-3 Foundation: verification habit; building a decision system",IF(I136&lt;=7,"4-7 Volatile: experience-led, swayed by short-term swings; add validation + retros",IF(I136&lt;=10,"8-10 At risk: emotion, analogy and single-point calls dominate","11-12 High risk: reactive pattern, no validation, cash at risk"))))</f>
        <v/>
      </c>
    </row>
    <row r="137">
      <c r="I137" s="3">
        <f>IF(A137="","",MIN(2,MAX(0,ROUND(C137,0)))+MIN(2,MAX(0,ROUND(D137,0)))+MIN(2,MAX(0,ROUND(E137,0)))+MIN(2,MAX(0,ROUND(F137,0)))+MIN(2,MAX(0,ROUND(G137,0)))+MIN(2,MAX(0,ROUND(H137,0))))</f>
        <v/>
      </c>
      <c r="J137" s="4">
        <f>IF(A137="","",IF(I137&lt;=3,"0-3 Foundation: verification habit; building a decision system",IF(I137&lt;=7,"4-7 Volatile: experience-led, swayed by short-term swings; add validation + retros",IF(I137&lt;=10,"8-10 At risk: emotion, analogy and single-point calls dominate","11-12 High risk: reactive pattern, no validation, cash at risk"))))</f>
        <v/>
      </c>
    </row>
    <row r="138">
      <c r="I138" s="3">
        <f>IF(A138="","",MIN(2,MAX(0,ROUND(C138,0)))+MIN(2,MAX(0,ROUND(D138,0)))+MIN(2,MAX(0,ROUND(E138,0)))+MIN(2,MAX(0,ROUND(F138,0)))+MIN(2,MAX(0,ROUND(G138,0)))+MIN(2,MAX(0,ROUND(H138,0))))</f>
        <v/>
      </c>
      <c r="J138" s="4">
        <f>IF(A138="","",IF(I138&lt;=3,"0-3 Foundation: verification habit; building a decision system",IF(I138&lt;=7,"4-7 Volatile: experience-led, swayed by short-term swings; add validation + retros",IF(I138&lt;=10,"8-10 At risk: emotion, analogy and single-point calls dominate","11-12 High risk: reactive pattern, no validation, cash at risk"))))</f>
        <v/>
      </c>
    </row>
    <row r="139">
      <c r="I139" s="3">
        <f>IF(A139="","",MIN(2,MAX(0,ROUND(C139,0)))+MIN(2,MAX(0,ROUND(D139,0)))+MIN(2,MAX(0,ROUND(E139,0)))+MIN(2,MAX(0,ROUND(F139,0)))+MIN(2,MAX(0,ROUND(G139,0)))+MIN(2,MAX(0,ROUND(H139,0))))</f>
        <v/>
      </c>
      <c r="J139" s="4">
        <f>IF(A139="","",IF(I139&lt;=3,"0-3 Foundation: verification habit; building a decision system",IF(I139&lt;=7,"4-7 Volatile: experience-led, swayed by short-term swings; add validation + retros",IF(I139&lt;=10,"8-10 At risk: emotion, analogy and single-point calls dominate","11-12 High risk: reactive pattern, no validation, cash at risk"))))</f>
        <v/>
      </c>
    </row>
    <row r="140">
      <c r="I140" s="3">
        <f>IF(A140="","",MIN(2,MAX(0,ROUND(C140,0)))+MIN(2,MAX(0,ROUND(D140,0)))+MIN(2,MAX(0,ROUND(E140,0)))+MIN(2,MAX(0,ROUND(F140,0)))+MIN(2,MAX(0,ROUND(G140,0)))+MIN(2,MAX(0,ROUND(H140,0))))</f>
        <v/>
      </c>
      <c r="J140" s="4">
        <f>IF(A140="","",IF(I140&lt;=3,"0-3 Foundation: verification habit; building a decision system",IF(I140&lt;=7,"4-7 Volatile: experience-led, swayed by short-term swings; add validation + retros",IF(I140&lt;=10,"8-10 At risk: emotion, analogy and single-point calls dominate","11-12 High risk: reactive pattern, no validation, cash at risk"))))</f>
        <v/>
      </c>
    </row>
    <row r="141">
      <c r="I141" s="3">
        <f>IF(A141="","",MIN(2,MAX(0,ROUND(C141,0)))+MIN(2,MAX(0,ROUND(D141,0)))+MIN(2,MAX(0,ROUND(E141,0)))+MIN(2,MAX(0,ROUND(F141,0)))+MIN(2,MAX(0,ROUND(G141,0)))+MIN(2,MAX(0,ROUND(H141,0))))</f>
        <v/>
      </c>
      <c r="J141" s="4">
        <f>IF(A141="","",IF(I141&lt;=3,"0-3 Foundation: verification habit; building a decision system",IF(I141&lt;=7,"4-7 Volatile: experience-led, swayed by short-term swings; add validation + retros",IF(I141&lt;=10,"8-10 At risk: emotion, analogy and single-point calls dominate","11-12 High risk: reactive pattern, no validation, cash at risk"))))</f>
        <v/>
      </c>
    </row>
    <row r="142">
      <c r="I142" s="3">
        <f>IF(A142="","",MIN(2,MAX(0,ROUND(C142,0)))+MIN(2,MAX(0,ROUND(D142,0)))+MIN(2,MAX(0,ROUND(E142,0)))+MIN(2,MAX(0,ROUND(F142,0)))+MIN(2,MAX(0,ROUND(G142,0)))+MIN(2,MAX(0,ROUND(H142,0))))</f>
        <v/>
      </c>
      <c r="J142" s="4">
        <f>IF(A142="","",IF(I142&lt;=3,"0-3 Foundation: verification habit; building a decision system",IF(I142&lt;=7,"4-7 Volatile: experience-led, swayed by short-term swings; add validation + retros",IF(I142&lt;=10,"8-10 At risk: emotion, analogy and single-point calls dominate","11-12 High risk: reactive pattern, no validation, cash at risk"))))</f>
        <v/>
      </c>
    </row>
    <row r="143">
      <c r="I143" s="3">
        <f>IF(A143="","",MIN(2,MAX(0,ROUND(C143,0)))+MIN(2,MAX(0,ROUND(D143,0)))+MIN(2,MAX(0,ROUND(E143,0)))+MIN(2,MAX(0,ROUND(F143,0)))+MIN(2,MAX(0,ROUND(G143,0)))+MIN(2,MAX(0,ROUND(H143,0))))</f>
        <v/>
      </c>
      <c r="J143" s="4">
        <f>IF(A143="","",IF(I143&lt;=3,"0-3 Foundation: verification habit; building a decision system",IF(I143&lt;=7,"4-7 Volatile: experience-led, swayed by short-term swings; add validation + retros",IF(I143&lt;=10,"8-10 At risk: emotion, analogy and single-point calls dominate","11-12 High risk: reactive pattern, no validation, cash at risk"))))</f>
        <v/>
      </c>
    </row>
    <row r="144">
      <c r="I144" s="3">
        <f>IF(A144="","",MIN(2,MAX(0,ROUND(C144,0)))+MIN(2,MAX(0,ROUND(D144,0)))+MIN(2,MAX(0,ROUND(E144,0)))+MIN(2,MAX(0,ROUND(F144,0)))+MIN(2,MAX(0,ROUND(G144,0)))+MIN(2,MAX(0,ROUND(H144,0))))</f>
        <v/>
      </c>
      <c r="J144" s="4">
        <f>IF(A144="","",IF(I144&lt;=3,"0-3 Foundation: verification habit; building a decision system",IF(I144&lt;=7,"4-7 Volatile: experience-led, swayed by short-term swings; add validation + retros",IF(I144&lt;=10,"8-10 At risk: emotion, analogy and single-point calls dominate","11-12 High risk: reactive pattern, no validation, cash at risk"))))</f>
        <v/>
      </c>
    </row>
    <row r="145">
      <c r="I145" s="3">
        <f>IF(A145="","",MIN(2,MAX(0,ROUND(C145,0)))+MIN(2,MAX(0,ROUND(D145,0)))+MIN(2,MAX(0,ROUND(E145,0)))+MIN(2,MAX(0,ROUND(F145,0)))+MIN(2,MAX(0,ROUND(G145,0)))+MIN(2,MAX(0,ROUND(H145,0))))</f>
        <v/>
      </c>
      <c r="J145" s="4">
        <f>IF(A145="","",IF(I145&lt;=3,"0-3 Foundation: verification habit; building a decision system",IF(I145&lt;=7,"4-7 Volatile: experience-led, swayed by short-term swings; add validation + retros",IF(I145&lt;=10,"8-10 At risk: emotion, analogy and single-point calls dominate","11-12 High risk: reactive pattern, no validation, cash at risk"))))</f>
        <v/>
      </c>
    </row>
    <row r="146">
      <c r="I146" s="3">
        <f>IF(A146="","",MIN(2,MAX(0,ROUND(C146,0)))+MIN(2,MAX(0,ROUND(D146,0)))+MIN(2,MAX(0,ROUND(E146,0)))+MIN(2,MAX(0,ROUND(F146,0)))+MIN(2,MAX(0,ROUND(G146,0)))+MIN(2,MAX(0,ROUND(H146,0))))</f>
        <v/>
      </c>
      <c r="J146" s="4">
        <f>IF(A146="","",IF(I146&lt;=3,"0-3 Foundation: verification habit; building a decision system",IF(I146&lt;=7,"4-7 Volatile: experience-led, swayed by short-term swings; add validation + retros",IF(I146&lt;=10,"8-10 At risk: emotion, analogy and single-point calls dominate","11-12 High risk: reactive pattern, no validation, cash at risk"))))</f>
        <v/>
      </c>
    </row>
    <row r="147">
      <c r="I147" s="3">
        <f>IF(A147="","",MIN(2,MAX(0,ROUND(C147,0)))+MIN(2,MAX(0,ROUND(D147,0)))+MIN(2,MAX(0,ROUND(E147,0)))+MIN(2,MAX(0,ROUND(F147,0)))+MIN(2,MAX(0,ROUND(G147,0)))+MIN(2,MAX(0,ROUND(H147,0))))</f>
        <v/>
      </c>
      <c r="J147" s="4">
        <f>IF(A147="","",IF(I147&lt;=3,"0-3 Foundation: verification habit; building a decision system",IF(I147&lt;=7,"4-7 Volatile: experience-led, swayed by short-term swings; add validation + retros",IF(I147&lt;=10,"8-10 At risk: emotion, analogy and single-point calls dominate","11-12 High risk: reactive pattern, no validation, cash at risk"))))</f>
        <v/>
      </c>
    </row>
    <row r="148">
      <c r="I148" s="3">
        <f>IF(A148="","",MIN(2,MAX(0,ROUND(C148,0)))+MIN(2,MAX(0,ROUND(D148,0)))+MIN(2,MAX(0,ROUND(E148,0)))+MIN(2,MAX(0,ROUND(F148,0)))+MIN(2,MAX(0,ROUND(G148,0)))+MIN(2,MAX(0,ROUND(H148,0))))</f>
        <v/>
      </c>
      <c r="J148" s="4">
        <f>IF(A148="","",IF(I148&lt;=3,"0-3 Foundation: verification habit; building a decision system",IF(I148&lt;=7,"4-7 Volatile: experience-led, swayed by short-term swings; add validation + retros",IF(I148&lt;=10,"8-10 At risk: emotion, analogy and single-point calls dominate","11-12 High risk: reactive pattern, no validation, cash at risk"))))</f>
        <v/>
      </c>
    </row>
    <row r="149">
      <c r="I149" s="3">
        <f>IF(A149="","",MIN(2,MAX(0,ROUND(C149,0)))+MIN(2,MAX(0,ROUND(D149,0)))+MIN(2,MAX(0,ROUND(E149,0)))+MIN(2,MAX(0,ROUND(F149,0)))+MIN(2,MAX(0,ROUND(G149,0)))+MIN(2,MAX(0,ROUND(H149,0))))</f>
        <v/>
      </c>
      <c r="J149" s="4">
        <f>IF(A149="","",IF(I149&lt;=3,"0-3 Foundation: verification habit; building a decision system",IF(I149&lt;=7,"4-7 Volatile: experience-led, swayed by short-term swings; add validation + retros",IF(I149&lt;=10,"8-10 At risk: emotion, analogy and single-point calls dominate","11-12 High risk: reactive pattern, no validation, cash at risk"))))</f>
        <v/>
      </c>
    </row>
    <row r="150">
      <c r="I150" s="3">
        <f>IF(A150="","",MIN(2,MAX(0,ROUND(C150,0)))+MIN(2,MAX(0,ROUND(D150,0)))+MIN(2,MAX(0,ROUND(E150,0)))+MIN(2,MAX(0,ROUND(F150,0)))+MIN(2,MAX(0,ROUND(G150,0)))+MIN(2,MAX(0,ROUND(H150,0))))</f>
        <v/>
      </c>
      <c r="J150" s="4">
        <f>IF(A150="","",IF(I150&lt;=3,"0-3 Foundation: verification habit; building a decision system",IF(I150&lt;=7,"4-7 Volatile: experience-led, swayed by short-term swings; add validation + retros",IF(I150&lt;=10,"8-10 At risk: emotion, analogy and single-point calls dominate","11-12 High risk: reactive pattern, no validation, cash at risk"))))</f>
        <v/>
      </c>
    </row>
    <row r="151">
      <c r="I151" s="3">
        <f>IF(A151="","",MIN(2,MAX(0,ROUND(C151,0)))+MIN(2,MAX(0,ROUND(D151,0)))+MIN(2,MAX(0,ROUND(E151,0)))+MIN(2,MAX(0,ROUND(F151,0)))+MIN(2,MAX(0,ROUND(G151,0)))+MIN(2,MAX(0,ROUND(H151,0))))</f>
        <v/>
      </c>
      <c r="J151" s="4">
        <f>IF(A151="","",IF(I151&lt;=3,"0-3 Foundation: verification habit; building a decision system",IF(I151&lt;=7,"4-7 Volatile: experience-led, swayed by short-term swings; add validation + retros",IF(I151&lt;=10,"8-10 At risk: emotion, analogy and single-point calls dominate","11-12 High risk: reactive pattern, no validation, cash at risk"))))</f>
        <v/>
      </c>
    </row>
    <row r="152">
      <c r="I152" s="3">
        <f>IF(A152="","",MIN(2,MAX(0,ROUND(C152,0)))+MIN(2,MAX(0,ROUND(D152,0)))+MIN(2,MAX(0,ROUND(E152,0)))+MIN(2,MAX(0,ROUND(F152,0)))+MIN(2,MAX(0,ROUND(G152,0)))+MIN(2,MAX(0,ROUND(H152,0))))</f>
        <v/>
      </c>
      <c r="J152" s="4">
        <f>IF(A152="","",IF(I152&lt;=3,"0-3 Foundation: verification habit; building a decision system",IF(I152&lt;=7,"4-7 Volatile: experience-led, swayed by short-term swings; add validation + retros",IF(I152&lt;=10,"8-10 At risk: emotion, analogy and single-point calls dominate","11-12 High risk: reactive pattern, no validation, cash at risk"))))</f>
        <v/>
      </c>
    </row>
    <row r="153">
      <c r="I153" s="3">
        <f>IF(A153="","",MIN(2,MAX(0,ROUND(C153,0)))+MIN(2,MAX(0,ROUND(D153,0)))+MIN(2,MAX(0,ROUND(E153,0)))+MIN(2,MAX(0,ROUND(F153,0)))+MIN(2,MAX(0,ROUND(G153,0)))+MIN(2,MAX(0,ROUND(H153,0))))</f>
        <v/>
      </c>
      <c r="J153" s="4">
        <f>IF(A153="","",IF(I153&lt;=3,"0-3 Foundation: verification habit; building a decision system",IF(I153&lt;=7,"4-7 Volatile: experience-led, swayed by short-term swings; add validation + retros",IF(I153&lt;=10,"8-10 At risk: emotion, analogy and single-point calls dominate","11-12 High risk: reactive pattern, no validation, cash at risk"))))</f>
        <v/>
      </c>
    </row>
    <row r="154">
      <c r="I154" s="3">
        <f>IF(A154="","",MIN(2,MAX(0,ROUND(C154,0)))+MIN(2,MAX(0,ROUND(D154,0)))+MIN(2,MAX(0,ROUND(E154,0)))+MIN(2,MAX(0,ROUND(F154,0)))+MIN(2,MAX(0,ROUND(G154,0)))+MIN(2,MAX(0,ROUND(H154,0))))</f>
        <v/>
      </c>
      <c r="J154" s="4">
        <f>IF(A154="","",IF(I154&lt;=3,"0-3 Foundation: verification habit; building a decision system",IF(I154&lt;=7,"4-7 Volatile: experience-led, swayed by short-term swings; add validation + retros",IF(I154&lt;=10,"8-10 At risk: emotion, analogy and single-point calls dominate","11-12 High risk: reactive pattern, no validation, cash at risk"))))</f>
        <v/>
      </c>
    </row>
    <row r="155">
      <c r="I155" s="3">
        <f>IF(A155="","",MIN(2,MAX(0,ROUND(C155,0)))+MIN(2,MAX(0,ROUND(D155,0)))+MIN(2,MAX(0,ROUND(E155,0)))+MIN(2,MAX(0,ROUND(F155,0)))+MIN(2,MAX(0,ROUND(G155,0)))+MIN(2,MAX(0,ROUND(H155,0))))</f>
        <v/>
      </c>
      <c r="J155" s="4">
        <f>IF(A155="","",IF(I155&lt;=3,"0-3 Foundation: verification habit; building a decision system",IF(I155&lt;=7,"4-7 Volatile: experience-led, swayed by short-term swings; add validation + retros",IF(I155&lt;=10,"8-10 At risk: emotion, analogy and single-point calls dominate","11-12 High risk: reactive pattern, no validation, cash at risk"))))</f>
        <v/>
      </c>
    </row>
    <row r="156">
      <c r="I156" s="3">
        <f>IF(A156="","",MIN(2,MAX(0,ROUND(C156,0)))+MIN(2,MAX(0,ROUND(D156,0)))+MIN(2,MAX(0,ROUND(E156,0)))+MIN(2,MAX(0,ROUND(F156,0)))+MIN(2,MAX(0,ROUND(G156,0)))+MIN(2,MAX(0,ROUND(H156,0))))</f>
        <v/>
      </c>
      <c r="J156" s="4">
        <f>IF(A156="","",IF(I156&lt;=3,"0-3 Foundation: verification habit; building a decision system",IF(I156&lt;=7,"4-7 Volatile: experience-led, swayed by short-term swings; add validation + retros",IF(I156&lt;=10,"8-10 At risk: emotion, analogy and single-point calls dominate","11-12 High risk: reactive pattern, no validation, cash at risk"))))</f>
        <v/>
      </c>
    </row>
    <row r="157">
      <c r="I157" s="3">
        <f>IF(A157="","",MIN(2,MAX(0,ROUND(C157,0)))+MIN(2,MAX(0,ROUND(D157,0)))+MIN(2,MAX(0,ROUND(E157,0)))+MIN(2,MAX(0,ROUND(F157,0)))+MIN(2,MAX(0,ROUND(G157,0)))+MIN(2,MAX(0,ROUND(H157,0))))</f>
        <v/>
      </c>
      <c r="J157" s="4">
        <f>IF(A157="","",IF(I157&lt;=3,"0-3 Foundation: verification habit; building a decision system",IF(I157&lt;=7,"4-7 Volatile: experience-led, swayed by short-term swings; add validation + retros",IF(I157&lt;=10,"8-10 At risk: emotion, analogy and single-point calls dominate","11-12 High risk: reactive pattern, no validation, cash at risk"))))</f>
        <v/>
      </c>
    </row>
    <row r="158">
      <c r="I158" s="3">
        <f>IF(A158="","",MIN(2,MAX(0,ROUND(C158,0)))+MIN(2,MAX(0,ROUND(D158,0)))+MIN(2,MAX(0,ROUND(E158,0)))+MIN(2,MAX(0,ROUND(F158,0)))+MIN(2,MAX(0,ROUND(G158,0)))+MIN(2,MAX(0,ROUND(H158,0))))</f>
        <v/>
      </c>
      <c r="J158" s="4">
        <f>IF(A158="","",IF(I158&lt;=3,"0-3 Foundation: verification habit; building a decision system",IF(I158&lt;=7,"4-7 Volatile: experience-led, swayed by short-term swings; add validation + retros",IF(I158&lt;=10,"8-10 At risk: emotion, analogy and single-point calls dominate","11-12 High risk: reactive pattern, no validation, cash at risk"))))</f>
        <v/>
      </c>
    </row>
    <row r="159">
      <c r="I159" s="3">
        <f>IF(A159="","",MIN(2,MAX(0,ROUND(C159,0)))+MIN(2,MAX(0,ROUND(D159,0)))+MIN(2,MAX(0,ROUND(E159,0)))+MIN(2,MAX(0,ROUND(F159,0)))+MIN(2,MAX(0,ROUND(G159,0)))+MIN(2,MAX(0,ROUND(H159,0))))</f>
        <v/>
      </c>
      <c r="J159" s="4">
        <f>IF(A159="","",IF(I159&lt;=3,"0-3 Foundation: verification habit; building a decision system",IF(I159&lt;=7,"4-7 Volatile: experience-led, swayed by short-term swings; add validation + retros",IF(I159&lt;=10,"8-10 At risk: emotion, analogy and single-point calls dominate","11-12 High risk: reactive pattern, no validation, cash at risk"))))</f>
        <v/>
      </c>
    </row>
    <row r="160">
      <c r="I160" s="3">
        <f>IF(A160="","",MIN(2,MAX(0,ROUND(C160,0)))+MIN(2,MAX(0,ROUND(D160,0)))+MIN(2,MAX(0,ROUND(E160,0)))+MIN(2,MAX(0,ROUND(F160,0)))+MIN(2,MAX(0,ROUND(G160,0)))+MIN(2,MAX(0,ROUND(H160,0))))</f>
        <v/>
      </c>
      <c r="J160" s="4">
        <f>IF(A160="","",IF(I160&lt;=3,"0-3 Foundation: verification habit; building a decision system",IF(I160&lt;=7,"4-7 Volatile: experience-led, swayed by short-term swings; add validation + retros",IF(I160&lt;=10,"8-10 At risk: emotion, analogy and single-point calls dominate","11-12 High risk: reactive pattern, no validation, cash at risk"))))</f>
        <v/>
      </c>
    </row>
    <row r="161">
      <c r="I161" s="3">
        <f>IF(A161="","",MIN(2,MAX(0,ROUND(C161,0)))+MIN(2,MAX(0,ROUND(D161,0)))+MIN(2,MAX(0,ROUND(E161,0)))+MIN(2,MAX(0,ROUND(F161,0)))+MIN(2,MAX(0,ROUND(G161,0)))+MIN(2,MAX(0,ROUND(H161,0))))</f>
        <v/>
      </c>
      <c r="J161" s="4">
        <f>IF(A161="","",IF(I161&lt;=3,"0-3 Foundation: verification habit; building a decision system",IF(I161&lt;=7,"4-7 Volatile: experience-led, swayed by short-term swings; add validation + retros",IF(I161&lt;=10,"8-10 At risk: emotion, analogy and single-point calls dominate","11-12 High risk: reactive pattern, no validation, cash at risk"))))</f>
        <v/>
      </c>
    </row>
    <row r="162">
      <c r="I162" s="3">
        <f>IF(A162="","",MIN(2,MAX(0,ROUND(C162,0)))+MIN(2,MAX(0,ROUND(D162,0)))+MIN(2,MAX(0,ROUND(E162,0)))+MIN(2,MAX(0,ROUND(F162,0)))+MIN(2,MAX(0,ROUND(G162,0)))+MIN(2,MAX(0,ROUND(H162,0))))</f>
        <v/>
      </c>
      <c r="J162" s="4">
        <f>IF(A162="","",IF(I162&lt;=3,"0-3 Foundation: verification habit; building a decision system",IF(I162&lt;=7,"4-7 Volatile: experience-led, swayed by short-term swings; add validation + retros",IF(I162&lt;=10,"8-10 At risk: emotion, analogy and single-point calls dominate","11-12 High risk: reactive pattern, no validation, cash at risk"))))</f>
        <v/>
      </c>
    </row>
    <row r="163">
      <c r="I163" s="3">
        <f>IF(A163="","",MIN(2,MAX(0,ROUND(C163,0)))+MIN(2,MAX(0,ROUND(D163,0)))+MIN(2,MAX(0,ROUND(E163,0)))+MIN(2,MAX(0,ROUND(F163,0)))+MIN(2,MAX(0,ROUND(G163,0)))+MIN(2,MAX(0,ROUND(H163,0))))</f>
        <v/>
      </c>
      <c r="J163" s="4">
        <f>IF(A163="","",IF(I163&lt;=3,"0-3 Foundation: verification habit; building a decision system",IF(I163&lt;=7,"4-7 Volatile: experience-led, swayed by short-term swings; add validation + retros",IF(I163&lt;=10,"8-10 At risk: emotion, analogy and single-point calls dominate","11-12 High risk: reactive pattern, no validation, cash at risk"))))</f>
        <v/>
      </c>
    </row>
    <row r="164">
      <c r="I164" s="3">
        <f>IF(A164="","",MIN(2,MAX(0,ROUND(C164,0)))+MIN(2,MAX(0,ROUND(D164,0)))+MIN(2,MAX(0,ROUND(E164,0)))+MIN(2,MAX(0,ROUND(F164,0)))+MIN(2,MAX(0,ROUND(G164,0)))+MIN(2,MAX(0,ROUND(H164,0))))</f>
        <v/>
      </c>
      <c r="J164" s="4">
        <f>IF(A164="","",IF(I164&lt;=3,"0-3 Foundation: verification habit; building a decision system",IF(I164&lt;=7,"4-7 Volatile: experience-led, swayed by short-term swings; add validation + retros",IF(I164&lt;=10,"8-10 At risk: emotion, analogy and single-point calls dominate","11-12 High risk: reactive pattern, no validation, cash at risk"))))</f>
        <v/>
      </c>
    </row>
    <row r="165">
      <c r="I165" s="3">
        <f>IF(A165="","",MIN(2,MAX(0,ROUND(C165,0)))+MIN(2,MAX(0,ROUND(D165,0)))+MIN(2,MAX(0,ROUND(E165,0)))+MIN(2,MAX(0,ROUND(F165,0)))+MIN(2,MAX(0,ROUND(G165,0)))+MIN(2,MAX(0,ROUND(H165,0))))</f>
        <v/>
      </c>
      <c r="J165" s="4">
        <f>IF(A165="","",IF(I165&lt;=3,"0-3 Foundation: verification habit; building a decision system",IF(I165&lt;=7,"4-7 Volatile: experience-led, swayed by short-term swings; add validation + retros",IF(I165&lt;=10,"8-10 At risk: emotion, analogy and single-point calls dominate","11-12 High risk: reactive pattern, no validation, cash at risk"))))</f>
        <v/>
      </c>
    </row>
    <row r="166">
      <c r="I166" s="3">
        <f>IF(A166="","",MIN(2,MAX(0,ROUND(C166,0)))+MIN(2,MAX(0,ROUND(D166,0)))+MIN(2,MAX(0,ROUND(E166,0)))+MIN(2,MAX(0,ROUND(F166,0)))+MIN(2,MAX(0,ROUND(G166,0)))+MIN(2,MAX(0,ROUND(H166,0))))</f>
        <v/>
      </c>
      <c r="J166" s="4">
        <f>IF(A166="","",IF(I166&lt;=3,"0-3 Foundation: verification habit; building a decision system",IF(I166&lt;=7,"4-7 Volatile: experience-led, swayed by short-term swings; add validation + retros",IF(I166&lt;=10,"8-10 At risk: emotion, analogy and single-point calls dominate","11-12 High risk: reactive pattern, no validation, cash at risk"))))</f>
        <v/>
      </c>
    </row>
    <row r="167">
      <c r="I167" s="3">
        <f>IF(A167="","",MIN(2,MAX(0,ROUND(C167,0)))+MIN(2,MAX(0,ROUND(D167,0)))+MIN(2,MAX(0,ROUND(E167,0)))+MIN(2,MAX(0,ROUND(F167,0)))+MIN(2,MAX(0,ROUND(G167,0)))+MIN(2,MAX(0,ROUND(H167,0))))</f>
        <v/>
      </c>
      <c r="J167" s="4">
        <f>IF(A167="","",IF(I167&lt;=3,"0-3 Foundation: verification habit; building a decision system",IF(I167&lt;=7,"4-7 Volatile: experience-led, swayed by short-term swings; add validation + retros",IF(I167&lt;=10,"8-10 At risk: emotion, analogy and single-point calls dominate","11-12 High risk: reactive pattern, no validation, cash at risk"))))</f>
        <v/>
      </c>
    </row>
    <row r="168">
      <c r="I168" s="3">
        <f>IF(A168="","",MIN(2,MAX(0,ROUND(C168,0)))+MIN(2,MAX(0,ROUND(D168,0)))+MIN(2,MAX(0,ROUND(E168,0)))+MIN(2,MAX(0,ROUND(F168,0)))+MIN(2,MAX(0,ROUND(G168,0)))+MIN(2,MAX(0,ROUND(H168,0))))</f>
        <v/>
      </c>
      <c r="J168" s="4">
        <f>IF(A168="","",IF(I168&lt;=3,"0-3 Foundation: verification habit; building a decision system",IF(I168&lt;=7,"4-7 Volatile: experience-led, swayed by short-term swings; add validation + retros",IF(I168&lt;=10,"8-10 At risk: emotion, analogy and single-point calls dominate","11-12 High risk: reactive pattern, no validation, cash at risk"))))</f>
        <v/>
      </c>
    </row>
    <row r="169">
      <c r="I169" s="3">
        <f>IF(A169="","",MIN(2,MAX(0,ROUND(C169,0)))+MIN(2,MAX(0,ROUND(D169,0)))+MIN(2,MAX(0,ROUND(E169,0)))+MIN(2,MAX(0,ROUND(F169,0)))+MIN(2,MAX(0,ROUND(G169,0)))+MIN(2,MAX(0,ROUND(H169,0))))</f>
        <v/>
      </c>
      <c r="J169" s="4">
        <f>IF(A169="","",IF(I169&lt;=3,"0-3 Foundation: verification habit; building a decision system",IF(I169&lt;=7,"4-7 Volatile: experience-led, swayed by short-term swings; add validation + retros",IF(I169&lt;=10,"8-10 At risk: emotion, analogy and single-point calls dominate","11-12 High risk: reactive pattern, no validation, cash at risk"))))</f>
        <v/>
      </c>
    </row>
    <row r="170">
      <c r="I170" s="3">
        <f>IF(A170="","",MIN(2,MAX(0,ROUND(C170,0)))+MIN(2,MAX(0,ROUND(D170,0)))+MIN(2,MAX(0,ROUND(E170,0)))+MIN(2,MAX(0,ROUND(F170,0)))+MIN(2,MAX(0,ROUND(G170,0)))+MIN(2,MAX(0,ROUND(H170,0))))</f>
        <v/>
      </c>
      <c r="J170" s="4">
        <f>IF(A170="","",IF(I170&lt;=3,"0-3 Foundation: verification habit; building a decision system",IF(I170&lt;=7,"4-7 Volatile: experience-led, swayed by short-term swings; add validation + retros",IF(I170&lt;=10,"8-10 At risk: emotion, analogy and single-point calls dominate","11-12 High risk: reactive pattern, no validation, cash at risk"))))</f>
        <v/>
      </c>
    </row>
    <row r="171">
      <c r="I171" s="3">
        <f>IF(A171="","",MIN(2,MAX(0,ROUND(C171,0)))+MIN(2,MAX(0,ROUND(D171,0)))+MIN(2,MAX(0,ROUND(E171,0)))+MIN(2,MAX(0,ROUND(F171,0)))+MIN(2,MAX(0,ROUND(G171,0)))+MIN(2,MAX(0,ROUND(H171,0))))</f>
        <v/>
      </c>
      <c r="J171" s="4">
        <f>IF(A171="","",IF(I171&lt;=3,"0-3 Foundation: verification habit; building a decision system",IF(I171&lt;=7,"4-7 Volatile: experience-led, swayed by short-term swings; add validation + retros",IF(I171&lt;=10,"8-10 At risk: emotion, analogy and single-point calls dominate","11-12 High risk: reactive pattern, no validation, cash at risk"))))</f>
        <v/>
      </c>
    </row>
    <row r="172">
      <c r="I172" s="3">
        <f>IF(A172="","",MIN(2,MAX(0,ROUND(C172,0)))+MIN(2,MAX(0,ROUND(D172,0)))+MIN(2,MAX(0,ROUND(E172,0)))+MIN(2,MAX(0,ROUND(F172,0)))+MIN(2,MAX(0,ROUND(G172,0)))+MIN(2,MAX(0,ROUND(H172,0))))</f>
        <v/>
      </c>
      <c r="J172" s="4">
        <f>IF(A172="","",IF(I172&lt;=3,"0-3 Foundation: verification habit; building a decision system",IF(I172&lt;=7,"4-7 Volatile: experience-led, swayed by short-term swings; add validation + retros",IF(I172&lt;=10,"8-10 At risk: emotion, analogy and single-point calls dominate","11-12 High risk: reactive pattern, no validation, cash at risk"))))</f>
        <v/>
      </c>
    </row>
    <row r="173">
      <c r="I173" s="3">
        <f>IF(A173="","",MIN(2,MAX(0,ROUND(C173,0)))+MIN(2,MAX(0,ROUND(D173,0)))+MIN(2,MAX(0,ROUND(E173,0)))+MIN(2,MAX(0,ROUND(F173,0)))+MIN(2,MAX(0,ROUND(G173,0)))+MIN(2,MAX(0,ROUND(H173,0))))</f>
        <v/>
      </c>
      <c r="J173" s="4">
        <f>IF(A173="","",IF(I173&lt;=3,"0-3 Foundation: verification habit; building a decision system",IF(I173&lt;=7,"4-7 Volatile: experience-led, swayed by short-term swings; add validation + retros",IF(I173&lt;=10,"8-10 At risk: emotion, analogy and single-point calls dominate","11-12 High risk: reactive pattern, no validation, cash at risk"))))</f>
        <v/>
      </c>
    </row>
    <row r="174">
      <c r="I174" s="3">
        <f>IF(A174="","",MIN(2,MAX(0,ROUND(C174,0)))+MIN(2,MAX(0,ROUND(D174,0)))+MIN(2,MAX(0,ROUND(E174,0)))+MIN(2,MAX(0,ROUND(F174,0)))+MIN(2,MAX(0,ROUND(G174,0)))+MIN(2,MAX(0,ROUND(H174,0))))</f>
        <v/>
      </c>
      <c r="J174" s="4">
        <f>IF(A174="","",IF(I174&lt;=3,"0-3 Foundation: verification habit; building a decision system",IF(I174&lt;=7,"4-7 Volatile: experience-led, swayed by short-term swings; add validation + retros",IF(I174&lt;=10,"8-10 At risk: emotion, analogy and single-point calls dominate","11-12 High risk: reactive pattern, no validation, cash at risk"))))</f>
        <v/>
      </c>
    </row>
    <row r="175">
      <c r="I175" s="3">
        <f>IF(A175="","",MIN(2,MAX(0,ROUND(C175,0)))+MIN(2,MAX(0,ROUND(D175,0)))+MIN(2,MAX(0,ROUND(E175,0)))+MIN(2,MAX(0,ROUND(F175,0)))+MIN(2,MAX(0,ROUND(G175,0)))+MIN(2,MAX(0,ROUND(H175,0))))</f>
        <v/>
      </c>
      <c r="J175" s="4">
        <f>IF(A175="","",IF(I175&lt;=3,"0-3 Foundation: verification habit; building a decision system",IF(I175&lt;=7,"4-7 Volatile: experience-led, swayed by short-term swings; add validation + retros",IF(I175&lt;=10,"8-10 At risk: emotion, analogy and single-point calls dominate","11-12 High risk: reactive pattern, no validation, cash at risk"))))</f>
        <v/>
      </c>
    </row>
    <row r="176">
      <c r="I176" s="3">
        <f>IF(A176="","",MIN(2,MAX(0,ROUND(C176,0)))+MIN(2,MAX(0,ROUND(D176,0)))+MIN(2,MAX(0,ROUND(E176,0)))+MIN(2,MAX(0,ROUND(F176,0)))+MIN(2,MAX(0,ROUND(G176,0)))+MIN(2,MAX(0,ROUND(H176,0))))</f>
        <v/>
      </c>
      <c r="J176" s="4">
        <f>IF(A176="","",IF(I176&lt;=3,"0-3 Foundation: verification habit; building a decision system",IF(I176&lt;=7,"4-7 Volatile: experience-led, swayed by short-term swings; add validation + retros",IF(I176&lt;=10,"8-10 At risk: emotion, analogy and single-point calls dominate","11-12 High risk: reactive pattern, no validation, cash at risk"))))</f>
        <v/>
      </c>
    </row>
    <row r="177">
      <c r="I177" s="3">
        <f>IF(A177="","",MIN(2,MAX(0,ROUND(C177,0)))+MIN(2,MAX(0,ROUND(D177,0)))+MIN(2,MAX(0,ROUND(E177,0)))+MIN(2,MAX(0,ROUND(F177,0)))+MIN(2,MAX(0,ROUND(G177,0)))+MIN(2,MAX(0,ROUND(H177,0))))</f>
        <v/>
      </c>
      <c r="J177" s="4">
        <f>IF(A177="","",IF(I177&lt;=3,"0-3 Foundation: verification habit; building a decision system",IF(I177&lt;=7,"4-7 Volatile: experience-led, swayed by short-term swings; add validation + retros",IF(I177&lt;=10,"8-10 At risk: emotion, analogy and single-point calls dominate","11-12 High risk: reactive pattern, no validation, cash at risk"))))</f>
        <v/>
      </c>
    </row>
    <row r="178">
      <c r="I178" s="3">
        <f>IF(A178="","",MIN(2,MAX(0,ROUND(C178,0)))+MIN(2,MAX(0,ROUND(D178,0)))+MIN(2,MAX(0,ROUND(E178,0)))+MIN(2,MAX(0,ROUND(F178,0)))+MIN(2,MAX(0,ROUND(G178,0)))+MIN(2,MAX(0,ROUND(H178,0))))</f>
        <v/>
      </c>
      <c r="J178" s="4">
        <f>IF(A178="","",IF(I178&lt;=3,"0-3 Foundation: verification habit; building a decision system",IF(I178&lt;=7,"4-7 Volatile: experience-led, swayed by short-term swings; add validation + retros",IF(I178&lt;=10,"8-10 At risk: emotion, analogy and single-point calls dominate","11-12 High risk: reactive pattern, no validation, cash at risk"))))</f>
        <v/>
      </c>
    </row>
    <row r="179">
      <c r="I179" s="3">
        <f>IF(A179="","",MIN(2,MAX(0,ROUND(C179,0)))+MIN(2,MAX(0,ROUND(D179,0)))+MIN(2,MAX(0,ROUND(E179,0)))+MIN(2,MAX(0,ROUND(F179,0)))+MIN(2,MAX(0,ROUND(G179,0)))+MIN(2,MAX(0,ROUND(H179,0))))</f>
        <v/>
      </c>
      <c r="J179" s="4">
        <f>IF(A179="","",IF(I179&lt;=3,"0-3 Foundation: verification habit; building a decision system",IF(I179&lt;=7,"4-7 Volatile: experience-led, swayed by short-term swings; add validation + retros",IF(I179&lt;=10,"8-10 At risk: emotion, analogy and single-point calls dominate","11-12 High risk: reactive pattern, no validation, cash at risk"))))</f>
        <v/>
      </c>
    </row>
    <row r="180">
      <c r="I180" s="3">
        <f>IF(A180="","",MIN(2,MAX(0,ROUND(C180,0)))+MIN(2,MAX(0,ROUND(D180,0)))+MIN(2,MAX(0,ROUND(E180,0)))+MIN(2,MAX(0,ROUND(F180,0)))+MIN(2,MAX(0,ROUND(G180,0)))+MIN(2,MAX(0,ROUND(H180,0))))</f>
        <v/>
      </c>
      <c r="J180" s="4">
        <f>IF(A180="","",IF(I180&lt;=3,"0-3 Foundation: verification habit; building a decision system",IF(I180&lt;=7,"4-7 Volatile: experience-led, swayed by short-term swings; add validation + retros",IF(I180&lt;=10,"8-10 At risk: emotion, analogy and single-point calls dominate","11-12 High risk: reactive pattern, no validation, cash at risk"))))</f>
        <v/>
      </c>
    </row>
    <row r="181">
      <c r="I181" s="3">
        <f>IF(A181="","",MIN(2,MAX(0,ROUND(C181,0)))+MIN(2,MAX(0,ROUND(D181,0)))+MIN(2,MAX(0,ROUND(E181,0)))+MIN(2,MAX(0,ROUND(F181,0)))+MIN(2,MAX(0,ROUND(G181,0)))+MIN(2,MAX(0,ROUND(H181,0))))</f>
        <v/>
      </c>
      <c r="J181" s="4">
        <f>IF(A181="","",IF(I181&lt;=3,"0-3 Foundation: verification habit; building a decision system",IF(I181&lt;=7,"4-7 Volatile: experience-led, swayed by short-term swings; add validation + retros",IF(I181&lt;=10,"8-10 At risk: emotion, analogy and single-point calls dominate","11-12 High risk: reactive pattern, no validation, cash at risk"))))</f>
        <v/>
      </c>
    </row>
    <row r="182">
      <c r="I182" s="3">
        <f>IF(A182="","",MIN(2,MAX(0,ROUND(C182,0)))+MIN(2,MAX(0,ROUND(D182,0)))+MIN(2,MAX(0,ROUND(E182,0)))+MIN(2,MAX(0,ROUND(F182,0)))+MIN(2,MAX(0,ROUND(G182,0)))+MIN(2,MAX(0,ROUND(H182,0))))</f>
        <v/>
      </c>
      <c r="J182" s="4">
        <f>IF(A182="","",IF(I182&lt;=3,"0-3 Foundation: verification habit; building a decision system",IF(I182&lt;=7,"4-7 Volatile: experience-led, swayed by short-term swings; add validation + retros",IF(I182&lt;=10,"8-10 At risk: emotion, analogy and single-point calls dominate","11-12 High risk: reactive pattern, no validation, cash at risk"))))</f>
        <v/>
      </c>
    </row>
    <row r="183">
      <c r="I183" s="3">
        <f>IF(A183="","",MIN(2,MAX(0,ROUND(C183,0)))+MIN(2,MAX(0,ROUND(D183,0)))+MIN(2,MAX(0,ROUND(E183,0)))+MIN(2,MAX(0,ROUND(F183,0)))+MIN(2,MAX(0,ROUND(G183,0)))+MIN(2,MAX(0,ROUND(H183,0))))</f>
        <v/>
      </c>
      <c r="J183" s="4">
        <f>IF(A183="","",IF(I183&lt;=3,"0-3 Foundation: verification habit; building a decision system",IF(I183&lt;=7,"4-7 Volatile: experience-led, swayed by short-term swings; add validation + retros",IF(I183&lt;=10,"8-10 At risk: emotion, analogy and single-point calls dominate","11-12 High risk: reactive pattern, no validation, cash at risk"))))</f>
        <v/>
      </c>
    </row>
    <row r="184">
      <c r="I184" s="3">
        <f>IF(A184="","",MIN(2,MAX(0,ROUND(C184,0)))+MIN(2,MAX(0,ROUND(D184,0)))+MIN(2,MAX(0,ROUND(E184,0)))+MIN(2,MAX(0,ROUND(F184,0)))+MIN(2,MAX(0,ROUND(G184,0)))+MIN(2,MAX(0,ROUND(H184,0))))</f>
        <v/>
      </c>
      <c r="J184" s="4">
        <f>IF(A184="","",IF(I184&lt;=3,"0-3 Foundation: verification habit; building a decision system",IF(I184&lt;=7,"4-7 Volatile: experience-led, swayed by short-term swings; add validation + retros",IF(I184&lt;=10,"8-10 At risk: emotion, analogy and single-point calls dominate","11-12 High risk: reactive pattern, no validation, cash at risk"))))</f>
        <v/>
      </c>
    </row>
    <row r="185">
      <c r="I185" s="3">
        <f>IF(A185="","",MIN(2,MAX(0,ROUND(C185,0)))+MIN(2,MAX(0,ROUND(D185,0)))+MIN(2,MAX(0,ROUND(E185,0)))+MIN(2,MAX(0,ROUND(F185,0)))+MIN(2,MAX(0,ROUND(G185,0)))+MIN(2,MAX(0,ROUND(H185,0))))</f>
        <v/>
      </c>
      <c r="J185" s="4">
        <f>IF(A185="","",IF(I185&lt;=3,"0-3 Foundation: verification habit; building a decision system",IF(I185&lt;=7,"4-7 Volatile: experience-led, swayed by short-term swings; add validation + retros",IF(I185&lt;=10,"8-10 At risk: emotion, analogy and single-point calls dominate","11-12 High risk: reactive pattern, no validation, cash at risk"))))</f>
        <v/>
      </c>
    </row>
    <row r="186">
      <c r="I186" s="3">
        <f>IF(A186="","",MIN(2,MAX(0,ROUND(C186,0)))+MIN(2,MAX(0,ROUND(D186,0)))+MIN(2,MAX(0,ROUND(E186,0)))+MIN(2,MAX(0,ROUND(F186,0)))+MIN(2,MAX(0,ROUND(G186,0)))+MIN(2,MAX(0,ROUND(H186,0))))</f>
        <v/>
      </c>
      <c r="J186" s="4">
        <f>IF(A186="","",IF(I186&lt;=3,"0-3 Foundation: verification habit; building a decision system",IF(I186&lt;=7,"4-7 Volatile: experience-led, swayed by short-term swings; add validation + retros",IF(I186&lt;=10,"8-10 At risk: emotion, analogy and single-point calls dominate","11-12 High risk: reactive pattern, no validation, cash at risk"))))</f>
        <v/>
      </c>
    </row>
    <row r="187">
      <c r="I187" s="3">
        <f>IF(A187="","",MIN(2,MAX(0,ROUND(C187,0)))+MIN(2,MAX(0,ROUND(D187,0)))+MIN(2,MAX(0,ROUND(E187,0)))+MIN(2,MAX(0,ROUND(F187,0)))+MIN(2,MAX(0,ROUND(G187,0)))+MIN(2,MAX(0,ROUND(H187,0))))</f>
        <v/>
      </c>
      <c r="J187" s="4">
        <f>IF(A187="","",IF(I187&lt;=3,"0-3 Foundation: verification habit; building a decision system",IF(I187&lt;=7,"4-7 Volatile: experience-led, swayed by short-term swings; add validation + retros",IF(I187&lt;=10,"8-10 At risk: emotion, analogy and single-point calls dominate","11-12 High risk: reactive pattern, no validation, cash at risk"))))</f>
        <v/>
      </c>
    </row>
    <row r="188">
      <c r="I188" s="3">
        <f>IF(A188="","",MIN(2,MAX(0,ROUND(C188,0)))+MIN(2,MAX(0,ROUND(D188,0)))+MIN(2,MAX(0,ROUND(E188,0)))+MIN(2,MAX(0,ROUND(F188,0)))+MIN(2,MAX(0,ROUND(G188,0)))+MIN(2,MAX(0,ROUND(H188,0))))</f>
        <v/>
      </c>
      <c r="J188" s="4">
        <f>IF(A188="","",IF(I188&lt;=3,"0-3 Foundation: verification habit; building a decision system",IF(I188&lt;=7,"4-7 Volatile: experience-led, swayed by short-term swings; add validation + retros",IF(I188&lt;=10,"8-10 At risk: emotion, analogy and single-point calls dominate","11-12 High risk: reactive pattern, no validation, cash at risk"))))</f>
        <v/>
      </c>
    </row>
    <row r="189">
      <c r="I189" s="3">
        <f>IF(A189="","",MIN(2,MAX(0,ROUND(C189,0)))+MIN(2,MAX(0,ROUND(D189,0)))+MIN(2,MAX(0,ROUND(E189,0)))+MIN(2,MAX(0,ROUND(F189,0)))+MIN(2,MAX(0,ROUND(G189,0)))+MIN(2,MAX(0,ROUND(H189,0))))</f>
        <v/>
      </c>
      <c r="J189" s="4">
        <f>IF(A189="","",IF(I189&lt;=3,"0-3 Foundation: verification habit; building a decision system",IF(I189&lt;=7,"4-7 Volatile: experience-led, swayed by short-term swings; add validation + retros",IF(I189&lt;=10,"8-10 At risk: emotion, analogy and single-point calls dominate","11-12 High risk: reactive pattern, no validation, cash at risk"))))</f>
        <v/>
      </c>
    </row>
    <row r="190">
      <c r="I190" s="3">
        <f>IF(A190="","",MIN(2,MAX(0,ROUND(C190,0)))+MIN(2,MAX(0,ROUND(D190,0)))+MIN(2,MAX(0,ROUND(E190,0)))+MIN(2,MAX(0,ROUND(F190,0)))+MIN(2,MAX(0,ROUND(G190,0)))+MIN(2,MAX(0,ROUND(H190,0))))</f>
        <v/>
      </c>
      <c r="J190" s="4">
        <f>IF(A190="","",IF(I190&lt;=3,"0-3 Foundation: verification habit; building a decision system",IF(I190&lt;=7,"4-7 Volatile: experience-led, swayed by short-term swings; add validation + retros",IF(I190&lt;=10,"8-10 At risk: emotion, analogy and single-point calls dominate","11-12 High risk: reactive pattern, no validation, cash at risk"))))</f>
        <v/>
      </c>
    </row>
    <row r="191">
      <c r="I191" s="3">
        <f>IF(A191="","",MIN(2,MAX(0,ROUND(C191,0)))+MIN(2,MAX(0,ROUND(D191,0)))+MIN(2,MAX(0,ROUND(E191,0)))+MIN(2,MAX(0,ROUND(F191,0)))+MIN(2,MAX(0,ROUND(G191,0)))+MIN(2,MAX(0,ROUND(H191,0))))</f>
        <v/>
      </c>
      <c r="J191" s="4">
        <f>IF(A191="","",IF(I191&lt;=3,"0-3 Foundation: verification habit; building a decision system",IF(I191&lt;=7,"4-7 Volatile: experience-led, swayed by short-term swings; add validation + retros",IF(I191&lt;=10,"8-10 At risk: emotion, analogy and single-point calls dominate","11-12 High risk: reactive pattern, no validation, cash at risk"))))</f>
        <v/>
      </c>
    </row>
    <row r="192">
      <c r="I192" s="3">
        <f>IF(A192="","",MIN(2,MAX(0,ROUND(C192,0)))+MIN(2,MAX(0,ROUND(D192,0)))+MIN(2,MAX(0,ROUND(E192,0)))+MIN(2,MAX(0,ROUND(F192,0)))+MIN(2,MAX(0,ROUND(G192,0)))+MIN(2,MAX(0,ROUND(H192,0))))</f>
        <v/>
      </c>
      <c r="J192" s="4">
        <f>IF(A192="","",IF(I192&lt;=3,"0-3 Foundation: verification habit; building a decision system",IF(I192&lt;=7,"4-7 Volatile: experience-led, swayed by short-term swings; add validation + retros",IF(I192&lt;=10,"8-10 At risk: emotion, analogy and single-point calls dominate","11-12 High risk: reactive pattern, no validation, cash at risk"))))</f>
        <v/>
      </c>
    </row>
    <row r="193">
      <c r="I193" s="3">
        <f>IF(A193="","",MIN(2,MAX(0,ROUND(C193,0)))+MIN(2,MAX(0,ROUND(D193,0)))+MIN(2,MAX(0,ROUND(E193,0)))+MIN(2,MAX(0,ROUND(F193,0)))+MIN(2,MAX(0,ROUND(G193,0)))+MIN(2,MAX(0,ROUND(H193,0))))</f>
        <v/>
      </c>
      <c r="J193" s="4">
        <f>IF(A193="","",IF(I193&lt;=3,"0-3 Foundation: verification habit; building a decision system",IF(I193&lt;=7,"4-7 Volatile: experience-led, swayed by short-term swings; add validation + retros",IF(I193&lt;=10,"8-10 At risk: emotion, analogy and single-point calls dominate","11-12 High risk: reactive pattern, no validation, cash at risk"))))</f>
        <v/>
      </c>
    </row>
    <row r="194">
      <c r="I194" s="3">
        <f>IF(A194="","",MIN(2,MAX(0,ROUND(C194,0)))+MIN(2,MAX(0,ROUND(D194,0)))+MIN(2,MAX(0,ROUND(E194,0)))+MIN(2,MAX(0,ROUND(F194,0)))+MIN(2,MAX(0,ROUND(G194,0)))+MIN(2,MAX(0,ROUND(H194,0))))</f>
        <v/>
      </c>
      <c r="J194" s="4">
        <f>IF(A194="","",IF(I194&lt;=3,"0-3 Foundation: verification habit; building a decision system",IF(I194&lt;=7,"4-7 Volatile: experience-led, swayed by short-term swings; add validation + retros",IF(I194&lt;=10,"8-10 At risk: emotion, analogy and single-point calls dominate","11-12 High risk: reactive pattern, no validation, cash at risk"))))</f>
        <v/>
      </c>
    </row>
    <row r="195">
      <c r="I195" s="3">
        <f>IF(A195="","",MIN(2,MAX(0,ROUND(C195,0)))+MIN(2,MAX(0,ROUND(D195,0)))+MIN(2,MAX(0,ROUND(E195,0)))+MIN(2,MAX(0,ROUND(F195,0)))+MIN(2,MAX(0,ROUND(G195,0)))+MIN(2,MAX(0,ROUND(H195,0))))</f>
        <v/>
      </c>
      <c r="J195" s="4">
        <f>IF(A195="","",IF(I195&lt;=3,"0-3 Foundation: verification habit; building a decision system",IF(I195&lt;=7,"4-7 Volatile: experience-led, swayed by short-term swings; add validation + retros",IF(I195&lt;=10,"8-10 At risk: emotion, analogy and single-point calls dominate","11-12 High risk: reactive pattern, no validation, cash at risk"))))</f>
        <v/>
      </c>
    </row>
    <row r="196">
      <c r="I196" s="3">
        <f>IF(A196="","",MIN(2,MAX(0,ROUND(C196,0)))+MIN(2,MAX(0,ROUND(D196,0)))+MIN(2,MAX(0,ROUND(E196,0)))+MIN(2,MAX(0,ROUND(F196,0)))+MIN(2,MAX(0,ROUND(G196,0)))+MIN(2,MAX(0,ROUND(H196,0))))</f>
        <v/>
      </c>
      <c r="J196" s="4">
        <f>IF(A196="","",IF(I196&lt;=3,"0-3 Foundation: verification habit; building a decision system",IF(I196&lt;=7,"4-7 Volatile: experience-led, swayed by short-term swings; add validation + retros",IF(I196&lt;=10,"8-10 At risk: emotion, analogy and single-point calls dominate","11-12 High risk: reactive pattern, no validation, cash at risk"))))</f>
        <v/>
      </c>
    </row>
    <row r="197">
      <c r="I197" s="3">
        <f>IF(A197="","",MIN(2,MAX(0,ROUND(C197,0)))+MIN(2,MAX(0,ROUND(D197,0)))+MIN(2,MAX(0,ROUND(E197,0)))+MIN(2,MAX(0,ROUND(F197,0)))+MIN(2,MAX(0,ROUND(G197,0)))+MIN(2,MAX(0,ROUND(H197,0))))</f>
        <v/>
      </c>
      <c r="J197" s="4">
        <f>IF(A197="","",IF(I197&lt;=3,"0-3 Foundation: verification habit; building a decision system",IF(I197&lt;=7,"4-7 Volatile: experience-led, swayed by short-term swings; add validation + retros",IF(I197&lt;=10,"8-10 At risk: emotion, analogy and single-point calls dominate","11-12 High risk: reactive pattern, no validation, cash at risk"))))</f>
        <v/>
      </c>
    </row>
    <row r="198">
      <c r="I198" s="3">
        <f>IF(A198="","",MIN(2,MAX(0,ROUND(C198,0)))+MIN(2,MAX(0,ROUND(D198,0)))+MIN(2,MAX(0,ROUND(E198,0)))+MIN(2,MAX(0,ROUND(F198,0)))+MIN(2,MAX(0,ROUND(G198,0)))+MIN(2,MAX(0,ROUND(H198,0))))</f>
        <v/>
      </c>
      <c r="J198" s="4">
        <f>IF(A198="","",IF(I198&lt;=3,"0-3 Foundation: verification habit; building a decision system",IF(I198&lt;=7,"4-7 Volatile: experience-led, swayed by short-term swings; add validation + retros",IF(I198&lt;=10,"8-10 At risk: emotion, analogy and single-point calls dominate","11-12 High risk: reactive pattern, no validation, cash at risk"))))</f>
        <v/>
      </c>
    </row>
    <row r="199">
      <c r="I199" s="3">
        <f>IF(A199="","",MIN(2,MAX(0,ROUND(C199,0)))+MIN(2,MAX(0,ROUND(D199,0)))+MIN(2,MAX(0,ROUND(E199,0)))+MIN(2,MAX(0,ROUND(F199,0)))+MIN(2,MAX(0,ROUND(G199,0)))+MIN(2,MAX(0,ROUND(H199,0))))</f>
        <v/>
      </c>
      <c r="J199" s="4">
        <f>IF(A199="","",IF(I199&lt;=3,"0-3 Foundation: verification habit; building a decision system",IF(I199&lt;=7,"4-7 Volatile: experience-led, swayed by short-term swings; add validation + retros",IF(I199&lt;=10,"8-10 At risk: emotion, analogy and single-point calls dominate","11-12 High risk: reactive pattern, no validation, cash at risk"))))</f>
        <v/>
      </c>
    </row>
    <row r="200">
      <c r="I200" s="3">
        <f>IF(A200="","",MIN(2,MAX(0,ROUND(C200,0)))+MIN(2,MAX(0,ROUND(D200,0)))+MIN(2,MAX(0,ROUND(E200,0)))+MIN(2,MAX(0,ROUND(F200,0)))+MIN(2,MAX(0,ROUND(G200,0)))+MIN(2,MAX(0,ROUND(H200,0))))</f>
        <v/>
      </c>
      <c r="J200" s="4">
        <f>IF(A200="","",IF(I200&lt;=3,"0-3 Foundation: verification habit; building a decision system",IF(I200&lt;=7,"4-7 Volatile: experience-led, swayed by short-term swings; add validation + retros",IF(I200&lt;=10,"8-10 At risk: emotion, analogy and single-point calls dominate","11-12 High risk: reactive pattern, no validation, cash at risk"))))</f>
        <v/>
      </c>
    </row>
    <row r="201">
      <c r="I201" s="3">
        <f>IF(A201="","",MIN(2,MAX(0,ROUND(C201,0)))+MIN(2,MAX(0,ROUND(D201,0)))+MIN(2,MAX(0,ROUND(E201,0)))+MIN(2,MAX(0,ROUND(F201,0)))+MIN(2,MAX(0,ROUND(G201,0)))+MIN(2,MAX(0,ROUND(H201,0))))</f>
        <v/>
      </c>
      <c r="J201" s="4">
        <f>IF(A201="","",IF(I201&lt;=3,"0-3 Foundation: verification habit; building a decision system",IF(I201&lt;=7,"4-7 Volatile: experience-led, swayed by short-term swings; add validation + retros",IF(I201&lt;=10,"8-10 At risk: emotion, analogy and single-point calls dominate","11-12 High risk: reactive pattern, no validation, cash at risk"))))</f>
        <v/>
      </c>
    </row>
    <row r="203">
      <c r="A203" s="5">
        <f>COUNTA(A2:A201)</f>
        <v/>
      </c>
    </row>
    <row r="205">
      <c r="A205" s="5" t="inlineStr">
        <is>
          <t>Average score (/12, lower is better)</t>
        </is>
      </c>
      <c r="B205" s="6">
        <f>IFERROR(SUM(I2:I201)/COUNTA(A2:A201),0)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24.28571428571428" customWidth="1" min="9" max="9"/>
    <col width="37.14285714285715" customWidth="1" min="10" max="10"/>
    <col width="15.71428571428571" customWidth="1" min="11" max="11"/>
    <col width="15.71428571428571" customWidth="1" min="12" max="12"/>
    <col width="37.14285714285715" customWidth="1" min="13" max="13"/>
    <col width="15.71428571428571" customWidth="1" min="14" max="14"/>
    <col width="37.14285714285715" customWidth="1" min="15" max="15"/>
    <col width="34.28571428571428" customWidth="1" min="16" max="16"/>
  </cols>
  <sheetData>
    <row r="1" ht="48" customHeight="1">
      <c r="A1" s="1" t="inlineStr">
        <is>
          <t>Market / channel</t>
        </is>
      </c>
      <c r="B1" s="1" t="inlineStr">
        <is>
          <t>Market stage (CC: 1 creator outreach e.g. Latin America, newly opened EU markets · 2 short video + paid e.g. US · 3 live, private traffic, brand e.g. Southeast Asia · 4 owned audience = aiOS addition)</t>
        </is>
      </c>
      <c r="C1" s="1" t="inlineStr">
        <is>
          <t>Demand size (1-5)</t>
        </is>
      </c>
      <c r="D1" s="1" t="inlineStr">
        <is>
          <t>Avg order value (1-5)</t>
        </is>
      </c>
      <c r="E1" s="1" t="inlineStr">
        <is>
          <t>Competition (1-5, 5=crowded)</t>
        </is>
      </c>
      <c r="F1" s="1" t="inlineStr">
        <is>
          <t>Our capability fit (1-5)</t>
        </is>
      </c>
      <c r="G1" s="1" t="inlineStr">
        <is>
          <t>Barriers: customs/tax/standards (1-5, 5=hard)</t>
        </is>
      </c>
      <c r="H1" s="1" t="inlineStr">
        <is>
          <t>Supply-chain capability fit (1-5): can you source, make and restock this at the needed price, quality and speed?</t>
        </is>
      </c>
      <c r="I1" s="1" t="inlineStr">
        <is>
          <t>Your background</t>
        </is>
      </c>
      <c r="J1" s="2" t="inlineStr">
        <is>
          <t>CC's suggested route for that background ƒ</t>
        </is>
      </c>
      <c r="K1" s="2" t="inlineStr">
        <is>
          <t>Fit score (aiOS default weighting) ƒ</t>
        </is>
      </c>
      <c r="L1" s="2" t="inlineStr">
        <is>
          <t>Supply-chain gate ƒ</t>
        </is>
      </c>
      <c r="M1" s="2" t="inlineStr">
        <is>
          <t>Implied play ƒ</t>
        </is>
      </c>
      <c r="N1" s="1" t="inlineStr">
        <is>
          <t>Creator ladder in this market (1 cold start · 2 growth · 3 competitive · 4 relationship assets)</t>
        </is>
      </c>
      <c r="O1" s="2" t="inlineStr">
        <is>
          <t>Creator play ƒ</t>
        </is>
      </c>
      <c r="P1" s="1" t="inlineStr">
        <is>
          <t>Tacit knowledge / local norms to learn</t>
        </is>
      </c>
    </row>
    <row r="2">
      <c r="A2" t="inlineStr">
        <is>
          <t>Example: newly opened market on a short-video shop</t>
        </is>
      </c>
      <c r="B2" t="inlineStr">
        <is>
          <t>1</t>
        </is>
      </c>
      <c r="C2" t="n">
        <v>3</v>
      </c>
      <c r="D2" t="n">
        <v>4</v>
      </c>
      <c r="E2" t="n">
        <v>2</v>
      </c>
      <c r="F2" t="n">
        <v>3</v>
      </c>
      <c r="G2" t="n">
        <v>3</v>
      </c>
      <c r="H2" t="n">
        <v>4</v>
      </c>
      <c r="I2" t="inlineStr">
        <is>
          <t>Marketplace-only seller</t>
        </is>
      </c>
      <c r="J2" s="4">
        <f>IF(A2="","",IF(I2="Content-commerce veteran","Mature content markets (CC: US + Southeast Asia)",IF(I2="Marketplace-only seller","US + newly opened markets (crowded mature markets punish beginners)",IF(I2="Marketplace-validated products","US + Southeast Asia: open a new channel on proven products",""))))</f>
        <v/>
      </c>
      <c r="K2" s="4">
        <f>IF(A2="","",ROUND((C2+D2+2*F2+H2)-(E2+G2)/2,1))</f>
        <v/>
      </c>
      <c r="L2" s="4">
        <f>IF(A2="","",IF(H2=0,"Rate supply fit",IF(H2&lt;3,"Fix supply first - don't enter yet","OK")))</f>
        <v/>
      </c>
      <c r="M2" s="4">
        <f>IF(A2="","",IF(B2="1","Creator outreach and seeding; hire partnerships",IF(B2="2","Own short video + paid; hire shoot/edit + media buyer",IF(B2="3","Live selling, private traffic (community), brand; multi-channel",IF(B2="4","(aiOS addition) Owned audience: community, direct list, repeat purchase","")))))</f>
        <v/>
      </c>
      <c r="N2" t="inlineStr">
        <is>
          <t>1</t>
        </is>
      </c>
      <c r="O2" s="4">
        <f>IF(A2="","",IF(N2="1","Prove scripts + sampling; don't chase ROI",IF(N2="2","Build a creator pool; test by niche/audience/deal",IF(N2="3","Rates rising: judge by ROI + retention",IF(N2="4","Long-term partners as local distributors","")))))</f>
        <v/>
      </c>
      <c r="P2" t="inlineStr">
        <is>
          <t>Plug/size standards, returns norms</t>
        </is>
      </c>
    </row>
    <row r="3">
      <c r="J3" s="4">
        <f>IF(A3="","",IF(I3="Content-commerce veteran","Mature content markets (CC: US + Southeast Asia)",IF(I3="Marketplace-only seller","US + newly opened markets (crowded mature markets punish beginners)",IF(I3="Marketplace-validated products","US + Southeast Asia: open a new channel on proven products",""))))</f>
        <v/>
      </c>
      <c r="K3" s="4">
        <f>IF(A3="","",ROUND((C3+D3+2*F3+H3)-(E3+G3)/2,1))</f>
        <v/>
      </c>
      <c r="L3" s="4">
        <f>IF(A3="","",IF(H3=0,"Rate supply fit",IF(H3&lt;3,"Fix supply first - don't enter yet","OK")))</f>
        <v/>
      </c>
      <c r="M3" s="4">
        <f>IF(A3="","",IF(B3="1","Creator outreach and seeding; hire partnerships",IF(B3="2","Own short video + paid; hire shoot/edit + media buyer",IF(B3="3","Live selling, private traffic (community), brand; multi-channel",IF(B3="4","(aiOS addition) Owned audience: community, direct list, repeat purchase","")))))</f>
        <v/>
      </c>
      <c r="O3" s="4">
        <f>IF(A3="","",IF(N3="1","Prove scripts + sampling; don't chase ROI",IF(N3="2","Build a creator pool; test by niche/audience/deal",IF(N3="3","Rates rising: judge by ROI + retention",IF(N3="4","Long-term partners as local distributors","")))))</f>
        <v/>
      </c>
    </row>
    <row r="4">
      <c r="J4" s="4">
        <f>IF(A4="","",IF(I4="Content-commerce veteran","Mature content markets (CC: US + Southeast Asia)",IF(I4="Marketplace-only seller","US + newly opened markets (crowded mature markets punish beginners)",IF(I4="Marketplace-validated products","US + Southeast Asia: open a new channel on proven products",""))))</f>
        <v/>
      </c>
      <c r="K4" s="4">
        <f>IF(A4="","",ROUND((C4+D4+2*F4+H4)-(E4+G4)/2,1))</f>
        <v/>
      </c>
      <c r="L4" s="4">
        <f>IF(A4="","",IF(H4=0,"Rate supply fit",IF(H4&lt;3,"Fix supply first - don't enter yet","OK")))</f>
        <v/>
      </c>
      <c r="M4" s="4">
        <f>IF(A4="","",IF(B4="1","Creator outreach and seeding; hire partnerships",IF(B4="2","Own short video + paid; hire shoot/edit + media buyer",IF(B4="3","Live selling, private traffic (community), brand; multi-channel",IF(B4="4","(aiOS addition) Owned audience: community, direct list, repeat purchase","")))))</f>
        <v/>
      </c>
      <c r="O4" s="4">
        <f>IF(A4="","",IF(N4="1","Prove scripts + sampling; don't chase ROI",IF(N4="2","Build a creator pool; test by niche/audience/deal",IF(N4="3","Rates rising: judge by ROI + retention",IF(N4="4","Long-term partners as local distributors","")))))</f>
        <v/>
      </c>
    </row>
    <row r="5">
      <c r="J5" s="4">
        <f>IF(A5="","",IF(I5="Content-commerce veteran","Mature content markets (CC: US + Southeast Asia)",IF(I5="Marketplace-only seller","US + newly opened markets (crowded mature markets punish beginners)",IF(I5="Marketplace-validated products","US + Southeast Asia: open a new channel on proven products",""))))</f>
        <v/>
      </c>
      <c r="K5" s="4">
        <f>IF(A5="","",ROUND((C5+D5+2*F5+H5)-(E5+G5)/2,1))</f>
        <v/>
      </c>
      <c r="L5" s="4">
        <f>IF(A5="","",IF(H5=0,"Rate supply fit",IF(H5&lt;3,"Fix supply first - don't enter yet","OK")))</f>
        <v/>
      </c>
      <c r="M5" s="4">
        <f>IF(A5="","",IF(B5="1","Creator outreach and seeding; hire partnerships",IF(B5="2","Own short video + paid; hire shoot/edit + media buyer",IF(B5="3","Live selling, private traffic (community), brand; multi-channel",IF(B5="4","(aiOS addition) Owned audience: community, direct list, repeat purchase","")))))</f>
        <v/>
      </c>
      <c r="O5" s="4">
        <f>IF(A5="","",IF(N5="1","Prove scripts + sampling; don't chase ROI",IF(N5="2","Build a creator pool; test by niche/audience/deal",IF(N5="3","Rates rising: judge by ROI + retention",IF(N5="4","Long-term partners as local distributors","")))))</f>
        <v/>
      </c>
    </row>
    <row r="6">
      <c r="J6" s="4">
        <f>IF(A6="","",IF(I6="Content-commerce veteran","Mature content markets (CC: US + Southeast Asia)",IF(I6="Marketplace-only seller","US + newly opened markets (crowded mature markets punish beginners)",IF(I6="Marketplace-validated products","US + Southeast Asia: open a new channel on proven products",""))))</f>
        <v/>
      </c>
      <c r="K6" s="4">
        <f>IF(A6="","",ROUND((C6+D6+2*F6+H6)-(E6+G6)/2,1))</f>
        <v/>
      </c>
      <c r="L6" s="4">
        <f>IF(A6="","",IF(H6=0,"Rate supply fit",IF(H6&lt;3,"Fix supply first - don't enter yet","OK")))</f>
        <v/>
      </c>
      <c r="M6" s="4">
        <f>IF(A6="","",IF(B6="1","Creator outreach and seeding; hire partnerships",IF(B6="2","Own short video + paid; hire shoot/edit + media buyer",IF(B6="3","Live selling, private traffic (community), brand; multi-channel",IF(B6="4","(aiOS addition) Owned audience: community, direct list, repeat purchase","")))))</f>
        <v/>
      </c>
      <c r="O6" s="4">
        <f>IF(A6="","",IF(N6="1","Prove scripts + sampling; don't chase ROI",IF(N6="2","Build a creator pool; test by niche/audience/deal",IF(N6="3","Rates rising: judge by ROI + retention",IF(N6="4","Long-term partners as local distributors","")))))</f>
        <v/>
      </c>
    </row>
    <row r="7">
      <c r="J7" s="4">
        <f>IF(A7="","",IF(I7="Content-commerce veteran","Mature content markets (CC: US + Southeast Asia)",IF(I7="Marketplace-only seller","US + newly opened markets (crowded mature markets punish beginners)",IF(I7="Marketplace-validated products","US + Southeast Asia: open a new channel on proven products",""))))</f>
        <v/>
      </c>
      <c r="K7" s="4">
        <f>IF(A7="","",ROUND((C7+D7+2*F7+H7)-(E7+G7)/2,1))</f>
        <v/>
      </c>
      <c r="L7" s="4">
        <f>IF(A7="","",IF(H7=0,"Rate supply fit",IF(H7&lt;3,"Fix supply first - don't enter yet","OK")))</f>
        <v/>
      </c>
      <c r="M7" s="4">
        <f>IF(A7="","",IF(B7="1","Creator outreach and seeding; hire partnerships",IF(B7="2","Own short video + paid; hire shoot/edit + media buyer",IF(B7="3","Live selling, private traffic (community), brand; multi-channel",IF(B7="4","(aiOS addition) Owned audience: community, direct list, repeat purchase","")))))</f>
        <v/>
      </c>
      <c r="O7" s="4">
        <f>IF(A7="","",IF(N7="1","Prove scripts + sampling; don't chase ROI",IF(N7="2","Build a creator pool; test by niche/audience/deal",IF(N7="3","Rates rising: judge by ROI + retention",IF(N7="4","Long-term partners as local distributors","")))))</f>
        <v/>
      </c>
    </row>
    <row r="8">
      <c r="J8" s="4">
        <f>IF(A8="","",IF(I8="Content-commerce veteran","Mature content markets (CC: US + Southeast Asia)",IF(I8="Marketplace-only seller","US + newly opened markets (crowded mature markets punish beginners)",IF(I8="Marketplace-validated products","US + Southeast Asia: open a new channel on proven products",""))))</f>
        <v/>
      </c>
      <c r="K8" s="4">
        <f>IF(A8="","",ROUND((C8+D8+2*F8+H8)-(E8+G8)/2,1))</f>
        <v/>
      </c>
      <c r="L8" s="4">
        <f>IF(A8="","",IF(H8=0,"Rate supply fit",IF(H8&lt;3,"Fix supply first - don't enter yet","OK")))</f>
        <v/>
      </c>
      <c r="M8" s="4">
        <f>IF(A8="","",IF(B8="1","Creator outreach and seeding; hire partnerships",IF(B8="2","Own short video + paid; hire shoot/edit + media buyer",IF(B8="3","Live selling, private traffic (community), brand; multi-channel",IF(B8="4","(aiOS addition) Owned audience: community, direct list, repeat purchase","")))))</f>
        <v/>
      </c>
      <c r="O8" s="4">
        <f>IF(A8="","",IF(N8="1","Prove scripts + sampling; don't chase ROI",IF(N8="2","Build a creator pool; test by niche/audience/deal",IF(N8="3","Rates rising: judge by ROI + retention",IF(N8="4","Long-term partners as local distributors","")))))</f>
        <v/>
      </c>
    </row>
    <row r="9">
      <c r="J9" s="4">
        <f>IF(A9="","",IF(I9="Content-commerce veteran","Mature content markets (CC: US + Southeast Asia)",IF(I9="Marketplace-only seller","US + newly opened markets (crowded mature markets punish beginners)",IF(I9="Marketplace-validated products","US + Southeast Asia: open a new channel on proven products",""))))</f>
        <v/>
      </c>
      <c r="K9" s="4">
        <f>IF(A9="","",ROUND((C9+D9+2*F9+H9)-(E9+G9)/2,1))</f>
        <v/>
      </c>
      <c r="L9" s="4">
        <f>IF(A9="","",IF(H9=0,"Rate supply fit",IF(H9&lt;3,"Fix supply first - don't enter yet","OK")))</f>
        <v/>
      </c>
      <c r="M9" s="4">
        <f>IF(A9="","",IF(B9="1","Creator outreach and seeding; hire partnerships",IF(B9="2","Own short video + paid; hire shoot/edit + media buyer",IF(B9="3","Live selling, private traffic (community), brand; multi-channel",IF(B9="4","(aiOS addition) Owned audience: community, direct list, repeat purchase","")))))</f>
        <v/>
      </c>
      <c r="O9" s="4">
        <f>IF(A9="","",IF(N9="1","Prove scripts + sampling; don't chase ROI",IF(N9="2","Build a creator pool; test by niche/audience/deal",IF(N9="3","Rates rising: judge by ROI + retention",IF(N9="4","Long-term partners as local distributors","")))))</f>
        <v/>
      </c>
    </row>
    <row r="10">
      <c r="J10" s="4">
        <f>IF(A10="","",IF(I10="Content-commerce veteran","Mature content markets (CC: US + Southeast Asia)",IF(I10="Marketplace-only seller","US + newly opened markets (crowded mature markets punish beginners)",IF(I10="Marketplace-validated products","US + Southeast Asia: open a new channel on proven products",""))))</f>
        <v/>
      </c>
      <c r="K10" s="4">
        <f>IF(A10="","",ROUND((C10+D10+2*F10+H10)-(E10+G10)/2,1))</f>
        <v/>
      </c>
      <c r="L10" s="4">
        <f>IF(A10="","",IF(H10=0,"Rate supply fit",IF(H10&lt;3,"Fix supply first - don't enter yet","OK")))</f>
        <v/>
      </c>
      <c r="M10" s="4">
        <f>IF(A10="","",IF(B10="1","Creator outreach and seeding; hire partnerships",IF(B10="2","Own short video + paid; hire shoot/edit + media buyer",IF(B10="3","Live selling, private traffic (community), brand; multi-channel",IF(B10="4","(aiOS addition) Owned audience: community, direct list, repeat purchase","")))))</f>
        <v/>
      </c>
      <c r="O10" s="4">
        <f>IF(A10="","",IF(N10="1","Prove scripts + sampling; don't chase ROI",IF(N10="2","Build a creator pool; test by niche/audience/deal",IF(N10="3","Rates rising: judge by ROI + retention",IF(N10="4","Long-term partners as local distributors","")))))</f>
        <v/>
      </c>
    </row>
    <row r="11">
      <c r="J11" s="4">
        <f>IF(A11="","",IF(I11="Content-commerce veteran","Mature content markets (CC: US + Southeast Asia)",IF(I11="Marketplace-only seller","US + newly opened markets (crowded mature markets punish beginners)",IF(I11="Marketplace-validated products","US + Southeast Asia: open a new channel on proven products",""))))</f>
        <v/>
      </c>
      <c r="K11" s="4">
        <f>IF(A11="","",ROUND((C11+D11+2*F11+H11)-(E11+G11)/2,1))</f>
        <v/>
      </c>
      <c r="L11" s="4">
        <f>IF(A11="","",IF(H11=0,"Rate supply fit",IF(H11&lt;3,"Fix supply first - don't enter yet","OK")))</f>
        <v/>
      </c>
      <c r="M11" s="4">
        <f>IF(A11="","",IF(B11="1","Creator outreach and seeding; hire partnerships",IF(B11="2","Own short video + paid; hire shoot/edit + media buyer",IF(B11="3","Live selling, private traffic (community), brand; multi-channel",IF(B11="4","(aiOS addition) Owned audience: community, direct list, repeat purchase","")))))</f>
        <v/>
      </c>
      <c r="O11" s="4">
        <f>IF(A11="","",IF(N11="1","Prove scripts + sampling; don't chase ROI",IF(N11="2","Build a creator pool; test by niche/audience/deal",IF(N11="3","Rates rising: judge by ROI + retention",IF(N11="4","Long-term partners as local distributors","")))))</f>
        <v/>
      </c>
    </row>
    <row r="12">
      <c r="J12" s="4">
        <f>IF(A12="","",IF(I12="Content-commerce veteran","Mature content markets (CC: US + Southeast Asia)",IF(I12="Marketplace-only seller","US + newly opened markets (crowded mature markets punish beginners)",IF(I12="Marketplace-validated products","US + Southeast Asia: open a new channel on proven products",""))))</f>
        <v/>
      </c>
      <c r="K12" s="4">
        <f>IF(A12="","",ROUND((C12+D12+2*F12+H12)-(E12+G12)/2,1))</f>
        <v/>
      </c>
      <c r="L12" s="4">
        <f>IF(A12="","",IF(H12=0,"Rate supply fit",IF(H12&lt;3,"Fix supply first - don't enter yet","OK")))</f>
        <v/>
      </c>
      <c r="M12" s="4">
        <f>IF(A12="","",IF(B12="1","Creator outreach and seeding; hire partnerships",IF(B12="2","Own short video + paid; hire shoot/edit + media buyer",IF(B12="3","Live selling, private traffic (community), brand; multi-channel",IF(B12="4","(aiOS addition) Owned audience: community, direct list, repeat purchase","")))))</f>
        <v/>
      </c>
      <c r="O12" s="4">
        <f>IF(A12="","",IF(N12="1","Prove scripts + sampling; don't chase ROI",IF(N12="2","Build a creator pool; test by niche/audience/deal",IF(N12="3","Rates rising: judge by ROI + retention",IF(N12="4","Long-term partners as local distributors","")))))</f>
        <v/>
      </c>
    </row>
    <row r="13">
      <c r="J13" s="4">
        <f>IF(A13="","",IF(I13="Content-commerce veteran","Mature content markets (CC: US + Southeast Asia)",IF(I13="Marketplace-only seller","US + newly opened markets (crowded mature markets punish beginners)",IF(I13="Marketplace-validated products","US + Southeast Asia: open a new channel on proven products",""))))</f>
        <v/>
      </c>
      <c r="K13" s="4">
        <f>IF(A13="","",ROUND((C13+D13+2*F13+H13)-(E13+G13)/2,1))</f>
        <v/>
      </c>
      <c r="L13" s="4">
        <f>IF(A13="","",IF(H13=0,"Rate supply fit",IF(H13&lt;3,"Fix supply first - don't enter yet","OK")))</f>
        <v/>
      </c>
      <c r="M13" s="4">
        <f>IF(A13="","",IF(B13="1","Creator outreach and seeding; hire partnerships",IF(B13="2","Own short video + paid; hire shoot/edit + media buyer",IF(B13="3","Live selling, private traffic (community), brand; multi-channel",IF(B13="4","(aiOS addition) Owned audience: community, direct list, repeat purchase","")))))</f>
        <v/>
      </c>
      <c r="O13" s="4">
        <f>IF(A13="","",IF(N13="1","Prove scripts + sampling; don't chase ROI",IF(N13="2","Build a creator pool; test by niche/audience/deal",IF(N13="3","Rates rising: judge by ROI + retention",IF(N13="4","Long-term partners as local distributors","")))))</f>
        <v/>
      </c>
    </row>
    <row r="14">
      <c r="J14" s="4">
        <f>IF(A14="","",IF(I14="Content-commerce veteran","Mature content markets (CC: US + Southeast Asia)",IF(I14="Marketplace-only seller","US + newly opened markets (crowded mature markets punish beginners)",IF(I14="Marketplace-validated products","US + Southeast Asia: open a new channel on proven products",""))))</f>
        <v/>
      </c>
      <c r="K14" s="4">
        <f>IF(A14="","",ROUND((C14+D14+2*F14+H14)-(E14+G14)/2,1))</f>
        <v/>
      </c>
      <c r="L14" s="4">
        <f>IF(A14="","",IF(H14=0,"Rate supply fit",IF(H14&lt;3,"Fix supply first - don't enter yet","OK")))</f>
        <v/>
      </c>
      <c r="M14" s="4">
        <f>IF(A14="","",IF(B14="1","Creator outreach and seeding; hire partnerships",IF(B14="2","Own short video + paid; hire shoot/edit + media buyer",IF(B14="3","Live selling, private traffic (community), brand; multi-channel",IF(B14="4","(aiOS addition) Owned audience: community, direct list, repeat purchase","")))))</f>
        <v/>
      </c>
      <c r="O14" s="4">
        <f>IF(A14="","",IF(N14="1","Prove scripts + sampling; don't chase ROI",IF(N14="2","Build a creator pool; test by niche/audience/deal",IF(N14="3","Rates rising: judge by ROI + retention",IF(N14="4","Long-term partners as local distributors","")))))</f>
        <v/>
      </c>
    </row>
    <row r="15">
      <c r="J15" s="4">
        <f>IF(A15="","",IF(I15="Content-commerce veteran","Mature content markets (CC: US + Southeast Asia)",IF(I15="Marketplace-only seller","US + newly opened markets (crowded mature markets punish beginners)",IF(I15="Marketplace-validated products","US + Southeast Asia: open a new channel on proven products",""))))</f>
        <v/>
      </c>
      <c r="K15" s="4">
        <f>IF(A15="","",ROUND((C15+D15+2*F15+H15)-(E15+G15)/2,1))</f>
        <v/>
      </c>
      <c r="L15" s="4">
        <f>IF(A15="","",IF(H15=0,"Rate supply fit",IF(H15&lt;3,"Fix supply first - don't enter yet","OK")))</f>
        <v/>
      </c>
      <c r="M15" s="4">
        <f>IF(A15="","",IF(B15="1","Creator outreach and seeding; hire partnerships",IF(B15="2","Own short video + paid; hire shoot/edit + media buyer",IF(B15="3","Live selling, private traffic (community), brand; multi-channel",IF(B15="4","(aiOS addition) Owned audience: community, direct list, repeat purchase","")))))</f>
        <v/>
      </c>
      <c r="O15" s="4">
        <f>IF(A15="","",IF(N15="1","Prove scripts + sampling; don't chase ROI",IF(N15="2","Build a creator pool; test by niche/audience/deal",IF(N15="3","Rates rising: judge by ROI + retention",IF(N15="4","Long-term partners as local distributors","")))))</f>
        <v/>
      </c>
    </row>
    <row r="16">
      <c r="J16" s="4">
        <f>IF(A16="","",IF(I16="Content-commerce veteran","Mature content markets (CC: US + Southeast Asia)",IF(I16="Marketplace-only seller","US + newly opened markets (crowded mature markets punish beginners)",IF(I16="Marketplace-validated products","US + Southeast Asia: open a new channel on proven products",""))))</f>
        <v/>
      </c>
      <c r="K16" s="4">
        <f>IF(A16="","",ROUND((C16+D16+2*F16+H16)-(E16+G16)/2,1))</f>
        <v/>
      </c>
      <c r="L16" s="4">
        <f>IF(A16="","",IF(H16=0,"Rate supply fit",IF(H16&lt;3,"Fix supply first - don't enter yet","OK")))</f>
        <v/>
      </c>
      <c r="M16" s="4">
        <f>IF(A16="","",IF(B16="1","Creator outreach and seeding; hire partnerships",IF(B16="2","Own short video + paid; hire shoot/edit + media buyer",IF(B16="3","Live selling, private traffic (community), brand; multi-channel",IF(B16="4","(aiOS addition) Owned audience: community, direct list, repeat purchase","")))))</f>
        <v/>
      </c>
      <c r="O16" s="4">
        <f>IF(A16="","",IF(N16="1","Prove scripts + sampling; don't chase ROI",IF(N16="2","Build a creator pool; test by niche/audience/deal",IF(N16="3","Rates rising: judge by ROI + retention",IF(N16="4","Long-term partners as local distributors","")))))</f>
        <v/>
      </c>
    </row>
    <row r="17">
      <c r="J17" s="4">
        <f>IF(A17="","",IF(I17="Content-commerce veteran","Mature content markets (CC: US + Southeast Asia)",IF(I17="Marketplace-only seller","US + newly opened markets (crowded mature markets punish beginners)",IF(I17="Marketplace-validated products","US + Southeast Asia: open a new channel on proven products",""))))</f>
        <v/>
      </c>
      <c r="K17" s="4">
        <f>IF(A17="","",ROUND((C17+D17+2*F17+H17)-(E17+G17)/2,1))</f>
        <v/>
      </c>
      <c r="L17" s="4">
        <f>IF(A17="","",IF(H17=0,"Rate supply fit",IF(H17&lt;3,"Fix supply first - don't enter yet","OK")))</f>
        <v/>
      </c>
      <c r="M17" s="4">
        <f>IF(A17="","",IF(B17="1","Creator outreach and seeding; hire partnerships",IF(B17="2","Own short video + paid; hire shoot/edit + media buyer",IF(B17="3","Live selling, private traffic (community), brand; multi-channel",IF(B17="4","(aiOS addition) Owned audience: community, direct list, repeat purchase","")))))</f>
        <v/>
      </c>
      <c r="O17" s="4">
        <f>IF(A17="","",IF(N17="1","Prove scripts + sampling; don't chase ROI",IF(N17="2","Build a creator pool; test by niche/audience/deal",IF(N17="3","Rates rising: judge by ROI + retention",IF(N17="4","Long-term partners as local distributors","")))))</f>
        <v/>
      </c>
    </row>
    <row r="18">
      <c r="J18" s="4">
        <f>IF(A18="","",IF(I18="Content-commerce veteran","Mature content markets (CC: US + Southeast Asia)",IF(I18="Marketplace-only seller","US + newly opened markets (crowded mature markets punish beginners)",IF(I18="Marketplace-validated products","US + Southeast Asia: open a new channel on proven products",""))))</f>
        <v/>
      </c>
      <c r="K18" s="4">
        <f>IF(A18="","",ROUND((C18+D18+2*F18+H18)-(E18+G18)/2,1))</f>
        <v/>
      </c>
      <c r="L18" s="4">
        <f>IF(A18="","",IF(H18=0,"Rate supply fit",IF(H18&lt;3,"Fix supply first - don't enter yet","OK")))</f>
        <v/>
      </c>
      <c r="M18" s="4">
        <f>IF(A18="","",IF(B18="1","Creator outreach and seeding; hire partnerships",IF(B18="2","Own short video + paid; hire shoot/edit + media buyer",IF(B18="3","Live selling, private traffic (community), brand; multi-channel",IF(B18="4","(aiOS addition) Owned audience: community, direct list, repeat purchase","")))))</f>
        <v/>
      </c>
      <c r="O18" s="4">
        <f>IF(A18="","",IF(N18="1","Prove scripts + sampling; don't chase ROI",IF(N18="2","Build a creator pool; test by niche/audience/deal",IF(N18="3","Rates rising: judge by ROI + retention",IF(N18="4","Long-term partners as local distributors","")))))</f>
        <v/>
      </c>
    </row>
    <row r="19">
      <c r="J19" s="4">
        <f>IF(A19="","",IF(I19="Content-commerce veteran","Mature content markets (CC: US + Southeast Asia)",IF(I19="Marketplace-only seller","US + newly opened markets (crowded mature markets punish beginners)",IF(I19="Marketplace-validated products","US + Southeast Asia: open a new channel on proven products",""))))</f>
        <v/>
      </c>
      <c r="K19" s="4">
        <f>IF(A19="","",ROUND((C19+D19+2*F19+H19)-(E19+G19)/2,1))</f>
        <v/>
      </c>
      <c r="L19" s="4">
        <f>IF(A19="","",IF(H19=0,"Rate supply fit",IF(H19&lt;3,"Fix supply first - don't enter yet","OK")))</f>
        <v/>
      </c>
      <c r="M19" s="4">
        <f>IF(A19="","",IF(B19="1","Creator outreach and seeding; hire partnerships",IF(B19="2","Own short video + paid; hire shoot/edit + media buyer",IF(B19="3","Live selling, private traffic (community), brand; multi-channel",IF(B19="4","(aiOS addition) Owned audience: community, direct list, repeat purchase","")))))</f>
        <v/>
      </c>
      <c r="O19" s="4">
        <f>IF(A19="","",IF(N19="1","Prove scripts + sampling; don't chase ROI",IF(N19="2","Build a creator pool; test by niche/audience/deal",IF(N19="3","Rates rising: judge by ROI + retention",IF(N19="4","Long-term partners as local distributors","")))))</f>
        <v/>
      </c>
    </row>
    <row r="20">
      <c r="J20" s="4">
        <f>IF(A20="","",IF(I20="Content-commerce veteran","Mature content markets (CC: US + Southeast Asia)",IF(I20="Marketplace-only seller","US + newly opened markets (crowded mature markets punish beginners)",IF(I20="Marketplace-validated products","US + Southeast Asia: open a new channel on proven products",""))))</f>
        <v/>
      </c>
      <c r="K20" s="4">
        <f>IF(A20="","",ROUND((C20+D20+2*F20+H20)-(E20+G20)/2,1))</f>
        <v/>
      </c>
      <c r="L20" s="4">
        <f>IF(A20="","",IF(H20=0,"Rate supply fit",IF(H20&lt;3,"Fix supply first - don't enter yet","OK")))</f>
        <v/>
      </c>
      <c r="M20" s="4">
        <f>IF(A20="","",IF(B20="1","Creator outreach and seeding; hire partnerships",IF(B20="2","Own short video + paid; hire shoot/edit + media buyer",IF(B20="3","Live selling, private traffic (community), brand; multi-channel",IF(B20="4","(aiOS addition) Owned audience: community, direct list, repeat purchase","")))))</f>
        <v/>
      </c>
      <c r="O20" s="4">
        <f>IF(A20="","",IF(N20="1","Prove scripts + sampling; don't chase ROI",IF(N20="2","Build a creator pool; test by niche/audience/deal",IF(N20="3","Rates rising: judge by ROI + retention",IF(N20="4","Long-term partners as local distributors","")))))</f>
        <v/>
      </c>
    </row>
    <row r="21">
      <c r="J21" s="4">
        <f>IF(A21="","",IF(I21="Content-commerce veteran","Mature content markets (CC: US + Southeast Asia)",IF(I21="Marketplace-only seller","US + newly opened markets (crowded mature markets punish beginners)",IF(I21="Marketplace-validated products","US + Southeast Asia: open a new channel on proven products",""))))</f>
        <v/>
      </c>
      <c r="K21" s="4">
        <f>IF(A21="","",ROUND((C21+D21+2*F21+H21)-(E21+G21)/2,1))</f>
        <v/>
      </c>
      <c r="L21" s="4">
        <f>IF(A21="","",IF(H21=0,"Rate supply fit",IF(H21&lt;3,"Fix supply first - don't enter yet","OK")))</f>
        <v/>
      </c>
      <c r="M21" s="4">
        <f>IF(A21="","",IF(B21="1","Creator outreach and seeding; hire partnerships",IF(B21="2","Own short video + paid; hire shoot/edit + media buyer",IF(B21="3","Live selling, private traffic (community), brand; multi-channel",IF(B21="4","(aiOS addition) Owned audience: community, direct list, repeat purchase","")))))</f>
        <v/>
      </c>
      <c r="O21" s="4">
        <f>IF(A21="","",IF(N21="1","Prove scripts + sampling; don't chase ROI",IF(N21="2","Build a creator pool; test by niche/audience/deal",IF(N21="3","Rates rising: judge by ROI + retention",IF(N21="4","Long-term partners as local distributors","")))))</f>
        <v/>
      </c>
    </row>
    <row r="22">
      <c r="J22" s="4">
        <f>IF(A22="","",IF(I22="Content-commerce veteran","Mature content markets (CC: US + Southeast Asia)",IF(I22="Marketplace-only seller","US + newly opened markets (crowded mature markets punish beginners)",IF(I22="Marketplace-validated products","US + Southeast Asia: open a new channel on proven products",""))))</f>
        <v/>
      </c>
      <c r="K22" s="4">
        <f>IF(A22="","",ROUND((C22+D22+2*F22+H22)-(E22+G22)/2,1))</f>
        <v/>
      </c>
      <c r="L22" s="4">
        <f>IF(A22="","",IF(H22=0,"Rate supply fit",IF(H22&lt;3,"Fix supply first - don't enter yet","OK")))</f>
        <v/>
      </c>
      <c r="M22" s="4">
        <f>IF(A22="","",IF(B22="1","Creator outreach and seeding; hire partnerships",IF(B22="2","Own short video + paid; hire shoot/edit + media buyer",IF(B22="3","Live selling, private traffic (community), brand; multi-channel",IF(B22="4","(aiOS addition) Owned audience: community, direct list, repeat purchase","")))))</f>
        <v/>
      </c>
      <c r="O22" s="4">
        <f>IF(A22="","",IF(N22="1","Prove scripts + sampling; don't chase ROI",IF(N22="2","Build a creator pool; test by niche/audience/deal",IF(N22="3","Rates rising: judge by ROI + retention",IF(N22="4","Long-term partners as local distributors","")))))</f>
        <v/>
      </c>
    </row>
    <row r="23">
      <c r="J23" s="4">
        <f>IF(A23="","",IF(I23="Content-commerce veteran","Mature content markets (CC: US + Southeast Asia)",IF(I23="Marketplace-only seller","US + newly opened markets (crowded mature markets punish beginners)",IF(I23="Marketplace-validated products","US + Southeast Asia: open a new channel on proven products",""))))</f>
        <v/>
      </c>
      <c r="K23" s="4">
        <f>IF(A23="","",ROUND((C23+D23+2*F23+H23)-(E23+G23)/2,1))</f>
        <v/>
      </c>
      <c r="L23" s="4">
        <f>IF(A23="","",IF(H23=0,"Rate supply fit",IF(H23&lt;3,"Fix supply first - don't enter yet","OK")))</f>
        <v/>
      </c>
      <c r="M23" s="4">
        <f>IF(A23="","",IF(B23="1","Creator outreach and seeding; hire partnerships",IF(B23="2","Own short video + paid; hire shoot/edit + media buyer",IF(B23="3","Live selling, private traffic (community), brand; multi-channel",IF(B23="4","(aiOS addition) Owned audience: community, direct list, repeat purchase","")))))</f>
        <v/>
      </c>
      <c r="O23" s="4">
        <f>IF(A23="","",IF(N23="1","Prove scripts + sampling; don't chase ROI",IF(N23="2","Build a creator pool; test by niche/audience/deal",IF(N23="3","Rates rising: judge by ROI + retention",IF(N23="4","Long-term partners as local distributors","")))))</f>
        <v/>
      </c>
    </row>
    <row r="24">
      <c r="J24" s="4">
        <f>IF(A24="","",IF(I24="Content-commerce veteran","Mature content markets (CC: US + Southeast Asia)",IF(I24="Marketplace-only seller","US + newly opened markets (crowded mature markets punish beginners)",IF(I24="Marketplace-validated products","US + Southeast Asia: open a new channel on proven products",""))))</f>
        <v/>
      </c>
      <c r="K24" s="4">
        <f>IF(A24="","",ROUND((C24+D24+2*F24+H24)-(E24+G24)/2,1))</f>
        <v/>
      </c>
      <c r="L24" s="4">
        <f>IF(A24="","",IF(H24=0,"Rate supply fit",IF(H24&lt;3,"Fix supply first - don't enter yet","OK")))</f>
        <v/>
      </c>
      <c r="M24" s="4">
        <f>IF(A24="","",IF(B24="1","Creator outreach and seeding; hire partnerships",IF(B24="2","Own short video + paid; hire shoot/edit + media buyer",IF(B24="3","Live selling, private traffic (community), brand; multi-channel",IF(B24="4","(aiOS addition) Owned audience: community, direct list, repeat purchase","")))))</f>
        <v/>
      </c>
      <c r="O24" s="4">
        <f>IF(A24="","",IF(N24="1","Prove scripts + sampling; don't chase ROI",IF(N24="2","Build a creator pool; test by niche/audience/deal",IF(N24="3","Rates rising: judge by ROI + retention",IF(N24="4","Long-term partners as local distributors","")))))</f>
        <v/>
      </c>
    </row>
    <row r="25">
      <c r="J25" s="4">
        <f>IF(A25="","",IF(I25="Content-commerce veteran","Mature content markets (CC: US + Southeast Asia)",IF(I25="Marketplace-only seller","US + newly opened markets (crowded mature markets punish beginners)",IF(I25="Marketplace-validated products","US + Southeast Asia: open a new channel on proven products",""))))</f>
        <v/>
      </c>
      <c r="K25" s="4">
        <f>IF(A25="","",ROUND((C25+D25+2*F25+H25)-(E25+G25)/2,1))</f>
        <v/>
      </c>
      <c r="L25" s="4">
        <f>IF(A25="","",IF(H25=0,"Rate supply fit",IF(H25&lt;3,"Fix supply first - don't enter yet","OK")))</f>
        <v/>
      </c>
      <c r="M25" s="4">
        <f>IF(A25="","",IF(B25="1","Creator outreach and seeding; hire partnerships",IF(B25="2","Own short video + paid; hire shoot/edit + media buyer",IF(B25="3","Live selling, private traffic (community), brand; multi-channel",IF(B25="4","(aiOS addition) Owned audience: community, direct list, repeat purchase","")))))</f>
        <v/>
      </c>
      <c r="O25" s="4">
        <f>IF(A25="","",IF(N25="1","Prove scripts + sampling; don't chase ROI",IF(N25="2","Build a creator pool; test by niche/audience/deal",IF(N25="3","Rates rising: judge by ROI + retention",IF(N25="4","Long-term partners as local distributors","")))))</f>
        <v/>
      </c>
    </row>
    <row r="26">
      <c r="J26" s="4">
        <f>IF(A26="","",IF(I26="Content-commerce veteran","Mature content markets (CC: US + Southeast Asia)",IF(I26="Marketplace-only seller","US + newly opened markets (crowded mature markets punish beginners)",IF(I26="Marketplace-validated products","US + Southeast Asia: open a new channel on proven products",""))))</f>
        <v/>
      </c>
      <c r="K26" s="4">
        <f>IF(A26="","",ROUND((C26+D26+2*F26+H26)-(E26+G26)/2,1))</f>
        <v/>
      </c>
      <c r="L26" s="4">
        <f>IF(A26="","",IF(H26=0,"Rate supply fit",IF(H26&lt;3,"Fix supply first - don't enter yet","OK")))</f>
        <v/>
      </c>
      <c r="M26" s="4">
        <f>IF(A26="","",IF(B26="1","Creator outreach and seeding; hire partnerships",IF(B26="2","Own short video + paid; hire shoot/edit + media buyer",IF(B26="3","Live selling, private traffic (community), brand; multi-channel",IF(B26="4","(aiOS addition) Owned audience: community, direct list, repeat purchase","")))))</f>
        <v/>
      </c>
      <c r="O26" s="4">
        <f>IF(A26="","",IF(N26="1","Prove scripts + sampling; don't chase ROI",IF(N26="2","Build a creator pool; test by niche/audience/deal",IF(N26="3","Rates rising: judge by ROI + retention",IF(N26="4","Long-term partners as local distributors","")))))</f>
        <v/>
      </c>
    </row>
    <row r="27">
      <c r="J27" s="4">
        <f>IF(A27="","",IF(I27="Content-commerce veteran","Mature content markets (CC: US + Southeast Asia)",IF(I27="Marketplace-only seller","US + newly opened markets (crowded mature markets punish beginners)",IF(I27="Marketplace-validated products","US + Southeast Asia: open a new channel on proven products",""))))</f>
        <v/>
      </c>
      <c r="K27" s="4">
        <f>IF(A27="","",ROUND((C27+D27+2*F27+H27)-(E27+G27)/2,1))</f>
        <v/>
      </c>
      <c r="L27" s="4">
        <f>IF(A27="","",IF(H27=0,"Rate supply fit",IF(H27&lt;3,"Fix supply first - don't enter yet","OK")))</f>
        <v/>
      </c>
      <c r="M27" s="4">
        <f>IF(A27="","",IF(B27="1","Creator outreach and seeding; hire partnerships",IF(B27="2","Own short video + paid; hire shoot/edit + media buyer",IF(B27="3","Live selling, private traffic (community), brand; multi-channel",IF(B27="4","(aiOS addition) Owned audience: community, direct list, repeat purchase","")))))</f>
        <v/>
      </c>
      <c r="O27" s="4">
        <f>IF(A27="","",IF(N27="1","Prove scripts + sampling; don't chase ROI",IF(N27="2","Build a creator pool; test by niche/audience/deal",IF(N27="3","Rates rising: judge by ROI + retention",IF(N27="4","Long-term partners as local distributors","")))))</f>
        <v/>
      </c>
    </row>
    <row r="28">
      <c r="J28" s="4">
        <f>IF(A28="","",IF(I28="Content-commerce veteran","Mature content markets (CC: US + Southeast Asia)",IF(I28="Marketplace-only seller","US + newly opened markets (crowded mature markets punish beginners)",IF(I28="Marketplace-validated products","US + Southeast Asia: open a new channel on proven products",""))))</f>
        <v/>
      </c>
      <c r="K28" s="4">
        <f>IF(A28="","",ROUND((C28+D28+2*F28+H28)-(E28+G28)/2,1))</f>
        <v/>
      </c>
      <c r="L28" s="4">
        <f>IF(A28="","",IF(H28=0,"Rate supply fit",IF(H28&lt;3,"Fix supply first - don't enter yet","OK")))</f>
        <v/>
      </c>
      <c r="M28" s="4">
        <f>IF(A28="","",IF(B28="1","Creator outreach and seeding; hire partnerships",IF(B28="2","Own short video + paid; hire shoot/edit + media buyer",IF(B28="3","Live selling, private traffic (community), brand; multi-channel",IF(B28="4","(aiOS addition) Owned audience: community, direct list, repeat purchase","")))))</f>
        <v/>
      </c>
      <c r="O28" s="4">
        <f>IF(A28="","",IF(N28="1","Prove scripts + sampling; don't chase ROI",IF(N28="2","Build a creator pool; test by niche/audience/deal",IF(N28="3","Rates rising: judge by ROI + retention",IF(N28="4","Long-term partners as local distributors","")))))</f>
        <v/>
      </c>
    </row>
    <row r="29">
      <c r="J29" s="4">
        <f>IF(A29="","",IF(I29="Content-commerce veteran","Mature content markets (CC: US + Southeast Asia)",IF(I29="Marketplace-only seller","US + newly opened markets (crowded mature markets punish beginners)",IF(I29="Marketplace-validated products","US + Southeast Asia: open a new channel on proven products",""))))</f>
        <v/>
      </c>
      <c r="K29" s="4">
        <f>IF(A29="","",ROUND((C29+D29+2*F29+H29)-(E29+G29)/2,1))</f>
        <v/>
      </c>
      <c r="L29" s="4">
        <f>IF(A29="","",IF(H29=0,"Rate supply fit",IF(H29&lt;3,"Fix supply first - don't enter yet","OK")))</f>
        <v/>
      </c>
      <c r="M29" s="4">
        <f>IF(A29="","",IF(B29="1","Creator outreach and seeding; hire partnerships",IF(B29="2","Own short video + paid; hire shoot/edit + media buyer",IF(B29="3","Live selling, private traffic (community), brand; multi-channel",IF(B29="4","(aiOS addition) Owned audience: community, direct list, repeat purchase","")))))</f>
        <v/>
      </c>
      <c r="O29" s="4">
        <f>IF(A29="","",IF(N29="1","Prove scripts + sampling; don't chase ROI",IF(N29="2","Build a creator pool; test by niche/audience/deal",IF(N29="3","Rates rising: judge by ROI + retention",IF(N29="4","Long-term partners as local distributors","")))))</f>
        <v/>
      </c>
    </row>
    <row r="30">
      <c r="J30" s="4">
        <f>IF(A30="","",IF(I30="Content-commerce veteran","Mature content markets (CC: US + Southeast Asia)",IF(I30="Marketplace-only seller","US + newly opened markets (crowded mature markets punish beginners)",IF(I30="Marketplace-validated products","US + Southeast Asia: open a new channel on proven products",""))))</f>
        <v/>
      </c>
      <c r="K30" s="4">
        <f>IF(A30="","",ROUND((C30+D30+2*F30+H30)-(E30+G30)/2,1))</f>
        <v/>
      </c>
      <c r="L30" s="4">
        <f>IF(A30="","",IF(H30=0,"Rate supply fit",IF(H30&lt;3,"Fix supply first - don't enter yet","OK")))</f>
        <v/>
      </c>
      <c r="M30" s="4">
        <f>IF(A30="","",IF(B30="1","Creator outreach and seeding; hire partnerships",IF(B30="2","Own short video + paid; hire shoot/edit + media buyer",IF(B30="3","Live selling, private traffic (community), brand; multi-channel",IF(B30="4","(aiOS addition) Owned audience: community, direct list, repeat purchase","")))))</f>
        <v/>
      </c>
      <c r="O30" s="4">
        <f>IF(A30="","",IF(N30="1","Prove scripts + sampling; don't chase ROI",IF(N30="2","Build a creator pool; test by niche/audience/deal",IF(N30="3","Rates rising: judge by ROI + retention",IF(N30="4","Long-term partners as local distributors","")))))</f>
        <v/>
      </c>
    </row>
    <row r="31">
      <c r="J31" s="4">
        <f>IF(A31="","",IF(I31="Content-commerce veteran","Mature content markets (CC: US + Southeast Asia)",IF(I31="Marketplace-only seller","US + newly opened markets (crowded mature markets punish beginners)",IF(I31="Marketplace-validated products","US + Southeast Asia: open a new channel on proven products",""))))</f>
        <v/>
      </c>
      <c r="K31" s="4">
        <f>IF(A31="","",ROUND((C31+D31+2*F31+H31)-(E31+G31)/2,1))</f>
        <v/>
      </c>
      <c r="L31" s="4">
        <f>IF(A31="","",IF(H31=0,"Rate supply fit",IF(H31&lt;3,"Fix supply first - don't enter yet","OK")))</f>
        <v/>
      </c>
      <c r="M31" s="4">
        <f>IF(A31="","",IF(B31="1","Creator outreach and seeding; hire partnerships",IF(B31="2","Own short video + paid; hire shoot/edit + media buyer",IF(B31="3","Live selling, private traffic (community), brand; multi-channel",IF(B31="4","(aiOS addition) Owned audience: community, direct list, repeat purchase","")))))</f>
        <v/>
      </c>
      <c r="O31" s="4">
        <f>IF(A31="","",IF(N31="1","Prove scripts + sampling; don't chase ROI",IF(N31="2","Build a creator pool; test by niche/audience/deal",IF(N31="3","Rates rising: judge by ROI + retention",IF(N31="4","Long-term partners as local distributors","")))))</f>
        <v/>
      </c>
    </row>
    <row r="32">
      <c r="J32" s="4">
        <f>IF(A32="","",IF(I32="Content-commerce veteran","Mature content markets (CC: US + Southeast Asia)",IF(I32="Marketplace-only seller","US + newly opened markets (crowded mature markets punish beginners)",IF(I32="Marketplace-validated products","US + Southeast Asia: open a new channel on proven products",""))))</f>
        <v/>
      </c>
      <c r="K32" s="4">
        <f>IF(A32="","",ROUND((C32+D32+2*F32+H32)-(E32+G32)/2,1))</f>
        <v/>
      </c>
      <c r="L32" s="4">
        <f>IF(A32="","",IF(H32=0,"Rate supply fit",IF(H32&lt;3,"Fix supply first - don't enter yet","OK")))</f>
        <v/>
      </c>
      <c r="M32" s="4">
        <f>IF(A32="","",IF(B32="1","Creator outreach and seeding; hire partnerships",IF(B32="2","Own short video + paid; hire shoot/edit + media buyer",IF(B32="3","Live selling, private traffic (community), brand; multi-channel",IF(B32="4","(aiOS addition) Owned audience: community, direct list, repeat purchase","")))))</f>
        <v/>
      </c>
      <c r="O32" s="4">
        <f>IF(A32="","",IF(N32="1","Prove scripts + sampling; don't chase ROI",IF(N32="2","Build a creator pool; test by niche/audience/deal",IF(N32="3","Rates rising: judge by ROI + retention",IF(N32="4","Long-term partners as local distributors","")))))</f>
        <v/>
      </c>
    </row>
    <row r="33">
      <c r="J33" s="4">
        <f>IF(A33="","",IF(I33="Content-commerce veteran","Mature content markets (CC: US + Southeast Asia)",IF(I33="Marketplace-only seller","US + newly opened markets (crowded mature markets punish beginners)",IF(I33="Marketplace-validated products","US + Southeast Asia: open a new channel on proven products",""))))</f>
        <v/>
      </c>
      <c r="K33" s="4">
        <f>IF(A33="","",ROUND((C33+D33+2*F33+H33)-(E33+G33)/2,1))</f>
        <v/>
      </c>
      <c r="L33" s="4">
        <f>IF(A33="","",IF(H33=0,"Rate supply fit",IF(H33&lt;3,"Fix supply first - don't enter yet","OK")))</f>
        <v/>
      </c>
      <c r="M33" s="4">
        <f>IF(A33="","",IF(B33="1","Creator outreach and seeding; hire partnerships",IF(B33="2","Own short video + paid; hire shoot/edit + media buyer",IF(B33="3","Live selling, private traffic (community), brand; multi-channel",IF(B33="4","(aiOS addition) Owned audience: community, direct list, repeat purchase","")))))</f>
        <v/>
      </c>
      <c r="O33" s="4">
        <f>IF(A33="","",IF(N33="1","Prove scripts + sampling; don't chase ROI",IF(N33="2","Build a creator pool; test by niche/audience/deal",IF(N33="3","Rates rising: judge by ROI + retention",IF(N33="4","Long-term partners as local distributors","")))))</f>
        <v/>
      </c>
    </row>
    <row r="34">
      <c r="J34" s="4">
        <f>IF(A34="","",IF(I34="Content-commerce veteran","Mature content markets (CC: US + Southeast Asia)",IF(I34="Marketplace-only seller","US + newly opened markets (crowded mature markets punish beginners)",IF(I34="Marketplace-validated products","US + Southeast Asia: open a new channel on proven products",""))))</f>
        <v/>
      </c>
      <c r="K34" s="4">
        <f>IF(A34="","",ROUND((C34+D34+2*F34+H34)-(E34+G34)/2,1))</f>
        <v/>
      </c>
      <c r="L34" s="4">
        <f>IF(A34="","",IF(H34=0,"Rate supply fit",IF(H34&lt;3,"Fix supply first - don't enter yet","OK")))</f>
        <v/>
      </c>
      <c r="M34" s="4">
        <f>IF(A34="","",IF(B34="1","Creator outreach and seeding; hire partnerships",IF(B34="2","Own short video + paid; hire shoot/edit + media buyer",IF(B34="3","Live selling, private traffic (community), brand; multi-channel",IF(B34="4","(aiOS addition) Owned audience: community, direct list, repeat purchase","")))))</f>
        <v/>
      </c>
      <c r="O34" s="4">
        <f>IF(A34="","",IF(N34="1","Prove scripts + sampling; don't chase ROI",IF(N34="2","Build a creator pool; test by niche/audience/deal",IF(N34="3","Rates rising: judge by ROI + retention",IF(N34="4","Long-term partners as local distributors","")))))</f>
        <v/>
      </c>
    </row>
    <row r="35">
      <c r="J35" s="4">
        <f>IF(A35="","",IF(I35="Content-commerce veteran","Mature content markets (CC: US + Southeast Asia)",IF(I35="Marketplace-only seller","US + newly opened markets (crowded mature markets punish beginners)",IF(I35="Marketplace-validated products","US + Southeast Asia: open a new channel on proven products",""))))</f>
        <v/>
      </c>
      <c r="K35" s="4">
        <f>IF(A35="","",ROUND((C35+D35+2*F35+H35)-(E35+G35)/2,1))</f>
        <v/>
      </c>
      <c r="L35" s="4">
        <f>IF(A35="","",IF(H35=0,"Rate supply fit",IF(H35&lt;3,"Fix supply first - don't enter yet","OK")))</f>
        <v/>
      </c>
      <c r="M35" s="4">
        <f>IF(A35="","",IF(B35="1","Creator outreach and seeding; hire partnerships",IF(B35="2","Own short video + paid; hire shoot/edit + media buyer",IF(B35="3","Live selling, private traffic (community), brand; multi-channel",IF(B35="4","(aiOS addition) Owned audience: community, direct list, repeat purchase","")))))</f>
        <v/>
      </c>
      <c r="O35" s="4">
        <f>IF(A35="","",IF(N35="1","Prove scripts + sampling; don't chase ROI",IF(N35="2","Build a creator pool; test by niche/audience/deal",IF(N35="3","Rates rising: judge by ROI + retention",IF(N35="4","Long-term partners as local distributors","")))))</f>
        <v/>
      </c>
    </row>
    <row r="36">
      <c r="J36" s="4">
        <f>IF(A36="","",IF(I36="Content-commerce veteran","Mature content markets (CC: US + Southeast Asia)",IF(I36="Marketplace-only seller","US + newly opened markets (crowded mature markets punish beginners)",IF(I36="Marketplace-validated products","US + Southeast Asia: open a new channel on proven products",""))))</f>
        <v/>
      </c>
      <c r="K36" s="4">
        <f>IF(A36="","",ROUND((C36+D36+2*F36+H36)-(E36+G36)/2,1))</f>
        <v/>
      </c>
      <c r="L36" s="4">
        <f>IF(A36="","",IF(H36=0,"Rate supply fit",IF(H36&lt;3,"Fix supply first - don't enter yet","OK")))</f>
        <v/>
      </c>
      <c r="M36" s="4">
        <f>IF(A36="","",IF(B36="1","Creator outreach and seeding; hire partnerships",IF(B36="2","Own short video + paid; hire shoot/edit + media buyer",IF(B36="3","Live selling, private traffic (community), brand; multi-channel",IF(B36="4","(aiOS addition) Owned audience: community, direct list, repeat purchase","")))))</f>
        <v/>
      </c>
      <c r="O36" s="4">
        <f>IF(A36="","",IF(N36="1","Prove scripts + sampling; don't chase ROI",IF(N36="2","Build a creator pool; test by niche/audience/deal",IF(N36="3","Rates rising: judge by ROI + retention",IF(N36="4","Long-term partners as local distributors","")))))</f>
        <v/>
      </c>
    </row>
    <row r="37">
      <c r="J37" s="4">
        <f>IF(A37="","",IF(I37="Content-commerce veteran","Mature content markets (CC: US + Southeast Asia)",IF(I37="Marketplace-only seller","US + newly opened markets (crowded mature markets punish beginners)",IF(I37="Marketplace-validated products","US + Southeast Asia: open a new channel on proven products",""))))</f>
        <v/>
      </c>
      <c r="K37" s="4">
        <f>IF(A37="","",ROUND((C37+D37+2*F37+H37)-(E37+G37)/2,1))</f>
        <v/>
      </c>
      <c r="L37" s="4">
        <f>IF(A37="","",IF(H37=0,"Rate supply fit",IF(H37&lt;3,"Fix supply first - don't enter yet","OK")))</f>
        <v/>
      </c>
      <c r="M37" s="4">
        <f>IF(A37="","",IF(B37="1","Creator outreach and seeding; hire partnerships",IF(B37="2","Own short video + paid; hire shoot/edit + media buyer",IF(B37="3","Live selling, private traffic (community), brand; multi-channel",IF(B37="4","(aiOS addition) Owned audience: community, direct list, repeat purchase","")))))</f>
        <v/>
      </c>
      <c r="O37" s="4">
        <f>IF(A37="","",IF(N37="1","Prove scripts + sampling; don't chase ROI",IF(N37="2","Build a creator pool; test by niche/audience/deal",IF(N37="3","Rates rising: judge by ROI + retention",IF(N37="4","Long-term partners as local distributors","")))))</f>
        <v/>
      </c>
    </row>
    <row r="38">
      <c r="J38" s="4">
        <f>IF(A38="","",IF(I38="Content-commerce veteran","Mature content markets (CC: US + Southeast Asia)",IF(I38="Marketplace-only seller","US + newly opened markets (crowded mature markets punish beginners)",IF(I38="Marketplace-validated products","US + Southeast Asia: open a new channel on proven products",""))))</f>
        <v/>
      </c>
      <c r="K38" s="4">
        <f>IF(A38="","",ROUND((C38+D38+2*F38+H38)-(E38+G38)/2,1))</f>
        <v/>
      </c>
      <c r="L38" s="4">
        <f>IF(A38="","",IF(H38=0,"Rate supply fit",IF(H38&lt;3,"Fix supply first - don't enter yet","OK")))</f>
        <v/>
      </c>
      <c r="M38" s="4">
        <f>IF(A38="","",IF(B38="1","Creator outreach and seeding; hire partnerships",IF(B38="2","Own short video + paid; hire shoot/edit + media buyer",IF(B38="3","Live selling, private traffic (community), brand; multi-channel",IF(B38="4","(aiOS addition) Owned audience: community, direct list, repeat purchase","")))))</f>
        <v/>
      </c>
      <c r="O38" s="4">
        <f>IF(A38="","",IF(N38="1","Prove scripts + sampling; don't chase ROI",IF(N38="2","Build a creator pool; test by niche/audience/deal",IF(N38="3","Rates rising: judge by ROI + retention",IF(N38="4","Long-term partners as local distributors","")))))</f>
        <v/>
      </c>
    </row>
    <row r="39">
      <c r="J39" s="4">
        <f>IF(A39="","",IF(I39="Content-commerce veteran","Mature content markets (CC: US + Southeast Asia)",IF(I39="Marketplace-only seller","US + newly opened markets (crowded mature markets punish beginners)",IF(I39="Marketplace-validated products","US + Southeast Asia: open a new channel on proven products",""))))</f>
        <v/>
      </c>
      <c r="K39" s="4">
        <f>IF(A39="","",ROUND((C39+D39+2*F39+H39)-(E39+G39)/2,1))</f>
        <v/>
      </c>
      <c r="L39" s="4">
        <f>IF(A39="","",IF(H39=0,"Rate supply fit",IF(H39&lt;3,"Fix supply first - don't enter yet","OK")))</f>
        <v/>
      </c>
      <c r="M39" s="4">
        <f>IF(A39="","",IF(B39="1","Creator outreach and seeding; hire partnerships",IF(B39="2","Own short video + paid; hire shoot/edit + media buyer",IF(B39="3","Live selling, private traffic (community), brand; multi-channel",IF(B39="4","(aiOS addition) Owned audience: community, direct list, repeat purchase","")))))</f>
        <v/>
      </c>
      <c r="O39" s="4">
        <f>IF(A39="","",IF(N39="1","Prove scripts + sampling; don't chase ROI",IF(N39="2","Build a creator pool; test by niche/audience/deal",IF(N39="3","Rates rising: judge by ROI + retention",IF(N39="4","Long-term partners as local distributors","")))))</f>
        <v/>
      </c>
    </row>
    <row r="40">
      <c r="J40" s="4">
        <f>IF(A40="","",IF(I40="Content-commerce veteran","Mature content markets (CC: US + Southeast Asia)",IF(I40="Marketplace-only seller","US + newly opened markets (crowded mature markets punish beginners)",IF(I40="Marketplace-validated products","US + Southeast Asia: open a new channel on proven products",""))))</f>
        <v/>
      </c>
      <c r="K40" s="4">
        <f>IF(A40="","",ROUND((C40+D40+2*F40+H40)-(E40+G40)/2,1))</f>
        <v/>
      </c>
      <c r="L40" s="4">
        <f>IF(A40="","",IF(H40=0,"Rate supply fit",IF(H40&lt;3,"Fix supply first - don't enter yet","OK")))</f>
        <v/>
      </c>
      <c r="M40" s="4">
        <f>IF(A40="","",IF(B40="1","Creator outreach and seeding; hire partnerships",IF(B40="2","Own short video + paid; hire shoot/edit + media buyer",IF(B40="3","Live selling, private traffic (community), brand; multi-channel",IF(B40="4","(aiOS addition) Owned audience: community, direct list, repeat purchase","")))))</f>
        <v/>
      </c>
      <c r="O40" s="4">
        <f>IF(A40="","",IF(N40="1","Prove scripts + sampling; don't chase ROI",IF(N40="2","Build a creator pool; test by niche/audience/deal",IF(N40="3","Rates rising: judge by ROI + retention",IF(N40="4","Long-term partners as local distributors","")))))</f>
        <v/>
      </c>
    </row>
    <row r="41">
      <c r="J41" s="4">
        <f>IF(A41="","",IF(I41="Content-commerce veteran","Mature content markets (CC: US + Southeast Asia)",IF(I41="Marketplace-only seller","US + newly opened markets (crowded mature markets punish beginners)",IF(I41="Marketplace-validated products","US + Southeast Asia: open a new channel on proven products",""))))</f>
        <v/>
      </c>
      <c r="K41" s="4">
        <f>IF(A41="","",ROUND((C41+D41+2*F41+H41)-(E41+G41)/2,1))</f>
        <v/>
      </c>
      <c r="L41" s="4">
        <f>IF(A41="","",IF(H41=0,"Rate supply fit",IF(H41&lt;3,"Fix supply first - don't enter yet","OK")))</f>
        <v/>
      </c>
      <c r="M41" s="4">
        <f>IF(A41="","",IF(B41="1","Creator outreach and seeding; hire partnerships",IF(B41="2","Own short video + paid; hire shoot/edit + media buyer",IF(B41="3","Live selling, private traffic (community), brand; multi-channel",IF(B41="4","(aiOS addition) Owned audience: community, direct list, repeat purchase","")))))</f>
        <v/>
      </c>
      <c r="O41" s="4">
        <f>IF(A41="","",IF(N41="1","Prove scripts + sampling; don't chase ROI",IF(N41="2","Build a creator pool; test by niche/audience/deal",IF(N41="3","Rates rising: judge by ROI + retention",IF(N41="4","Long-term partners as local distributors","")))))</f>
        <v/>
      </c>
    </row>
    <row r="42">
      <c r="J42" s="4">
        <f>IF(A42="","",IF(I42="Content-commerce veteran","Mature content markets (CC: US + Southeast Asia)",IF(I42="Marketplace-only seller","US + newly opened markets (crowded mature markets punish beginners)",IF(I42="Marketplace-validated products","US + Southeast Asia: open a new channel on proven products",""))))</f>
        <v/>
      </c>
      <c r="K42" s="4">
        <f>IF(A42="","",ROUND((C42+D42+2*F42+H42)-(E42+G42)/2,1))</f>
        <v/>
      </c>
      <c r="L42" s="4">
        <f>IF(A42="","",IF(H42=0,"Rate supply fit",IF(H42&lt;3,"Fix supply first - don't enter yet","OK")))</f>
        <v/>
      </c>
      <c r="M42" s="4">
        <f>IF(A42="","",IF(B42="1","Creator outreach and seeding; hire partnerships",IF(B42="2","Own short video + paid; hire shoot/edit + media buyer",IF(B42="3","Live selling, private traffic (community), brand; multi-channel",IF(B42="4","(aiOS addition) Owned audience: community, direct list, repeat purchase","")))))</f>
        <v/>
      </c>
      <c r="O42" s="4">
        <f>IF(A42="","",IF(N42="1","Prove scripts + sampling; don't chase ROI",IF(N42="2","Build a creator pool; test by niche/audience/deal",IF(N42="3","Rates rising: judge by ROI + retention",IF(N42="4","Long-term partners as local distributors","")))))</f>
        <v/>
      </c>
    </row>
    <row r="43">
      <c r="J43" s="4">
        <f>IF(A43="","",IF(I43="Content-commerce veteran","Mature content markets (CC: US + Southeast Asia)",IF(I43="Marketplace-only seller","US + newly opened markets (crowded mature markets punish beginners)",IF(I43="Marketplace-validated products","US + Southeast Asia: open a new channel on proven products",""))))</f>
        <v/>
      </c>
      <c r="K43" s="4">
        <f>IF(A43="","",ROUND((C43+D43+2*F43+H43)-(E43+G43)/2,1))</f>
        <v/>
      </c>
      <c r="L43" s="4">
        <f>IF(A43="","",IF(H43=0,"Rate supply fit",IF(H43&lt;3,"Fix supply first - don't enter yet","OK")))</f>
        <v/>
      </c>
      <c r="M43" s="4">
        <f>IF(A43="","",IF(B43="1","Creator outreach and seeding; hire partnerships",IF(B43="2","Own short video + paid; hire shoot/edit + media buyer",IF(B43="3","Live selling, private traffic (community), brand; multi-channel",IF(B43="4","(aiOS addition) Owned audience: community, direct list, repeat purchase","")))))</f>
        <v/>
      </c>
      <c r="O43" s="4">
        <f>IF(A43="","",IF(N43="1","Prove scripts + sampling; don't chase ROI",IF(N43="2","Build a creator pool; test by niche/audience/deal",IF(N43="3","Rates rising: judge by ROI + retention",IF(N43="4","Long-term partners as local distributors","")))))</f>
        <v/>
      </c>
    </row>
    <row r="44">
      <c r="J44" s="4">
        <f>IF(A44="","",IF(I44="Content-commerce veteran","Mature content markets (CC: US + Southeast Asia)",IF(I44="Marketplace-only seller","US + newly opened markets (crowded mature markets punish beginners)",IF(I44="Marketplace-validated products","US + Southeast Asia: open a new channel on proven products",""))))</f>
        <v/>
      </c>
      <c r="K44" s="4">
        <f>IF(A44="","",ROUND((C44+D44+2*F44+H44)-(E44+G44)/2,1))</f>
        <v/>
      </c>
      <c r="L44" s="4">
        <f>IF(A44="","",IF(H44=0,"Rate supply fit",IF(H44&lt;3,"Fix supply first - don't enter yet","OK")))</f>
        <v/>
      </c>
      <c r="M44" s="4">
        <f>IF(A44="","",IF(B44="1","Creator outreach and seeding; hire partnerships",IF(B44="2","Own short video + paid; hire shoot/edit + media buyer",IF(B44="3","Live selling, private traffic (community), brand; multi-channel",IF(B44="4","(aiOS addition) Owned audience: community, direct list, repeat purchase","")))))</f>
        <v/>
      </c>
      <c r="O44" s="4">
        <f>IF(A44="","",IF(N44="1","Prove scripts + sampling; don't chase ROI",IF(N44="2","Build a creator pool; test by niche/audience/deal",IF(N44="3","Rates rising: judge by ROI + retention",IF(N44="4","Long-term partners as local distributors","")))))</f>
        <v/>
      </c>
    </row>
    <row r="45">
      <c r="J45" s="4">
        <f>IF(A45="","",IF(I45="Content-commerce veteran","Mature content markets (CC: US + Southeast Asia)",IF(I45="Marketplace-only seller","US + newly opened markets (crowded mature markets punish beginners)",IF(I45="Marketplace-validated products","US + Southeast Asia: open a new channel on proven products",""))))</f>
        <v/>
      </c>
      <c r="K45" s="4">
        <f>IF(A45="","",ROUND((C45+D45+2*F45+H45)-(E45+G45)/2,1))</f>
        <v/>
      </c>
      <c r="L45" s="4">
        <f>IF(A45="","",IF(H45=0,"Rate supply fit",IF(H45&lt;3,"Fix supply first - don't enter yet","OK")))</f>
        <v/>
      </c>
      <c r="M45" s="4">
        <f>IF(A45="","",IF(B45="1","Creator outreach and seeding; hire partnerships",IF(B45="2","Own short video + paid; hire shoot/edit + media buyer",IF(B45="3","Live selling, private traffic (community), brand; multi-channel",IF(B45="4","(aiOS addition) Owned audience: community, direct list, repeat purchase","")))))</f>
        <v/>
      </c>
      <c r="O45" s="4">
        <f>IF(A45="","",IF(N45="1","Prove scripts + sampling; don't chase ROI",IF(N45="2","Build a creator pool; test by niche/audience/deal",IF(N45="3","Rates rising: judge by ROI + retention",IF(N45="4","Long-term partners as local distributors","")))))</f>
        <v/>
      </c>
    </row>
    <row r="46">
      <c r="J46" s="4">
        <f>IF(A46="","",IF(I46="Content-commerce veteran","Mature content markets (CC: US + Southeast Asia)",IF(I46="Marketplace-only seller","US + newly opened markets (crowded mature markets punish beginners)",IF(I46="Marketplace-validated products","US + Southeast Asia: open a new channel on proven products",""))))</f>
        <v/>
      </c>
      <c r="K46" s="4">
        <f>IF(A46="","",ROUND((C46+D46+2*F46+H46)-(E46+G46)/2,1))</f>
        <v/>
      </c>
      <c r="L46" s="4">
        <f>IF(A46="","",IF(H46=0,"Rate supply fit",IF(H46&lt;3,"Fix supply first - don't enter yet","OK")))</f>
        <v/>
      </c>
      <c r="M46" s="4">
        <f>IF(A46="","",IF(B46="1","Creator outreach and seeding; hire partnerships",IF(B46="2","Own short video + paid; hire shoot/edit + media buyer",IF(B46="3","Live selling, private traffic (community), brand; multi-channel",IF(B46="4","(aiOS addition) Owned audience: community, direct list, repeat purchase","")))))</f>
        <v/>
      </c>
      <c r="O46" s="4">
        <f>IF(A46="","",IF(N46="1","Prove scripts + sampling; don't chase ROI",IF(N46="2","Build a creator pool; test by niche/audience/deal",IF(N46="3","Rates rising: judge by ROI + retention",IF(N46="4","Long-term partners as local distributors","")))))</f>
        <v/>
      </c>
    </row>
    <row r="47">
      <c r="J47" s="4">
        <f>IF(A47="","",IF(I47="Content-commerce veteran","Mature content markets (CC: US + Southeast Asia)",IF(I47="Marketplace-only seller","US + newly opened markets (crowded mature markets punish beginners)",IF(I47="Marketplace-validated products","US + Southeast Asia: open a new channel on proven products",""))))</f>
        <v/>
      </c>
      <c r="K47" s="4">
        <f>IF(A47="","",ROUND((C47+D47+2*F47+H47)-(E47+G47)/2,1))</f>
        <v/>
      </c>
      <c r="L47" s="4">
        <f>IF(A47="","",IF(H47=0,"Rate supply fit",IF(H47&lt;3,"Fix supply first - don't enter yet","OK")))</f>
        <v/>
      </c>
      <c r="M47" s="4">
        <f>IF(A47="","",IF(B47="1","Creator outreach and seeding; hire partnerships",IF(B47="2","Own short video + paid; hire shoot/edit + media buyer",IF(B47="3","Live selling, private traffic (community), brand; multi-channel",IF(B47="4","(aiOS addition) Owned audience: community, direct list, repeat purchase","")))))</f>
        <v/>
      </c>
      <c r="O47" s="4">
        <f>IF(A47="","",IF(N47="1","Prove scripts + sampling; don't chase ROI",IF(N47="2","Build a creator pool; test by niche/audience/deal",IF(N47="3","Rates rising: judge by ROI + retention",IF(N47="4","Long-term partners as local distributors","")))))</f>
        <v/>
      </c>
    </row>
    <row r="48">
      <c r="J48" s="4">
        <f>IF(A48="","",IF(I48="Content-commerce veteran","Mature content markets (CC: US + Southeast Asia)",IF(I48="Marketplace-only seller","US + newly opened markets (crowded mature markets punish beginners)",IF(I48="Marketplace-validated products","US + Southeast Asia: open a new channel on proven products",""))))</f>
        <v/>
      </c>
      <c r="K48" s="4">
        <f>IF(A48="","",ROUND((C48+D48+2*F48+H48)-(E48+G48)/2,1))</f>
        <v/>
      </c>
      <c r="L48" s="4">
        <f>IF(A48="","",IF(H48=0,"Rate supply fit",IF(H48&lt;3,"Fix supply first - don't enter yet","OK")))</f>
        <v/>
      </c>
      <c r="M48" s="4">
        <f>IF(A48="","",IF(B48="1","Creator outreach and seeding; hire partnerships",IF(B48="2","Own short video + paid; hire shoot/edit + media buyer",IF(B48="3","Live selling, private traffic (community), brand; multi-channel",IF(B48="4","(aiOS addition) Owned audience: community, direct list, repeat purchase","")))))</f>
        <v/>
      </c>
      <c r="O48" s="4">
        <f>IF(A48="","",IF(N48="1","Prove scripts + sampling; don't chase ROI",IF(N48="2","Build a creator pool; test by niche/audience/deal",IF(N48="3","Rates rising: judge by ROI + retention",IF(N48="4","Long-term partners as local distributors","")))))</f>
        <v/>
      </c>
    </row>
    <row r="49">
      <c r="J49" s="4">
        <f>IF(A49="","",IF(I49="Content-commerce veteran","Mature content markets (CC: US + Southeast Asia)",IF(I49="Marketplace-only seller","US + newly opened markets (crowded mature markets punish beginners)",IF(I49="Marketplace-validated products","US + Southeast Asia: open a new channel on proven products",""))))</f>
        <v/>
      </c>
      <c r="K49" s="4">
        <f>IF(A49="","",ROUND((C49+D49+2*F49+H49)-(E49+G49)/2,1))</f>
        <v/>
      </c>
      <c r="L49" s="4">
        <f>IF(A49="","",IF(H49=0,"Rate supply fit",IF(H49&lt;3,"Fix supply first - don't enter yet","OK")))</f>
        <v/>
      </c>
      <c r="M49" s="4">
        <f>IF(A49="","",IF(B49="1","Creator outreach and seeding; hire partnerships",IF(B49="2","Own short video + paid; hire shoot/edit + media buyer",IF(B49="3","Live selling, private traffic (community), brand; multi-channel",IF(B49="4","(aiOS addition) Owned audience: community, direct list, repeat purchase","")))))</f>
        <v/>
      </c>
      <c r="O49" s="4">
        <f>IF(A49="","",IF(N49="1","Prove scripts + sampling; don't chase ROI",IF(N49="2","Build a creator pool; test by niche/audience/deal",IF(N49="3","Rates rising: judge by ROI + retention",IF(N49="4","Long-term partners as local distributors","")))))</f>
        <v/>
      </c>
    </row>
    <row r="50">
      <c r="J50" s="4">
        <f>IF(A50="","",IF(I50="Content-commerce veteran","Mature content markets (CC: US + Southeast Asia)",IF(I50="Marketplace-only seller","US + newly opened markets (crowded mature markets punish beginners)",IF(I50="Marketplace-validated products","US + Southeast Asia: open a new channel on proven products",""))))</f>
        <v/>
      </c>
      <c r="K50" s="4">
        <f>IF(A50="","",ROUND((C50+D50+2*F50+H50)-(E50+G50)/2,1))</f>
        <v/>
      </c>
      <c r="L50" s="4">
        <f>IF(A50="","",IF(H50=0,"Rate supply fit",IF(H50&lt;3,"Fix supply first - don't enter yet","OK")))</f>
        <v/>
      </c>
      <c r="M50" s="4">
        <f>IF(A50="","",IF(B50="1","Creator outreach and seeding; hire partnerships",IF(B50="2","Own short video + paid; hire shoot/edit + media buyer",IF(B50="3","Live selling, private traffic (community), brand; multi-channel",IF(B50="4","(aiOS addition) Owned audience: community, direct list, repeat purchase","")))))</f>
        <v/>
      </c>
      <c r="O50" s="4">
        <f>IF(A50="","",IF(N50="1","Prove scripts + sampling; don't chase ROI",IF(N50="2","Build a creator pool; test by niche/audience/deal",IF(N50="3","Rates rising: judge by ROI + retention",IF(N50="4","Long-term partners as local distributors","")))))</f>
        <v/>
      </c>
    </row>
    <row r="51">
      <c r="J51" s="4">
        <f>IF(A51="","",IF(I51="Content-commerce veteran","Mature content markets (CC: US + Southeast Asia)",IF(I51="Marketplace-only seller","US + newly opened markets (crowded mature markets punish beginners)",IF(I51="Marketplace-validated products","US + Southeast Asia: open a new channel on proven products",""))))</f>
        <v/>
      </c>
      <c r="K51" s="4">
        <f>IF(A51="","",ROUND((C51+D51+2*F51+H51)-(E51+G51)/2,1))</f>
        <v/>
      </c>
      <c r="L51" s="4">
        <f>IF(A51="","",IF(H51=0,"Rate supply fit",IF(H51&lt;3,"Fix supply first - don't enter yet","OK")))</f>
        <v/>
      </c>
      <c r="M51" s="4">
        <f>IF(A51="","",IF(B51="1","Creator outreach and seeding; hire partnerships",IF(B51="2","Own short video + paid; hire shoot/edit + media buyer",IF(B51="3","Live selling, private traffic (community), brand; multi-channel",IF(B51="4","(aiOS addition) Owned audience: community, direct list, repeat purchase","")))))</f>
        <v/>
      </c>
      <c r="O51" s="4">
        <f>IF(A51="","",IF(N51="1","Prove scripts + sampling; don't chase ROI",IF(N51="2","Build a creator pool; test by niche/audience/deal",IF(N51="3","Rates rising: judge by ROI + retention",IF(N51="4","Long-term partners as local distributors","")))))</f>
        <v/>
      </c>
    </row>
    <row r="52">
      <c r="J52" s="4">
        <f>IF(A52="","",IF(I52="Content-commerce veteran","Mature content markets (CC: US + Southeast Asia)",IF(I52="Marketplace-only seller","US + newly opened markets (crowded mature markets punish beginners)",IF(I52="Marketplace-validated products","US + Southeast Asia: open a new channel on proven products",""))))</f>
        <v/>
      </c>
      <c r="K52" s="4">
        <f>IF(A52="","",ROUND((C52+D52+2*F52+H52)-(E52+G52)/2,1))</f>
        <v/>
      </c>
      <c r="L52" s="4">
        <f>IF(A52="","",IF(H52=0,"Rate supply fit",IF(H52&lt;3,"Fix supply first - don't enter yet","OK")))</f>
        <v/>
      </c>
      <c r="M52" s="4">
        <f>IF(A52="","",IF(B52="1","Creator outreach and seeding; hire partnerships",IF(B52="2","Own short video + paid; hire shoot/edit + media buyer",IF(B52="3","Live selling, private traffic (community), brand; multi-channel",IF(B52="4","(aiOS addition) Owned audience: community, direct list, repeat purchase","")))))</f>
        <v/>
      </c>
      <c r="O52" s="4">
        <f>IF(A52="","",IF(N52="1","Prove scripts + sampling; don't chase ROI",IF(N52="2","Build a creator pool; test by niche/audience/deal",IF(N52="3","Rates rising: judge by ROI + retention",IF(N52="4","Long-term partners as local distributors","")))))</f>
        <v/>
      </c>
    </row>
    <row r="53">
      <c r="J53" s="4">
        <f>IF(A53="","",IF(I53="Content-commerce veteran","Mature content markets (CC: US + Southeast Asia)",IF(I53="Marketplace-only seller","US + newly opened markets (crowded mature markets punish beginners)",IF(I53="Marketplace-validated products","US + Southeast Asia: open a new channel on proven products",""))))</f>
        <v/>
      </c>
      <c r="K53" s="4">
        <f>IF(A53="","",ROUND((C53+D53+2*F53+H53)-(E53+G53)/2,1))</f>
        <v/>
      </c>
      <c r="L53" s="4">
        <f>IF(A53="","",IF(H53=0,"Rate supply fit",IF(H53&lt;3,"Fix supply first - don't enter yet","OK")))</f>
        <v/>
      </c>
      <c r="M53" s="4">
        <f>IF(A53="","",IF(B53="1","Creator outreach and seeding; hire partnerships",IF(B53="2","Own short video + paid; hire shoot/edit + media buyer",IF(B53="3","Live selling, private traffic (community), brand; multi-channel",IF(B53="4","(aiOS addition) Owned audience: community, direct list, repeat purchase","")))))</f>
        <v/>
      </c>
      <c r="O53" s="4">
        <f>IF(A53="","",IF(N53="1","Prove scripts + sampling; don't chase ROI",IF(N53="2","Build a creator pool; test by niche/audience/deal",IF(N53="3","Rates rising: judge by ROI + retention",IF(N53="4","Long-term partners as local distributors","")))))</f>
        <v/>
      </c>
    </row>
    <row r="54">
      <c r="J54" s="4">
        <f>IF(A54="","",IF(I54="Content-commerce veteran","Mature content markets (CC: US + Southeast Asia)",IF(I54="Marketplace-only seller","US + newly opened markets (crowded mature markets punish beginners)",IF(I54="Marketplace-validated products","US + Southeast Asia: open a new channel on proven products",""))))</f>
        <v/>
      </c>
      <c r="K54" s="4">
        <f>IF(A54="","",ROUND((C54+D54+2*F54+H54)-(E54+G54)/2,1))</f>
        <v/>
      </c>
      <c r="L54" s="4">
        <f>IF(A54="","",IF(H54=0,"Rate supply fit",IF(H54&lt;3,"Fix supply first - don't enter yet","OK")))</f>
        <v/>
      </c>
      <c r="M54" s="4">
        <f>IF(A54="","",IF(B54="1","Creator outreach and seeding; hire partnerships",IF(B54="2","Own short video + paid; hire shoot/edit + media buyer",IF(B54="3","Live selling, private traffic (community), brand; multi-channel",IF(B54="4","(aiOS addition) Owned audience: community, direct list, repeat purchase","")))))</f>
        <v/>
      </c>
      <c r="O54" s="4">
        <f>IF(A54="","",IF(N54="1","Prove scripts + sampling; don't chase ROI",IF(N54="2","Build a creator pool; test by niche/audience/deal",IF(N54="3","Rates rising: judge by ROI + retention",IF(N54="4","Long-term partners as local distributors","")))))</f>
        <v/>
      </c>
    </row>
    <row r="55">
      <c r="J55" s="4">
        <f>IF(A55="","",IF(I55="Content-commerce veteran","Mature content markets (CC: US + Southeast Asia)",IF(I55="Marketplace-only seller","US + newly opened markets (crowded mature markets punish beginners)",IF(I55="Marketplace-validated products","US + Southeast Asia: open a new channel on proven products",""))))</f>
        <v/>
      </c>
      <c r="K55" s="4">
        <f>IF(A55="","",ROUND((C55+D55+2*F55+H55)-(E55+G55)/2,1))</f>
        <v/>
      </c>
      <c r="L55" s="4">
        <f>IF(A55="","",IF(H55=0,"Rate supply fit",IF(H55&lt;3,"Fix supply first - don't enter yet","OK")))</f>
        <v/>
      </c>
      <c r="M55" s="4">
        <f>IF(A55="","",IF(B55="1","Creator outreach and seeding; hire partnerships",IF(B55="2","Own short video + paid; hire shoot/edit + media buyer",IF(B55="3","Live selling, private traffic (community), brand; multi-channel",IF(B55="4","(aiOS addition) Owned audience: community, direct list, repeat purchase","")))))</f>
        <v/>
      </c>
      <c r="O55" s="4">
        <f>IF(A55="","",IF(N55="1","Prove scripts + sampling; don't chase ROI",IF(N55="2","Build a creator pool; test by niche/audience/deal",IF(N55="3","Rates rising: judge by ROI + retention",IF(N55="4","Long-term partners as local distributors","")))))</f>
        <v/>
      </c>
    </row>
    <row r="56">
      <c r="J56" s="4">
        <f>IF(A56="","",IF(I56="Content-commerce veteran","Mature content markets (CC: US + Southeast Asia)",IF(I56="Marketplace-only seller","US + newly opened markets (crowded mature markets punish beginners)",IF(I56="Marketplace-validated products","US + Southeast Asia: open a new channel on proven products",""))))</f>
        <v/>
      </c>
      <c r="K56" s="4">
        <f>IF(A56="","",ROUND((C56+D56+2*F56+H56)-(E56+G56)/2,1))</f>
        <v/>
      </c>
      <c r="L56" s="4">
        <f>IF(A56="","",IF(H56=0,"Rate supply fit",IF(H56&lt;3,"Fix supply first - don't enter yet","OK")))</f>
        <v/>
      </c>
      <c r="M56" s="4">
        <f>IF(A56="","",IF(B56="1","Creator outreach and seeding; hire partnerships",IF(B56="2","Own short video + paid; hire shoot/edit + media buyer",IF(B56="3","Live selling, private traffic (community), brand; multi-channel",IF(B56="4","(aiOS addition) Owned audience: community, direct list, repeat purchase","")))))</f>
        <v/>
      </c>
      <c r="O56" s="4">
        <f>IF(A56="","",IF(N56="1","Prove scripts + sampling; don't chase ROI",IF(N56="2","Build a creator pool; test by niche/audience/deal",IF(N56="3","Rates rising: judge by ROI + retention",IF(N56="4","Long-term partners as local distributors","")))))</f>
        <v/>
      </c>
    </row>
    <row r="57">
      <c r="J57" s="4">
        <f>IF(A57="","",IF(I57="Content-commerce veteran","Mature content markets (CC: US + Southeast Asia)",IF(I57="Marketplace-only seller","US + newly opened markets (crowded mature markets punish beginners)",IF(I57="Marketplace-validated products","US + Southeast Asia: open a new channel on proven products",""))))</f>
        <v/>
      </c>
      <c r="K57" s="4">
        <f>IF(A57="","",ROUND((C57+D57+2*F57+H57)-(E57+G57)/2,1))</f>
        <v/>
      </c>
      <c r="L57" s="4">
        <f>IF(A57="","",IF(H57=0,"Rate supply fit",IF(H57&lt;3,"Fix supply first - don't enter yet","OK")))</f>
        <v/>
      </c>
      <c r="M57" s="4">
        <f>IF(A57="","",IF(B57="1","Creator outreach and seeding; hire partnerships",IF(B57="2","Own short video + paid; hire shoot/edit + media buyer",IF(B57="3","Live selling, private traffic (community), brand; multi-channel",IF(B57="4","(aiOS addition) Owned audience: community, direct list, repeat purchase","")))))</f>
        <v/>
      </c>
      <c r="O57" s="4">
        <f>IF(A57="","",IF(N57="1","Prove scripts + sampling; don't chase ROI",IF(N57="2","Build a creator pool; test by niche/audience/deal",IF(N57="3","Rates rising: judge by ROI + retention",IF(N57="4","Long-term partners as local distributors","")))))</f>
        <v/>
      </c>
    </row>
    <row r="58">
      <c r="J58" s="4">
        <f>IF(A58="","",IF(I58="Content-commerce veteran","Mature content markets (CC: US + Southeast Asia)",IF(I58="Marketplace-only seller","US + newly opened markets (crowded mature markets punish beginners)",IF(I58="Marketplace-validated products","US + Southeast Asia: open a new channel on proven products",""))))</f>
        <v/>
      </c>
      <c r="K58" s="4">
        <f>IF(A58="","",ROUND((C58+D58+2*F58+H58)-(E58+G58)/2,1))</f>
        <v/>
      </c>
      <c r="L58" s="4">
        <f>IF(A58="","",IF(H58=0,"Rate supply fit",IF(H58&lt;3,"Fix supply first - don't enter yet","OK")))</f>
        <v/>
      </c>
      <c r="M58" s="4">
        <f>IF(A58="","",IF(B58="1","Creator outreach and seeding; hire partnerships",IF(B58="2","Own short video + paid; hire shoot/edit + media buyer",IF(B58="3","Live selling, private traffic (community), brand; multi-channel",IF(B58="4","(aiOS addition) Owned audience: community, direct list, repeat purchase","")))))</f>
        <v/>
      </c>
      <c r="O58" s="4">
        <f>IF(A58="","",IF(N58="1","Prove scripts + sampling; don't chase ROI",IF(N58="2","Build a creator pool; test by niche/audience/deal",IF(N58="3","Rates rising: judge by ROI + retention",IF(N58="4","Long-term partners as local distributors","")))))</f>
        <v/>
      </c>
    </row>
    <row r="59">
      <c r="J59" s="4">
        <f>IF(A59="","",IF(I59="Content-commerce veteran","Mature content markets (CC: US + Southeast Asia)",IF(I59="Marketplace-only seller","US + newly opened markets (crowded mature markets punish beginners)",IF(I59="Marketplace-validated products","US + Southeast Asia: open a new channel on proven products",""))))</f>
        <v/>
      </c>
      <c r="K59" s="4">
        <f>IF(A59="","",ROUND((C59+D59+2*F59+H59)-(E59+G59)/2,1))</f>
        <v/>
      </c>
      <c r="L59" s="4">
        <f>IF(A59="","",IF(H59=0,"Rate supply fit",IF(H59&lt;3,"Fix supply first - don't enter yet","OK")))</f>
        <v/>
      </c>
      <c r="M59" s="4">
        <f>IF(A59="","",IF(B59="1","Creator outreach and seeding; hire partnerships",IF(B59="2","Own short video + paid; hire shoot/edit + media buyer",IF(B59="3","Live selling, private traffic (community), brand; multi-channel",IF(B59="4","(aiOS addition) Owned audience: community, direct list, repeat purchase","")))))</f>
        <v/>
      </c>
      <c r="O59" s="4">
        <f>IF(A59="","",IF(N59="1","Prove scripts + sampling; don't chase ROI",IF(N59="2","Build a creator pool; test by niche/audience/deal",IF(N59="3","Rates rising: judge by ROI + retention",IF(N59="4","Long-term partners as local distributors","")))))</f>
        <v/>
      </c>
    </row>
    <row r="60">
      <c r="J60" s="4">
        <f>IF(A60="","",IF(I60="Content-commerce veteran","Mature content markets (CC: US + Southeast Asia)",IF(I60="Marketplace-only seller","US + newly opened markets (crowded mature markets punish beginners)",IF(I60="Marketplace-validated products","US + Southeast Asia: open a new channel on proven products",""))))</f>
        <v/>
      </c>
      <c r="K60" s="4">
        <f>IF(A60="","",ROUND((C60+D60+2*F60+H60)-(E60+G60)/2,1))</f>
        <v/>
      </c>
      <c r="L60" s="4">
        <f>IF(A60="","",IF(H60=0,"Rate supply fit",IF(H60&lt;3,"Fix supply first - don't enter yet","OK")))</f>
        <v/>
      </c>
      <c r="M60" s="4">
        <f>IF(A60="","",IF(B60="1","Creator outreach and seeding; hire partnerships",IF(B60="2","Own short video + paid; hire shoot/edit + media buyer",IF(B60="3","Live selling, private traffic (community), brand; multi-channel",IF(B60="4","(aiOS addition) Owned audience: community, direct list, repeat purchase","")))))</f>
        <v/>
      </c>
      <c r="O60" s="4">
        <f>IF(A60="","",IF(N60="1","Prove scripts + sampling; don't chase ROI",IF(N60="2","Build a creator pool; test by niche/audience/deal",IF(N60="3","Rates rising: judge by ROI + retention",IF(N60="4","Long-term partners as local distributors","")))))</f>
        <v/>
      </c>
    </row>
    <row r="61">
      <c r="J61" s="4">
        <f>IF(A61="","",IF(I61="Content-commerce veteran","Mature content markets (CC: US + Southeast Asia)",IF(I61="Marketplace-only seller","US + newly opened markets (crowded mature markets punish beginners)",IF(I61="Marketplace-validated products","US + Southeast Asia: open a new channel on proven products",""))))</f>
        <v/>
      </c>
      <c r="K61" s="4">
        <f>IF(A61="","",ROUND((C61+D61+2*F61+H61)-(E61+G61)/2,1))</f>
        <v/>
      </c>
      <c r="L61" s="4">
        <f>IF(A61="","",IF(H61=0,"Rate supply fit",IF(H61&lt;3,"Fix supply first - don't enter yet","OK")))</f>
        <v/>
      </c>
      <c r="M61" s="4">
        <f>IF(A61="","",IF(B61="1","Creator outreach and seeding; hire partnerships",IF(B61="2","Own short video + paid; hire shoot/edit + media buyer",IF(B61="3","Live selling, private traffic (community), brand; multi-channel",IF(B61="4","(aiOS addition) Owned audience: community, direct list, repeat purchase","")))))</f>
        <v/>
      </c>
      <c r="O61" s="4">
        <f>IF(A61="","",IF(N61="1","Prove scripts + sampling; don't chase ROI",IF(N61="2","Build a creator pool; test by niche/audience/deal",IF(N61="3","Rates rising: judge by ROI + retention",IF(N61="4","Long-term partners as local distributors","")))))</f>
        <v/>
      </c>
    </row>
    <row r="62">
      <c r="J62" s="4">
        <f>IF(A62="","",IF(I62="Content-commerce veteran","Mature content markets (CC: US + Southeast Asia)",IF(I62="Marketplace-only seller","US + newly opened markets (crowded mature markets punish beginners)",IF(I62="Marketplace-validated products","US + Southeast Asia: open a new channel on proven products",""))))</f>
        <v/>
      </c>
      <c r="K62" s="4">
        <f>IF(A62="","",ROUND((C62+D62+2*F62+H62)-(E62+G62)/2,1))</f>
        <v/>
      </c>
      <c r="L62" s="4">
        <f>IF(A62="","",IF(H62=0,"Rate supply fit",IF(H62&lt;3,"Fix supply first - don't enter yet","OK")))</f>
        <v/>
      </c>
      <c r="M62" s="4">
        <f>IF(A62="","",IF(B62="1","Creator outreach and seeding; hire partnerships",IF(B62="2","Own short video + paid; hire shoot/edit + media buyer",IF(B62="3","Live selling, private traffic (community), brand; multi-channel",IF(B62="4","(aiOS addition) Owned audience: community, direct list, repeat purchase","")))))</f>
        <v/>
      </c>
      <c r="O62" s="4">
        <f>IF(A62="","",IF(N62="1","Prove scripts + sampling; don't chase ROI",IF(N62="2","Build a creator pool; test by niche/audience/deal",IF(N62="3","Rates rising: judge by ROI + retention",IF(N62="4","Long-term partners as local distributors","")))))</f>
        <v/>
      </c>
    </row>
    <row r="63">
      <c r="J63" s="4">
        <f>IF(A63="","",IF(I63="Content-commerce veteran","Mature content markets (CC: US + Southeast Asia)",IF(I63="Marketplace-only seller","US + newly opened markets (crowded mature markets punish beginners)",IF(I63="Marketplace-validated products","US + Southeast Asia: open a new channel on proven products",""))))</f>
        <v/>
      </c>
      <c r="K63" s="4">
        <f>IF(A63="","",ROUND((C63+D63+2*F63+H63)-(E63+G63)/2,1))</f>
        <v/>
      </c>
      <c r="L63" s="4">
        <f>IF(A63="","",IF(H63=0,"Rate supply fit",IF(H63&lt;3,"Fix supply first - don't enter yet","OK")))</f>
        <v/>
      </c>
      <c r="M63" s="4">
        <f>IF(A63="","",IF(B63="1","Creator outreach and seeding; hire partnerships",IF(B63="2","Own short video + paid; hire shoot/edit + media buyer",IF(B63="3","Live selling, private traffic (community), brand; multi-channel",IF(B63="4","(aiOS addition) Owned audience: community, direct list, repeat purchase","")))))</f>
        <v/>
      </c>
      <c r="O63" s="4">
        <f>IF(A63="","",IF(N63="1","Prove scripts + sampling; don't chase ROI",IF(N63="2","Build a creator pool; test by niche/audience/deal",IF(N63="3","Rates rising: judge by ROI + retention",IF(N63="4","Long-term partners as local distributors","")))))</f>
        <v/>
      </c>
    </row>
    <row r="64">
      <c r="J64" s="4">
        <f>IF(A64="","",IF(I64="Content-commerce veteran","Mature content markets (CC: US + Southeast Asia)",IF(I64="Marketplace-only seller","US + newly opened markets (crowded mature markets punish beginners)",IF(I64="Marketplace-validated products","US + Southeast Asia: open a new channel on proven products",""))))</f>
        <v/>
      </c>
      <c r="K64" s="4">
        <f>IF(A64="","",ROUND((C64+D64+2*F64+H64)-(E64+G64)/2,1))</f>
        <v/>
      </c>
      <c r="L64" s="4">
        <f>IF(A64="","",IF(H64=0,"Rate supply fit",IF(H64&lt;3,"Fix supply first - don't enter yet","OK")))</f>
        <v/>
      </c>
      <c r="M64" s="4">
        <f>IF(A64="","",IF(B64="1","Creator outreach and seeding; hire partnerships",IF(B64="2","Own short video + paid; hire shoot/edit + media buyer",IF(B64="3","Live selling, private traffic (community), brand; multi-channel",IF(B64="4","(aiOS addition) Owned audience: community, direct list, repeat purchase","")))))</f>
        <v/>
      </c>
      <c r="O64" s="4">
        <f>IF(A64="","",IF(N64="1","Prove scripts + sampling; don't chase ROI",IF(N64="2","Build a creator pool; test by niche/audience/deal",IF(N64="3","Rates rising: judge by ROI + retention",IF(N64="4","Long-term partners as local distributors","")))))</f>
        <v/>
      </c>
    </row>
    <row r="65">
      <c r="J65" s="4">
        <f>IF(A65="","",IF(I65="Content-commerce veteran","Mature content markets (CC: US + Southeast Asia)",IF(I65="Marketplace-only seller","US + newly opened markets (crowded mature markets punish beginners)",IF(I65="Marketplace-validated products","US + Southeast Asia: open a new channel on proven products",""))))</f>
        <v/>
      </c>
      <c r="K65" s="4">
        <f>IF(A65="","",ROUND((C65+D65+2*F65+H65)-(E65+G65)/2,1))</f>
        <v/>
      </c>
      <c r="L65" s="4">
        <f>IF(A65="","",IF(H65=0,"Rate supply fit",IF(H65&lt;3,"Fix supply first - don't enter yet","OK")))</f>
        <v/>
      </c>
      <c r="M65" s="4">
        <f>IF(A65="","",IF(B65="1","Creator outreach and seeding; hire partnerships",IF(B65="2","Own short video + paid; hire shoot/edit + media buyer",IF(B65="3","Live selling, private traffic (community), brand; multi-channel",IF(B65="4","(aiOS addition) Owned audience: community, direct list, repeat purchase","")))))</f>
        <v/>
      </c>
      <c r="O65" s="4">
        <f>IF(A65="","",IF(N65="1","Prove scripts + sampling; don't chase ROI",IF(N65="2","Build a creator pool; test by niche/audience/deal",IF(N65="3","Rates rising: judge by ROI + retention",IF(N65="4","Long-term partners as local distributors","")))))</f>
        <v/>
      </c>
    </row>
    <row r="66">
      <c r="J66" s="4">
        <f>IF(A66="","",IF(I66="Content-commerce veteran","Mature content markets (CC: US + Southeast Asia)",IF(I66="Marketplace-only seller","US + newly opened markets (crowded mature markets punish beginners)",IF(I66="Marketplace-validated products","US + Southeast Asia: open a new channel on proven products",""))))</f>
        <v/>
      </c>
      <c r="K66" s="4">
        <f>IF(A66="","",ROUND((C66+D66+2*F66+H66)-(E66+G66)/2,1))</f>
        <v/>
      </c>
      <c r="L66" s="4">
        <f>IF(A66="","",IF(H66=0,"Rate supply fit",IF(H66&lt;3,"Fix supply first - don't enter yet","OK")))</f>
        <v/>
      </c>
      <c r="M66" s="4">
        <f>IF(A66="","",IF(B66="1","Creator outreach and seeding; hire partnerships",IF(B66="2","Own short video + paid; hire shoot/edit + media buyer",IF(B66="3","Live selling, private traffic (community), brand; multi-channel",IF(B66="4","(aiOS addition) Owned audience: community, direct list, repeat purchase","")))))</f>
        <v/>
      </c>
      <c r="O66" s="4">
        <f>IF(A66="","",IF(N66="1","Prove scripts + sampling; don't chase ROI",IF(N66="2","Build a creator pool; test by niche/audience/deal",IF(N66="3","Rates rising: judge by ROI + retention",IF(N66="4","Long-term partners as local distributors","")))))</f>
        <v/>
      </c>
    </row>
    <row r="67">
      <c r="J67" s="4">
        <f>IF(A67="","",IF(I67="Content-commerce veteran","Mature content markets (CC: US + Southeast Asia)",IF(I67="Marketplace-only seller","US + newly opened markets (crowded mature markets punish beginners)",IF(I67="Marketplace-validated products","US + Southeast Asia: open a new channel on proven products",""))))</f>
        <v/>
      </c>
      <c r="K67" s="4">
        <f>IF(A67="","",ROUND((C67+D67+2*F67+H67)-(E67+G67)/2,1))</f>
        <v/>
      </c>
      <c r="L67" s="4">
        <f>IF(A67="","",IF(H67=0,"Rate supply fit",IF(H67&lt;3,"Fix supply first - don't enter yet","OK")))</f>
        <v/>
      </c>
      <c r="M67" s="4">
        <f>IF(A67="","",IF(B67="1","Creator outreach and seeding; hire partnerships",IF(B67="2","Own short video + paid; hire shoot/edit + media buyer",IF(B67="3","Live selling, private traffic (community), brand; multi-channel",IF(B67="4","(aiOS addition) Owned audience: community, direct list, repeat purchase","")))))</f>
        <v/>
      </c>
      <c r="O67" s="4">
        <f>IF(A67="","",IF(N67="1","Prove scripts + sampling; don't chase ROI",IF(N67="2","Build a creator pool; test by niche/audience/deal",IF(N67="3","Rates rising: judge by ROI + retention",IF(N67="4","Long-term partners as local distributors","")))))</f>
        <v/>
      </c>
    </row>
    <row r="68">
      <c r="J68" s="4">
        <f>IF(A68="","",IF(I68="Content-commerce veteran","Mature content markets (CC: US + Southeast Asia)",IF(I68="Marketplace-only seller","US + newly opened markets (crowded mature markets punish beginners)",IF(I68="Marketplace-validated products","US + Southeast Asia: open a new channel on proven products",""))))</f>
        <v/>
      </c>
      <c r="K68" s="4">
        <f>IF(A68="","",ROUND((C68+D68+2*F68+H68)-(E68+G68)/2,1))</f>
        <v/>
      </c>
      <c r="L68" s="4">
        <f>IF(A68="","",IF(H68=0,"Rate supply fit",IF(H68&lt;3,"Fix supply first - don't enter yet","OK")))</f>
        <v/>
      </c>
      <c r="M68" s="4">
        <f>IF(A68="","",IF(B68="1","Creator outreach and seeding; hire partnerships",IF(B68="2","Own short video + paid; hire shoot/edit + media buyer",IF(B68="3","Live selling, private traffic (community), brand; multi-channel",IF(B68="4","(aiOS addition) Owned audience: community, direct list, repeat purchase","")))))</f>
        <v/>
      </c>
      <c r="O68" s="4">
        <f>IF(A68="","",IF(N68="1","Prove scripts + sampling; don't chase ROI",IF(N68="2","Build a creator pool; test by niche/audience/deal",IF(N68="3","Rates rising: judge by ROI + retention",IF(N68="4","Long-term partners as local distributors","")))))</f>
        <v/>
      </c>
    </row>
    <row r="69">
      <c r="J69" s="4">
        <f>IF(A69="","",IF(I69="Content-commerce veteran","Mature content markets (CC: US + Southeast Asia)",IF(I69="Marketplace-only seller","US + newly opened markets (crowded mature markets punish beginners)",IF(I69="Marketplace-validated products","US + Southeast Asia: open a new channel on proven products",""))))</f>
        <v/>
      </c>
      <c r="K69" s="4">
        <f>IF(A69="","",ROUND((C69+D69+2*F69+H69)-(E69+G69)/2,1))</f>
        <v/>
      </c>
      <c r="L69" s="4">
        <f>IF(A69="","",IF(H69=0,"Rate supply fit",IF(H69&lt;3,"Fix supply first - don't enter yet","OK")))</f>
        <v/>
      </c>
      <c r="M69" s="4">
        <f>IF(A69="","",IF(B69="1","Creator outreach and seeding; hire partnerships",IF(B69="2","Own short video + paid; hire shoot/edit + media buyer",IF(B69="3","Live selling, private traffic (community), brand; multi-channel",IF(B69="4","(aiOS addition) Owned audience: community, direct list, repeat purchase","")))))</f>
        <v/>
      </c>
      <c r="O69" s="4">
        <f>IF(A69="","",IF(N69="1","Prove scripts + sampling; don't chase ROI",IF(N69="2","Build a creator pool; test by niche/audience/deal",IF(N69="3","Rates rising: judge by ROI + retention",IF(N69="4","Long-term partners as local distributors","")))))</f>
        <v/>
      </c>
    </row>
    <row r="70">
      <c r="J70" s="4">
        <f>IF(A70="","",IF(I70="Content-commerce veteran","Mature content markets (CC: US + Southeast Asia)",IF(I70="Marketplace-only seller","US + newly opened markets (crowded mature markets punish beginners)",IF(I70="Marketplace-validated products","US + Southeast Asia: open a new channel on proven products",""))))</f>
        <v/>
      </c>
      <c r="K70" s="4">
        <f>IF(A70="","",ROUND((C70+D70+2*F70+H70)-(E70+G70)/2,1))</f>
        <v/>
      </c>
      <c r="L70" s="4">
        <f>IF(A70="","",IF(H70=0,"Rate supply fit",IF(H70&lt;3,"Fix supply first - don't enter yet","OK")))</f>
        <v/>
      </c>
      <c r="M70" s="4">
        <f>IF(A70="","",IF(B70="1","Creator outreach and seeding; hire partnerships",IF(B70="2","Own short video + paid; hire shoot/edit + media buyer",IF(B70="3","Live selling, private traffic (community), brand; multi-channel",IF(B70="4","(aiOS addition) Owned audience: community, direct list, repeat purchase","")))))</f>
        <v/>
      </c>
      <c r="O70" s="4">
        <f>IF(A70="","",IF(N70="1","Prove scripts + sampling; don't chase ROI",IF(N70="2","Build a creator pool; test by niche/audience/deal",IF(N70="3","Rates rising: judge by ROI + retention",IF(N70="4","Long-term partners as local distributors","")))))</f>
        <v/>
      </c>
    </row>
    <row r="71">
      <c r="J71" s="4">
        <f>IF(A71="","",IF(I71="Content-commerce veteran","Mature content markets (CC: US + Southeast Asia)",IF(I71="Marketplace-only seller","US + newly opened markets (crowded mature markets punish beginners)",IF(I71="Marketplace-validated products","US + Southeast Asia: open a new channel on proven products",""))))</f>
        <v/>
      </c>
      <c r="K71" s="4">
        <f>IF(A71="","",ROUND((C71+D71+2*F71+H71)-(E71+G71)/2,1))</f>
        <v/>
      </c>
      <c r="L71" s="4">
        <f>IF(A71="","",IF(H71=0,"Rate supply fit",IF(H71&lt;3,"Fix supply first - don't enter yet","OK")))</f>
        <v/>
      </c>
      <c r="M71" s="4">
        <f>IF(A71="","",IF(B71="1","Creator outreach and seeding; hire partnerships",IF(B71="2","Own short video + paid; hire shoot/edit + media buyer",IF(B71="3","Live selling, private traffic (community), brand; multi-channel",IF(B71="4","(aiOS addition) Owned audience: community, direct list, repeat purchase","")))))</f>
        <v/>
      </c>
      <c r="O71" s="4">
        <f>IF(A71="","",IF(N71="1","Prove scripts + sampling; don't chase ROI",IF(N71="2","Build a creator pool; test by niche/audience/deal",IF(N71="3","Rates rising: judge by ROI + retention",IF(N71="4","Long-term partners as local distributors","")))))</f>
        <v/>
      </c>
    </row>
    <row r="72">
      <c r="J72" s="4">
        <f>IF(A72="","",IF(I72="Content-commerce veteran","Mature content markets (CC: US + Southeast Asia)",IF(I72="Marketplace-only seller","US + newly opened markets (crowded mature markets punish beginners)",IF(I72="Marketplace-validated products","US + Southeast Asia: open a new channel on proven products",""))))</f>
        <v/>
      </c>
      <c r="K72" s="4">
        <f>IF(A72="","",ROUND((C72+D72+2*F72+H72)-(E72+G72)/2,1))</f>
        <v/>
      </c>
      <c r="L72" s="4">
        <f>IF(A72="","",IF(H72=0,"Rate supply fit",IF(H72&lt;3,"Fix supply first - don't enter yet","OK")))</f>
        <v/>
      </c>
      <c r="M72" s="4">
        <f>IF(A72="","",IF(B72="1","Creator outreach and seeding; hire partnerships",IF(B72="2","Own short video + paid; hire shoot/edit + media buyer",IF(B72="3","Live selling, private traffic (community), brand; multi-channel",IF(B72="4","(aiOS addition) Owned audience: community, direct list, repeat purchase","")))))</f>
        <v/>
      </c>
      <c r="O72" s="4">
        <f>IF(A72="","",IF(N72="1","Prove scripts + sampling; don't chase ROI",IF(N72="2","Build a creator pool; test by niche/audience/deal",IF(N72="3","Rates rising: judge by ROI + retention",IF(N72="4","Long-term partners as local distributors","")))))</f>
        <v/>
      </c>
    </row>
    <row r="73">
      <c r="J73" s="4">
        <f>IF(A73="","",IF(I73="Content-commerce veteran","Mature content markets (CC: US + Southeast Asia)",IF(I73="Marketplace-only seller","US + newly opened markets (crowded mature markets punish beginners)",IF(I73="Marketplace-validated products","US + Southeast Asia: open a new channel on proven products",""))))</f>
        <v/>
      </c>
      <c r="K73" s="4">
        <f>IF(A73="","",ROUND((C73+D73+2*F73+H73)-(E73+G73)/2,1))</f>
        <v/>
      </c>
      <c r="L73" s="4">
        <f>IF(A73="","",IF(H73=0,"Rate supply fit",IF(H73&lt;3,"Fix supply first - don't enter yet","OK")))</f>
        <v/>
      </c>
      <c r="M73" s="4">
        <f>IF(A73="","",IF(B73="1","Creator outreach and seeding; hire partnerships",IF(B73="2","Own short video + paid; hire shoot/edit + media buyer",IF(B73="3","Live selling, private traffic (community), brand; multi-channel",IF(B73="4","(aiOS addition) Owned audience: community, direct list, repeat purchase","")))))</f>
        <v/>
      </c>
      <c r="O73" s="4">
        <f>IF(A73="","",IF(N73="1","Prove scripts + sampling; don't chase ROI",IF(N73="2","Build a creator pool; test by niche/audience/deal",IF(N73="3","Rates rising: judge by ROI + retention",IF(N73="4","Long-term partners as local distributors","")))))</f>
        <v/>
      </c>
    </row>
    <row r="74">
      <c r="J74" s="4">
        <f>IF(A74="","",IF(I74="Content-commerce veteran","Mature content markets (CC: US + Southeast Asia)",IF(I74="Marketplace-only seller","US + newly opened markets (crowded mature markets punish beginners)",IF(I74="Marketplace-validated products","US + Southeast Asia: open a new channel on proven products",""))))</f>
        <v/>
      </c>
      <c r="K74" s="4">
        <f>IF(A74="","",ROUND((C74+D74+2*F74+H74)-(E74+G74)/2,1))</f>
        <v/>
      </c>
      <c r="L74" s="4">
        <f>IF(A74="","",IF(H74=0,"Rate supply fit",IF(H74&lt;3,"Fix supply first - don't enter yet","OK")))</f>
        <v/>
      </c>
      <c r="M74" s="4">
        <f>IF(A74="","",IF(B74="1","Creator outreach and seeding; hire partnerships",IF(B74="2","Own short video + paid; hire shoot/edit + media buyer",IF(B74="3","Live selling, private traffic (community), brand; multi-channel",IF(B74="4","(aiOS addition) Owned audience: community, direct list, repeat purchase","")))))</f>
        <v/>
      </c>
      <c r="O74" s="4">
        <f>IF(A74="","",IF(N74="1","Prove scripts + sampling; don't chase ROI",IF(N74="2","Build a creator pool; test by niche/audience/deal",IF(N74="3","Rates rising: judge by ROI + retention",IF(N74="4","Long-term partners as local distributors","")))))</f>
        <v/>
      </c>
    </row>
    <row r="75">
      <c r="J75" s="4">
        <f>IF(A75="","",IF(I75="Content-commerce veteran","Mature content markets (CC: US + Southeast Asia)",IF(I75="Marketplace-only seller","US + newly opened markets (crowded mature markets punish beginners)",IF(I75="Marketplace-validated products","US + Southeast Asia: open a new channel on proven products",""))))</f>
        <v/>
      </c>
      <c r="K75" s="4">
        <f>IF(A75="","",ROUND((C75+D75+2*F75+H75)-(E75+G75)/2,1))</f>
        <v/>
      </c>
      <c r="L75" s="4">
        <f>IF(A75="","",IF(H75=0,"Rate supply fit",IF(H75&lt;3,"Fix supply first - don't enter yet","OK")))</f>
        <v/>
      </c>
      <c r="M75" s="4">
        <f>IF(A75="","",IF(B75="1","Creator outreach and seeding; hire partnerships",IF(B75="2","Own short video + paid; hire shoot/edit + media buyer",IF(B75="3","Live selling, private traffic (community), brand; multi-channel",IF(B75="4","(aiOS addition) Owned audience: community, direct list, repeat purchase","")))))</f>
        <v/>
      </c>
      <c r="O75" s="4">
        <f>IF(A75="","",IF(N75="1","Prove scripts + sampling; don't chase ROI",IF(N75="2","Build a creator pool; test by niche/audience/deal",IF(N75="3","Rates rising: judge by ROI + retention",IF(N75="4","Long-term partners as local distributors","")))))</f>
        <v/>
      </c>
    </row>
    <row r="76">
      <c r="J76" s="4">
        <f>IF(A76="","",IF(I76="Content-commerce veteran","Mature content markets (CC: US + Southeast Asia)",IF(I76="Marketplace-only seller","US + newly opened markets (crowded mature markets punish beginners)",IF(I76="Marketplace-validated products","US + Southeast Asia: open a new channel on proven products",""))))</f>
        <v/>
      </c>
      <c r="K76" s="4">
        <f>IF(A76="","",ROUND((C76+D76+2*F76+H76)-(E76+G76)/2,1))</f>
        <v/>
      </c>
      <c r="L76" s="4">
        <f>IF(A76="","",IF(H76=0,"Rate supply fit",IF(H76&lt;3,"Fix supply first - don't enter yet","OK")))</f>
        <v/>
      </c>
      <c r="M76" s="4">
        <f>IF(A76="","",IF(B76="1","Creator outreach and seeding; hire partnerships",IF(B76="2","Own short video + paid; hire shoot/edit + media buyer",IF(B76="3","Live selling, private traffic (community), brand; multi-channel",IF(B76="4","(aiOS addition) Owned audience: community, direct list, repeat purchase","")))))</f>
        <v/>
      </c>
      <c r="O76" s="4">
        <f>IF(A76="","",IF(N76="1","Prove scripts + sampling; don't chase ROI",IF(N76="2","Build a creator pool; test by niche/audience/deal",IF(N76="3","Rates rising: judge by ROI + retention",IF(N76="4","Long-term partners as local distributors","")))))</f>
        <v/>
      </c>
    </row>
    <row r="77">
      <c r="J77" s="4">
        <f>IF(A77="","",IF(I77="Content-commerce veteran","Mature content markets (CC: US + Southeast Asia)",IF(I77="Marketplace-only seller","US + newly opened markets (crowded mature markets punish beginners)",IF(I77="Marketplace-validated products","US + Southeast Asia: open a new channel on proven products",""))))</f>
        <v/>
      </c>
      <c r="K77" s="4">
        <f>IF(A77="","",ROUND((C77+D77+2*F77+H77)-(E77+G77)/2,1))</f>
        <v/>
      </c>
      <c r="L77" s="4">
        <f>IF(A77="","",IF(H77=0,"Rate supply fit",IF(H77&lt;3,"Fix supply first - don't enter yet","OK")))</f>
        <v/>
      </c>
      <c r="M77" s="4">
        <f>IF(A77="","",IF(B77="1","Creator outreach and seeding; hire partnerships",IF(B77="2","Own short video + paid; hire shoot/edit + media buyer",IF(B77="3","Live selling, private traffic (community), brand; multi-channel",IF(B77="4","(aiOS addition) Owned audience: community, direct list, repeat purchase","")))))</f>
        <v/>
      </c>
      <c r="O77" s="4">
        <f>IF(A77="","",IF(N77="1","Prove scripts + sampling; don't chase ROI",IF(N77="2","Build a creator pool; test by niche/audience/deal",IF(N77="3","Rates rising: judge by ROI + retention",IF(N77="4","Long-term partners as local distributors","")))))</f>
        <v/>
      </c>
    </row>
    <row r="78">
      <c r="J78" s="4">
        <f>IF(A78="","",IF(I78="Content-commerce veteran","Mature content markets (CC: US + Southeast Asia)",IF(I78="Marketplace-only seller","US + newly opened markets (crowded mature markets punish beginners)",IF(I78="Marketplace-validated products","US + Southeast Asia: open a new channel on proven products",""))))</f>
        <v/>
      </c>
      <c r="K78" s="4">
        <f>IF(A78="","",ROUND((C78+D78+2*F78+H78)-(E78+G78)/2,1))</f>
        <v/>
      </c>
      <c r="L78" s="4">
        <f>IF(A78="","",IF(H78=0,"Rate supply fit",IF(H78&lt;3,"Fix supply first - don't enter yet","OK")))</f>
        <v/>
      </c>
      <c r="M78" s="4">
        <f>IF(A78="","",IF(B78="1","Creator outreach and seeding; hire partnerships",IF(B78="2","Own short video + paid; hire shoot/edit + media buyer",IF(B78="3","Live selling, private traffic (community), brand; multi-channel",IF(B78="4","(aiOS addition) Owned audience: community, direct list, repeat purchase","")))))</f>
        <v/>
      </c>
      <c r="O78" s="4">
        <f>IF(A78="","",IF(N78="1","Prove scripts + sampling; don't chase ROI",IF(N78="2","Build a creator pool; test by niche/audience/deal",IF(N78="3","Rates rising: judge by ROI + retention",IF(N78="4","Long-term partners as local distributors","")))))</f>
        <v/>
      </c>
    </row>
    <row r="79">
      <c r="J79" s="4">
        <f>IF(A79="","",IF(I79="Content-commerce veteran","Mature content markets (CC: US + Southeast Asia)",IF(I79="Marketplace-only seller","US + newly opened markets (crowded mature markets punish beginners)",IF(I79="Marketplace-validated products","US + Southeast Asia: open a new channel on proven products",""))))</f>
        <v/>
      </c>
      <c r="K79" s="4">
        <f>IF(A79="","",ROUND((C79+D79+2*F79+H79)-(E79+G79)/2,1))</f>
        <v/>
      </c>
      <c r="L79" s="4">
        <f>IF(A79="","",IF(H79=0,"Rate supply fit",IF(H79&lt;3,"Fix supply first - don't enter yet","OK")))</f>
        <v/>
      </c>
      <c r="M79" s="4">
        <f>IF(A79="","",IF(B79="1","Creator outreach and seeding; hire partnerships",IF(B79="2","Own short video + paid; hire shoot/edit + media buyer",IF(B79="3","Live selling, private traffic (community), brand; multi-channel",IF(B79="4","(aiOS addition) Owned audience: community, direct list, repeat purchase","")))))</f>
        <v/>
      </c>
      <c r="O79" s="4">
        <f>IF(A79="","",IF(N79="1","Prove scripts + sampling; don't chase ROI",IF(N79="2","Build a creator pool; test by niche/audience/deal",IF(N79="3","Rates rising: judge by ROI + retention",IF(N79="4","Long-term partners as local distributors","")))))</f>
        <v/>
      </c>
    </row>
    <row r="80">
      <c r="J80" s="4">
        <f>IF(A80="","",IF(I80="Content-commerce veteran","Mature content markets (CC: US + Southeast Asia)",IF(I80="Marketplace-only seller","US + newly opened markets (crowded mature markets punish beginners)",IF(I80="Marketplace-validated products","US + Southeast Asia: open a new channel on proven products",""))))</f>
        <v/>
      </c>
      <c r="K80" s="4">
        <f>IF(A80="","",ROUND((C80+D80+2*F80+H80)-(E80+G80)/2,1))</f>
        <v/>
      </c>
      <c r="L80" s="4">
        <f>IF(A80="","",IF(H80=0,"Rate supply fit",IF(H80&lt;3,"Fix supply first - don't enter yet","OK")))</f>
        <v/>
      </c>
      <c r="M80" s="4">
        <f>IF(A80="","",IF(B80="1","Creator outreach and seeding; hire partnerships",IF(B80="2","Own short video + paid; hire shoot/edit + media buyer",IF(B80="3","Live selling, private traffic (community), brand; multi-channel",IF(B80="4","(aiOS addition) Owned audience: community, direct list, repeat purchase","")))))</f>
        <v/>
      </c>
      <c r="O80" s="4">
        <f>IF(A80="","",IF(N80="1","Prove scripts + sampling; don't chase ROI",IF(N80="2","Build a creator pool; test by niche/audience/deal",IF(N80="3","Rates rising: judge by ROI + retention",IF(N80="4","Long-term partners as local distributors","")))))</f>
        <v/>
      </c>
    </row>
    <row r="81">
      <c r="J81" s="4">
        <f>IF(A81="","",IF(I81="Content-commerce veteran","Mature content markets (CC: US + Southeast Asia)",IF(I81="Marketplace-only seller","US + newly opened markets (crowded mature markets punish beginners)",IF(I81="Marketplace-validated products","US + Southeast Asia: open a new channel on proven products",""))))</f>
        <v/>
      </c>
      <c r="K81" s="4">
        <f>IF(A81="","",ROUND((C81+D81+2*F81+H81)-(E81+G81)/2,1))</f>
        <v/>
      </c>
      <c r="L81" s="4">
        <f>IF(A81="","",IF(H81=0,"Rate supply fit",IF(H81&lt;3,"Fix supply first - don't enter yet","OK")))</f>
        <v/>
      </c>
      <c r="M81" s="4">
        <f>IF(A81="","",IF(B81="1","Creator outreach and seeding; hire partnerships",IF(B81="2","Own short video + paid; hire shoot/edit + media buyer",IF(B81="3","Live selling, private traffic (community), brand; multi-channel",IF(B81="4","(aiOS addition) Owned audience: community, direct list, repeat purchase","")))))</f>
        <v/>
      </c>
      <c r="O81" s="4">
        <f>IF(A81="","",IF(N81="1","Prove scripts + sampling; don't chase ROI",IF(N81="2","Build a creator pool; test by niche/audience/deal",IF(N81="3","Rates rising: judge by ROI + retention",IF(N81="4","Long-term partners as local distributors","")))))</f>
        <v/>
      </c>
    </row>
    <row r="82">
      <c r="J82" s="4">
        <f>IF(A82="","",IF(I82="Content-commerce veteran","Mature content markets (CC: US + Southeast Asia)",IF(I82="Marketplace-only seller","US + newly opened markets (crowded mature markets punish beginners)",IF(I82="Marketplace-validated products","US + Southeast Asia: open a new channel on proven products",""))))</f>
        <v/>
      </c>
      <c r="K82" s="4">
        <f>IF(A82="","",ROUND((C82+D82+2*F82+H82)-(E82+G82)/2,1))</f>
        <v/>
      </c>
      <c r="L82" s="4">
        <f>IF(A82="","",IF(H82=0,"Rate supply fit",IF(H82&lt;3,"Fix supply first - don't enter yet","OK")))</f>
        <v/>
      </c>
      <c r="M82" s="4">
        <f>IF(A82="","",IF(B82="1","Creator outreach and seeding; hire partnerships",IF(B82="2","Own short video + paid; hire shoot/edit + media buyer",IF(B82="3","Live selling, private traffic (community), brand; multi-channel",IF(B82="4","(aiOS addition) Owned audience: community, direct list, repeat purchase","")))))</f>
        <v/>
      </c>
      <c r="O82" s="4">
        <f>IF(A82="","",IF(N82="1","Prove scripts + sampling; don't chase ROI",IF(N82="2","Build a creator pool; test by niche/audience/deal",IF(N82="3","Rates rising: judge by ROI + retention",IF(N82="4","Long-term partners as local distributors","")))))</f>
        <v/>
      </c>
    </row>
    <row r="83">
      <c r="J83" s="4">
        <f>IF(A83="","",IF(I83="Content-commerce veteran","Mature content markets (CC: US + Southeast Asia)",IF(I83="Marketplace-only seller","US + newly opened markets (crowded mature markets punish beginners)",IF(I83="Marketplace-validated products","US + Southeast Asia: open a new channel on proven products",""))))</f>
        <v/>
      </c>
      <c r="K83" s="4">
        <f>IF(A83="","",ROUND((C83+D83+2*F83+H83)-(E83+G83)/2,1))</f>
        <v/>
      </c>
      <c r="L83" s="4">
        <f>IF(A83="","",IF(H83=0,"Rate supply fit",IF(H83&lt;3,"Fix supply first - don't enter yet","OK")))</f>
        <v/>
      </c>
      <c r="M83" s="4">
        <f>IF(A83="","",IF(B83="1","Creator outreach and seeding; hire partnerships",IF(B83="2","Own short video + paid; hire shoot/edit + media buyer",IF(B83="3","Live selling, private traffic (community), brand; multi-channel",IF(B83="4","(aiOS addition) Owned audience: community, direct list, repeat purchase","")))))</f>
        <v/>
      </c>
      <c r="O83" s="4">
        <f>IF(A83="","",IF(N83="1","Prove scripts + sampling; don't chase ROI",IF(N83="2","Build a creator pool; test by niche/audience/deal",IF(N83="3","Rates rising: judge by ROI + retention",IF(N83="4","Long-term partners as local distributors","")))))</f>
        <v/>
      </c>
    </row>
    <row r="84">
      <c r="J84" s="4">
        <f>IF(A84="","",IF(I84="Content-commerce veteran","Mature content markets (CC: US + Southeast Asia)",IF(I84="Marketplace-only seller","US + newly opened markets (crowded mature markets punish beginners)",IF(I84="Marketplace-validated products","US + Southeast Asia: open a new channel on proven products",""))))</f>
        <v/>
      </c>
      <c r="K84" s="4">
        <f>IF(A84="","",ROUND((C84+D84+2*F84+H84)-(E84+G84)/2,1))</f>
        <v/>
      </c>
      <c r="L84" s="4">
        <f>IF(A84="","",IF(H84=0,"Rate supply fit",IF(H84&lt;3,"Fix supply first - don't enter yet","OK")))</f>
        <v/>
      </c>
      <c r="M84" s="4">
        <f>IF(A84="","",IF(B84="1","Creator outreach and seeding; hire partnerships",IF(B84="2","Own short video + paid; hire shoot/edit + media buyer",IF(B84="3","Live selling, private traffic (community), brand; multi-channel",IF(B84="4","(aiOS addition) Owned audience: community, direct list, repeat purchase","")))))</f>
        <v/>
      </c>
      <c r="O84" s="4">
        <f>IF(A84="","",IF(N84="1","Prove scripts + sampling; don't chase ROI",IF(N84="2","Build a creator pool; test by niche/audience/deal",IF(N84="3","Rates rising: judge by ROI + retention",IF(N84="4","Long-term partners as local distributors","")))))</f>
        <v/>
      </c>
    </row>
    <row r="85">
      <c r="J85" s="4">
        <f>IF(A85="","",IF(I85="Content-commerce veteran","Mature content markets (CC: US + Southeast Asia)",IF(I85="Marketplace-only seller","US + newly opened markets (crowded mature markets punish beginners)",IF(I85="Marketplace-validated products","US + Southeast Asia: open a new channel on proven products",""))))</f>
        <v/>
      </c>
      <c r="K85" s="4">
        <f>IF(A85="","",ROUND((C85+D85+2*F85+H85)-(E85+G85)/2,1))</f>
        <v/>
      </c>
      <c r="L85" s="4">
        <f>IF(A85="","",IF(H85=0,"Rate supply fit",IF(H85&lt;3,"Fix supply first - don't enter yet","OK")))</f>
        <v/>
      </c>
      <c r="M85" s="4">
        <f>IF(A85="","",IF(B85="1","Creator outreach and seeding; hire partnerships",IF(B85="2","Own short video + paid; hire shoot/edit + media buyer",IF(B85="3","Live selling, private traffic (community), brand; multi-channel",IF(B85="4","(aiOS addition) Owned audience: community, direct list, repeat purchase","")))))</f>
        <v/>
      </c>
      <c r="O85" s="4">
        <f>IF(A85="","",IF(N85="1","Prove scripts + sampling; don't chase ROI",IF(N85="2","Build a creator pool; test by niche/audience/deal",IF(N85="3","Rates rising: judge by ROI + retention",IF(N85="4","Long-term partners as local distributors","")))))</f>
        <v/>
      </c>
    </row>
    <row r="86">
      <c r="J86" s="4">
        <f>IF(A86="","",IF(I86="Content-commerce veteran","Mature content markets (CC: US + Southeast Asia)",IF(I86="Marketplace-only seller","US + newly opened markets (crowded mature markets punish beginners)",IF(I86="Marketplace-validated products","US + Southeast Asia: open a new channel on proven products",""))))</f>
        <v/>
      </c>
      <c r="K86" s="4">
        <f>IF(A86="","",ROUND((C86+D86+2*F86+H86)-(E86+G86)/2,1))</f>
        <v/>
      </c>
      <c r="L86" s="4">
        <f>IF(A86="","",IF(H86=0,"Rate supply fit",IF(H86&lt;3,"Fix supply first - don't enter yet","OK")))</f>
        <v/>
      </c>
      <c r="M86" s="4">
        <f>IF(A86="","",IF(B86="1","Creator outreach and seeding; hire partnerships",IF(B86="2","Own short video + paid; hire shoot/edit + media buyer",IF(B86="3","Live selling, private traffic (community), brand; multi-channel",IF(B86="4","(aiOS addition) Owned audience: community, direct list, repeat purchase","")))))</f>
        <v/>
      </c>
      <c r="O86" s="4">
        <f>IF(A86="","",IF(N86="1","Prove scripts + sampling; don't chase ROI",IF(N86="2","Build a creator pool; test by niche/audience/deal",IF(N86="3","Rates rising: judge by ROI + retention",IF(N86="4","Long-term partners as local distributors","")))))</f>
        <v/>
      </c>
    </row>
    <row r="87">
      <c r="J87" s="4">
        <f>IF(A87="","",IF(I87="Content-commerce veteran","Mature content markets (CC: US + Southeast Asia)",IF(I87="Marketplace-only seller","US + newly opened markets (crowded mature markets punish beginners)",IF(I87="Marketplace-validated products","US + Southeast Asia: open a new channel on proven products",""))))</f>
        <v/>
      </c>
      <c r="K87" s="4">
        <f>IF(A87="","",ROUND((C87+D87+2*F87+H87)-(E87+G87)/2,1))</f>
        <v/>
      </c>
      <c r="L87" s="4">
        <f>IF(A87="","",IF(H87=0,"Rate supply fit",IF(H87&lt;3,"Fix supply first - don't enter yet","OK")))</f>
        <v/>
      </c>
      <c r="M87" s="4">
        <f>IF(A87="","",IF(B87="1","Creator outreach and seeding; hire partnerships",IF(B87="2","Own short video + paid; hire shoot/edit + media buyer",IF(B87="3","Live selling, private traffic (community), brand; multi-channel",IF(B87="4","(aiOS addition) Owned audience: community, direct list, repeat purchase","")))))</f>
        <v/>
      </c>
      <c r="O87" s="4">
        <f>IF(A87="","",IF(N87="1","Prove scripts + sampling; don't chase ROI",IF(N87="2","Build a creator pool; test by niche/audience/deal",IF(N87="3","Rates rising: judge by ROI + retention",IF(N87="4","Long-term partners as local distributors","")))))</f>
        <v/>
      </c>
    </row>
    <row r="88">
      <c r="J88" s="4">
        <f>IF(A88="","",IF(I88="Content-commerce veteran","Mature content markets (CC: US + Southeast Asia)",IF(I88="Marketplace-only seller","US + newly opened markets (crowded mature markets punish beginners)",IF(I88="Marketplace-validated products","US + Southeast Asia: open a new channel on proven products",""))))</f>
        <v/>
      </c>
      <c r="K88" s="4">
        <f>IF(A88="","",ROUND((C88+D88+2*F88+H88)-(E88+G88)/2,1))</f>
        <v/>
      </c>
      <c r="L88" s="4">
        <f>IF(A88="","",IF(H88=0,"Rate supply fit",IF(H88&lt;3,"Fix supply first - don't enter yet","OK")))</f>
        <v/>
      </c>
      <c r="M88" s="4">
        <f>IF(A88="","",IF(B88="1","Creator outreach and seeding; hire partnerships",IF(B88="2","Own short video + paid; hire shoot/edit + media buyer",IF(B88="3","Live selling, private traffic (community), brand; multi-channel",IF(B88="4","(aiOS addition) Owned audience: community, direct list, repeat purchase","")))))</f>
        <v/>
      </c>
      <c r="O88" s="4">
        <f>IF(A88="","",IF(N88="1","Prove scripts + sampling; don't chase ROI",IF(N88="2","Build a creator pool; test by niche/audience/deal",IF(N88="3","Rates rising: judge by ROI + retention",IF(N88="4","Long-term partners as local distributors","")))))</f>
        <v/>
      </c>
    </row>
    <row r="89">
      <c r="J89" s="4">
        <f>IF(A89="","",IF(I89="Content-commerce veteran","Mature content markets (CC: US + Southeast Asia)",IF(I89="Marketplace-only seller","US + newly opened markets (crowded mature markets punish beginners)",IF(I89="Marketplace-validated products","US + Southeast Asia: open a new channel on proven products",""))))</f>
        <v/>
      </c>
      <c r="K89" s="4">
        <f>IF(A89="","",ROUND((C89+D89+2*F89+H89)-(E89+G89)/2,1))</f>
        <v/>
      </c>
      <c r="L89" s="4">
        <f>IF(A89="","",IF(H89=0,"Rate supply fit",IF(H89&lt;3,"Fix supply first - don't enter yet","OK")))</f>
        <v/>
      </c>
      <c r="M89" s="4">
        <f>IF(A89="","",IF(B89="1","Creator outreach and seeding; hire partnerships",IF(B89="2","Own short video + paid; hire shoot/edit + media buyer",IF(B89="3","Live selling, private traffic (community), brand; multi-channel",IF(B89="4","(aiOS addition) Owned audience: community, direct list, repeat purchase","")))))</f>
        <v/>
      </c>
      <c r="O89" s="4">
        <f>IF(A89="","",IF(N89="1","Prove scripts + sampling; don't chase ROI",IF(N89="2","Build a creator pool; test by niche/audience/deal",IF(N89="3","Rates rising: judge by ROI + retention",IF(N89="4","Long-term partners as local distributors","")))))</f>
        <v/>
      </c>
    </row>
    <row r="90">
      <c r="J90" s="4">
        <f>IF(A90="","",IF(I90="Content-commerce veteran","Mature content markets (CC: US + Southeast Asia)",IF(I90="Marketplace-only seller","US + newly opened markets (crowded mature markets punish beginners)",IF(I90="Marketplace-validated products","US + Southeast Asia: open a new channel on proven products",""))))</f>
        <v/>
      </c>
      <c r="K90" s="4">
        <f>IF(A90="","",ROUND((C90+D90+2*F90+H90)-(E90+G90)/2,1))</f>
        <v/>
      </c>
      <c r="L90" s="4">
        <f>IF(A90="","",IF(H90=0,"Rate supply fit",IF(H90&lt;3,"Fix supply first - don't enter yet","OK")))</f>
        <v/>
      </c>
      <c r="M90" s="4">
        <f>IF(A90="","",IF(B90="1","Creator outreach and seeding; hire partnerships",IF(B90="2","Own short video + paid; hire shoot/edit + media buyer",IF(B90="3","Live selling, private traffic (community), brand; multi-channel",IF(B90="4","(aiOS addition) Owned audience: community, direct list, repeat purchase","")))))</f>
        <v/>
      </c>
      <c r="O90" s="4">
        <f>IF(A90="","",IF(N90="1","Prove scripts + sampling; don't chase ROI",IF(N90="2","Build a creator pool; test by niche/audience/deal",IF(N90="3","Rates rising: judge by ROI + retention",IF(N90="4","Long-term partners as local distributors","")))))</f>
        <v/>
      </c>
    </row>
    <row r="91">
      <c r="J91" s="4">
        <f>IF(A91="","",IF(I91="Content-commerce veteran","Mature content markets (CC: US + Southeast Asia)",IF(I91="Marketplace-only seller","US + newly opened markets (crowded mature markets punish beginners)",IF(I91="Marketplace-validated products","US + Southeast Asia: open a new channel on proven products",""))))</f>
        <v/>
      </c>
      <c r="K91" s="4">
        <f>IF(A91="","",ROUND((C91+D91+2*F91+H91)-(E91+G91)/2,1))</f>
        <v/>
      </c>
      <c r="L91" s="4">
        <f>IF(A91="","",IF(H91=0,"Rate supply fit",IF(H91&lt;3,"Fix supply first - don't enter yet","OK")))</f>
        <v/>
      </c>
      <c r="M91" s="4">
        <f>IF(A91="","",IF(B91="1","Creator outreach and seeding; hire partnerships",IF(B91="2","Own short video + paid; hire shoot/edit + media buyer",IF(B91="3","Live selling, private traffic (community), brand; multi-channel",IF(B91="4","(aiOS addition) Owned audience: community, direct list, repeat purchase","")))))</f>
        <v/>
      </c>
      <c r="O91" s="4">
        <f>IF(A91="","",IF(N91="1","Prove scripts + sampling; don't chase ROI",IF(N91="2","Build a creator pool; test by niche/audience/deal",IF(N91="3","Rates rising: judge by ROI + retention",IF(N91="4","Long-term partners as local distributors","")))))</f>
        <v/>
      </c>
    </row>
    <row r="92">
      <c r="J92" s="4">
        <f>IF(A92="","",IF(I92="Content-commerce veteran","Mature content markets (CC: US + Southeast Asia)",IF(I92="Marketplace-only seller","US + newly opened markets (crowded mature markets punish beginners)",IF(I92="Marketplace-validated products","US + Southeast Asia: open a new channel on proven products",""))))</f>
        <v/>
      </c>
      <c r="K92" s="4">
        <f>IF(A92="","",ROUND((C92+D92+2*F92+H92)-(E92+G92)/2,1))</f>
        <v/>
      </c>
      <c r="L92" s="4">
        <f>IF(A92="","",IF(H92=0,"Rate supply fit",IF(H92&lt;3,"Fix supply first - don't enter yet","OK")))</f>
        <v/>
      </c>
      <c r="M92" s="4">
        <f>IF(A92="","",IF(B92="1","Creator outreach and seeding; hire partnerships",IF(B92="2","Own short video + paid; hire shoot/edit + media buyer",IF(B92="3","Live selling, private traffic (community), brand; multi-channel",IF(B92="4","(aiOS addition) Owned audience: community, direct list, repeat purchase","")))))</f>
        <v/>
      </c>
      <c r="O92" s="4">
        <f>IF(A92="","",IF(N92="1","Prove scripts + sampling; don't chase ROI",IF(N92="2","Build a creator pool; test by niche/audience/deal",IF(N92="3","Rates rising: judge by ROI + retention",IF(N92="4","Long-term partners as local distributors","")))))</f>
        <v/>
      </c>
    </row>
    <row r="93">
      <c r="J93" s="4">
        <f>IF(A93="","",IF(I93="Content-commerce veteran","Mature content markets (CC: US + Southeast Asia)",IF(I93="Marketplace-only seller","US + newly opened markets (crowded mature markets punish beginners)",IF(I93="Marketplace-validated products","US + Southeast Asia: open a new channel on proven products",""))))</f>
        <v/>
      </c>
      <c r="K93" s="4">
        <f>IF(A93="","",ROUND((C93+D93+2*F93+H93)-(E93+G93)/2,1))</f>
        <v/>
      </c>
      <c r="L93" s="4">
        <f>IF(A93="","",IF(H93=0,"Rate supply fit",IF(H93&lt;3,"Fix supply first - don't enter yet","OK")))</f>
        <v/>
      </c>
      <c r="M93" s="4">
        <f>IF(A93="","",IF(B93="1","Creator outreach and seeding; hire partnerships",IF(B93="2","Own short video + paid; hire shoot/edit + media buyer",IF(B93="3","Live selling, private traffic (community), brand; multi-channel",IF(B93="4","(aiOS addition) Owned audience: community, direct list, repeat purchase","")))))</f>
        <v/>
      </c>
      <c r="O93" s="4">
        <f>IF(A93="","",IF(N93="1","Prove scripts + sampling; don't chase ROI",IF(N93="2","Build a creator pool; test by niche/audience/deal",IF(N93="3","Rates rising: judge by ROI + retention",IF(N93="4","Long-term partners as local distributors","")))))</f>
        <v/>
      </c>
    </row>
    <row r="94">
      <c r="J94" s="4">
        <f>IF(A94="","",IF(I94="Content-commerce veteran","Mature content markets (CC: US + Southeast Asia)",IF(I94="Marketplace-only seller","US + newly opened markets (crowded mature markets punish beginners)",IF(I94="Marketplace-validated products","US + Southeast Asia: open a new channel on proven products",""))))</f>
        <v/>
      </c>
      <c r="K94" s="4">
        <f>IF(A94="","",ROUND((C94+D94+2*F94+H94)-(E94+G94)/2,1))</f>
        <v/>
      </c>
      <c r="L94" s="4">
        <f>IF(A94="","",IF(H94=0,"Rate supply fit",IF(H94&lt;3,"Fix supply first - don't enter yet","OK")))</f>
        <v/>
      </c>
      <c r="M94" s="4">
        <f>IF(A94="","",IF(B94="1","Creator outreach and seeding; hire partnerships",IF(B94="2","Own short video + paid; hire shoot/edit + media buyer",IF(B94="3","Live selling, private traffic (community), brand; multi-channel",IF(B94="4","(aiOS addition) Owned audience: community, direct list, repeat purchase","")))))</f>
        <v/>
      </c>
      <c r="O94" s="4">
        <f>IF(A94="","",IF(N94="1","Prove scripts + sampling; don't chase ROI",IF(N94="2","Build a creator pool; test by niche/audience/deal",IF(N94="3","Rates rising: judge by ROI + retention",IF(N94="4","Long-term partners as local distributors","")))))</f>
        <v/>
      </c>
    </row>
    <row r="95">
      <c r="J95" s="4">
        <f>IF(A95="","",IF(I95="Content-commerce veteran","Mature content markets (CC: US + Southeast Asia)",IF(I95="Marketplace-only seller","US + newly opened markets (crowded mature markets punish beginners)",IF(I95="Marketplace-validated products","US + Southeast Asia: open a new channel on proven products",""))))</f>
        <v/>
      </c>
      <c r="K95" s="4">
        <f>IF(A95="","",ROUND((C95+D95+2*F95+H95)-(E95+G95)/2,1))</f>
        <v/>
      </c>
      <c r="L95" s="4">
        <f>IF(A95="","",IF(H95=0,"Rate supply fit",IF(H95&lt;3,"Fix supply first - don't enter yet","OK")))</f>
        <v/>
      </c>
      <c r="M95" s="4">
        <f>IF(A95="","",IF(B95="1","Creator outreach and seeding; hire partnerships",IF(B95="2","Own short video + paid; hire shoot/edit + media buyer",IF(B95="3","Live selling, private traffic (community), brand; multi-channel",IF(B95="4","(aiOS addition) Owned audience: community, direct list, repeat purchase","")))))</f>
        <v/>
      </c>
      <c r="O95" s="4">
        <f>IF(A95="","",IF(N95="1","Prove scripts + sampling; don't chase ROI",IF(N95="2","Build a creator pool; test by niche/audience/deal",IF(N95="3","Rates rising: judge by ROI + retention",IF(N95="4","Long-term partners as local distributors","")))))</f>
        <v/>
      </c>
    </row>
    <row r="96">
      <c r="J96" s="4">
        <f>IF(A96="","",IF(I96="Content-commerce veteran","Mature content markets (CC: US + Southeast Asia)",IF(I96="Marketplace-only seller","US + newly opened markets (crowded mature markets punish beginners)",IF(I96="Marketplace-validated products","US + Southeast Asia: open a new channel on proven products",""))))</f>
        <v/>
      </c>
      <c r="K96" s="4">
        <f>IF(A96="","",ROUND((C96+D96+2*F96+H96)-(E96+G96)/2,1))</f>
        <v/>
      </c>
      <c r="L96" s="4">
        <f>IF(A96="","",IF(H96=0,"Rate supply fit",IF(H96&lt;3,"Fix supply first - don't enter yet","OK")))</f>
        <v/>
      </c>
      <c r="M96" s="4">
        <f>IF(A96="","",IF(B96="1","Creator outreach and seeding; hire partnerships",IF(B96="2","Own short video + paid; hire shoot/edit + media buyer",IF(B96="3","Live selling, private traffic (community), brand; multi-channel",IF(B96="4","(aiOS addition) Owned audience: community, direct list, repeat purchase","")))))</f>
        <v/>
      </c>
      <c r="O96" s="4">
        <f>IF(A96="","",IF(N96="1","Prove scripts + sampling; don't chase ROI",IF(N96="2","Build a creator pool; test by niche/audience/deal",IF(N96="3","Rates rising: judge by ROI + retention",IF(N96="4","Long-term partners as local distributors","")))))</f>
        <v/>
      </c>
    </row>
    <row r="97">
      <c r="J97" s="4">
        <f>IF(A97="","",IF(I97="Content-commerce veteran","Mature content markets (CC: US + Southeast Asia)",IF(I97="Marketplace-only seller","US + newly opened markets (crowded mature markets punish beginners)",IF(I97="Marketplace-validated products","US + Southeast Asia: open a new channel on proven products",""))))</f>
        <v/>
      </c>
      <c r="K97" s="4">
        <f>IF(A97="","",ROUND((C97+D97+2*F97+H97)-(E97+G97)/2,1))</f>
        <v/>
      </c>
      <c r="L97" s="4">
        <f>IF(A97="","",IF(H97=0,"Rate supply fit",IF(H97&lt;3,"Fix supply first - don't enter yet","OK")))</f>
        <v/>
      </c>
      <c r="M97" s="4">
        <f>IF(A97="","",IF(B97="1","Creator outreach and seeding; hire partnerships",IF(B97="2","Own short video + paid; hire shoot/edit + media buyer",IF(B97="3","Live selling, private traffic (community), brand; multi-channel",IF(B97="4","(aiOS addition) Owned audience: community, direct list, repeat purchase","")))))</f>
        <v/>
      </c>
      <c r="O97" s="4">
        <f>IF(A97="","",IF(N97="1","Prove scripts + sampling; don't chase ROI",IF(N97="2","Build a creator pool; test by niche/audience/deal",IF(N97="3","Rates rising: judge by ROI + retention",IF(N97="4","Long-term partners as local distributors","")))))</f>
        <v/>
      </c>
    </row>
    <row r="98">
      <c r="J98" s="4">
        <f>IF(A98="","",IF(I98="Content-commerce veteran","Mature content markets (CC: US + Southeast Asia)",IF(I98="Marketplace-only seller","US + newly opened markets (crowded mature markets punish beginners)",IF(I98="Marketplace-validated products","US + Southeast Asia: open a new channel on proven products",""))))</f>
        <v/>
      </c>
      <c r="K98" s="4">
        <f>IF(A98="","",ROUND((C98+D98+2*F98+H98)-(E98+G98)/2,1))</f>
        <v/>
      </c>
      <c r="L98" s="4">
        <f>IF(A98="","",IF(H98=0,"Rate supply fit",IF(H98&lt;3,"Fix supply first - don't enter yet","OK")))</f>
        <v/>
      </c>
      <c r="M98" s="4">
        <f>IF(A98="","",IF(B98="1","Creator outreach and seeding; hire partnerships",IF(B98="2","Own short video + paid; hire shoot/edit + media buyer",IF(B98="3","Live selling, private traffic (community), brand; multi-channel",IF(B98="4","(aiOS addition) Owned audience: community, direct list, repeat purchase","")))))</f>
        <v/>
      </c>
      <c r="O98" s="4">
        <f>IF(A98="","",IF(N98="1","Prove scripts + sampling; don't chase ROI",IF(N98="2","Build a creator pool; test by niche/audience/deal",IF(N98="3","Rates rising: judge by ROI + retention",IF(N98="4","Long-term partners as local distributors","")))))</f>
        <v/>
      </c>
    </row>
    <row r="99">
      <c r="J99" s="4">
        <f>IF(A99="","",IF(I99="Content-commerce veteran","Mature content markets (CC: US + Southeast Asia)",IF(I99="Marketplace-only seller","US + newly opened markets (crowded mature markets punish beginners)",IF(I99="Marketplace-validated products","US + Southeast Asia: open a new channel on proven products",""))))</f>
        <v/>
      </c>
      <c r="K99" s="4">
        <f>IF(A99="","",ROUND((C99+D99+2*F99+H99)-(E99+G99)/2,1))</f>
        <v/>
      </c>
      <c r="L99" s="4">
        <f>IF(A99="","",IF(H99=0,"Rate supply fit",IF(H99&lt;3,"Fix supply first - don't enter yet","OK")))</f>
        <v/>
      </c>
      <c r="M99" s="4">
        <f>IF(A99="","",IF(B99="1","Creator outreach and seeding; hire partnerships",IF(B99="2","Own short video + paid; hire shoot/edit + media buyer",IF(B99="3","Live selling, private traffic (community), brand; multi-channel",IF(B99="4","(aiOS addition) Owned audience: community, direct list, repeat purchase","")))))</f>
        <v/>
      </c>
      <c r="O99" s="4">
        <f>IF(A99="","",IF(N99="1","Prove scripts + sampling; don't chase ROI",IF(N99="2","Build a creator pool; test by niche/audience/deal",IF(N99="3","Rates rising: judge by ROI + retention",IF(N99="4","Long-term partners as local distributors","")))))</f>
        <v/>
      </c>
    </row>
    <row r="100">
      <c r="J100" s="4">
        <f>IF(A100="","",IF(I100="Content-commerce veteran","Mature content markets (CC: US + Southeast Asia)",IF(I100="Marketplace-only seller","US + newly opened markets (crowded mature markets punish beginners)",IF(I100="Marketplace-validated products","US + Southeast Asia: open a new channel on proven products",""))))</f>
        <v/>
      </c>
      <c r="K100" s="4">
        <f>IF(A100="","",ROUND((C100+D100+2*F100+H100)-(E100+G100)/2,1))</f>
        <v/>
      </c>
      <c r="L100" s="4">
        <f>IF(A100="","",IF(H100=0,"Rate supply fit",IF(H100&lt;3,"Fix supply first - don't enter yet","OK")))</f>
        <v/>
      </c>
      <c r="M100" s="4">
        <f>IF(A100="","",IF(B100="1","Creator outreach and seeding; hire partnerships",IF(B100="2","Own short video + paid; hire shoot/edit + media buyer",IF(B100="3","Live selling, private traffic (community), brand; multi-channel",IF(B100="4","(aiOS addition) Owned audience: community, direct list, repeat purchase","")))))</f>
        <v/>
      </c>
      <c r="O100" s="4">
        <f>IF(A100="","",IF(N100="1","Prove scripts + sampling; don't chase ROI",IF(N100="2","Build a creator pool; test by niche/audience/deal",IF(N100="3","Rates rising: judge by ROI + retention",IF(N100="4","Long-term partners as local distributors","")))))</f>
        <v/>
      </c>
    </row>
    <row r="101">
      <c r="J101" s="4">
        <f>IF(A101="","",IF(I101="Content-commerce veteran","Mature content markets (CC: US + Southeast Asia)",IF(I101="Marketplace-only seller","US + newly opened markets (crowded mature markets punish beginners)",IF(I101="Marketplace-validated products","US + Southeast Asia: open a new channel on proven products",""))))</f>
        <v/>
      </c>
      <c r="K101" s="4">
        <f>IF(A101="","",ROUND((C101+D101+2*F101+H101)-(E101+G101)/2,1))</f>
        <v/>
      </c>
      <c r="L101" s="4">
        <f>IF(A101="","",IF(H101=0,"Rate supply fit",IF(H101&lt;3,"Fix supply first - don't enter yet","OK")))</f>
        <v/>
      </c>
      <c r="M101" s="4">
        <f>IF(A101="","",IF(B101="1","Creator outreach and seeding; hire partnerships",IF(B101="2","Own short video + paid; hire shoot/edit + media buyer",IF(B101="3","Live selling, private traffic (community), brand; multi-channel",IF(B101="4","(aiOS addition) Owned audience: community, direct list, repeat purchase","")))))</f>
        <v/>
      </c>
      <c r="O101" s="4">
        <f>IF(A101="","",IF(N101="1","Prove scripts + sampling; don't chase ROI",IF(N101="2","Build a creator pool; test by niche/audience/deal",IF(N101="3","Rates rising: judge by ROI + retention",IF(N101="4","Long-term partners as local distributors","")))))</f>
        <v/>
      </c>
    </row>
    <row r="102">
      <c r="J102" s="4">
        <f>IF(A102="","",IF(I102="Content-commerce veteran","Mature content markets (CC: US + Southeast Asia)",IF(I102="Marketplace-only seller","US + newly opened markets (crowded mature markets punish beginners)",IF(I102="Marketplace-validated products","US + Southeast Asia: open a new channel on proven products",""))))</f>
        <v/>
      </c>
      <c r="K102" s="4">
        <f>IF(A102="","",ROUND((C102+D102+2*F102+H102)-(E102+G102)/2,1))</f>
        <v/>
      </c>
      <c r="L102" s="4">
        <f>IF(A102="","",IF(H102=0,"Rate supply fit",IF(H102&lt;3,"Fix supply first - don't enter yet","OK")))</f>
        <v/>
      </c>
      <c r="M102" s="4">
        <f>IF(A102="","",IF(B102="1","Creator outreach and seeding; hire partnerships",IF(B102="2","Own short video + paid; hire shoot/edit + media buyer",IF(B102="3","Live selling, private traffic (community), brand; multi-channel",IF(B102="4","(aiOS addition) Owned audience: community, direct list, repeat purchase","")))))</f>
        <v/>
      </c>
      <c r="O102" s="4">
        <f>IF(A102="","",IF(N102="1","Prove scripts + sampling; don't chase ROI",IF(N102="2","Build a creator pool; test by niche/audience/deal",IF(N102="3","Rates rising: judge by ROI + retention",IF(N102="4","Long-term partners as local distributors","")))))</f>
        <v/>
      </c>
    </row>
    <row r="103">
      <c r="J103" s="4">
        <f>IF(A103="","",IF(I103="Content-commerce veteran","Mature content markets (CC: US + Southeast Asia)",IF(I103="Marketplace-only seller","US + newly opened markets (crowded mature markets punish beginners)",IF(I103="Marketplace-validated products","US + Southeast Asia: open a new channel on proven products",""))))</f>
        <v/>
      </c>
      <c r="K103" s="4">
        <f>IF(A103="","",ROUND((C103+D103+2*F103+H103)-(E103+G103)/2,1))</f>
        <v/>
      </c>
      <c r="L103" s="4">
        <f>IF(A103="","",IF(H103=0,"Rate supply fit",IF(H103&lt;3,"Fix supply first - don't enter yet","OK")))</f>
        <v/>
      </c>
      <c r="M103" s="4">
        <f>IF(A103="","",IF(B103="1","Creator outreach and seeding; hire partnerships",IF(B103="2","Own short video + paid; hire shoot/edit + media buyer",IF(B103="3","Live selling, private traffic (community), brand; multi-channel",IF(B103="4","(aiOS addition) Owned audience: community, direct list, repeat purchase","")))))</f>
        <v/>
      </c>
      <c r="O103" s="4">
        <f>IF(A103="","",IF(N103="1","Prove scripts + sampling; don't chase ROI",IF(N103="2","Build a creator pool; test by niche/audience/deal",IF(N103="3","Rates rising: judge by ROI + retention",IF(N103="4","Long-term partners as local distributors","")))))</f>
        <v/>
      </c>
    </row>
    <row r="104">
      <c r="J104" s="4">
        <f>IF(A104="","",IF(I104="Content-commerce veteran","Mature content markets (CC: US + Southeast Asia)",IF(I104="Marketplace-only seller","US + newly opened markets (crowded mature markets punish beginners)",IF(I104="Marketplace-validated products","US + Southeast Asia: open a new channel on proven products",""))))</f>
        <v/>
      </c>
      <c r="K104" s="4">
        <f>IF(A104="","",ROUND((C104+D104+2*F104+H104)-(E104+G104)/2,1))</f>
        <v/>
      </c>
      <c r="L104" s="4">
        <f>IF(A104="","",IF(H104=0,"Rate supply fit",IF(H104&lt;3,"Fix supply first - don't enter yet","OK")))</f>
        <v/>
      </c>
      <c r="M104" s="4">
        <f>IF(A104="","",IF(B104="1","Creator outreach and seeding; hire partnerships",IF(B104="2","Own short video + paid; hire shoot/edit + media buyer",IF(B104="3","Live selling, private traffic (community), brand; multi-channel",IF(B104="4","(aiOS addition) Owned audience: community, direct list, repeat purchase","")))))</f>
        <v/>
      </c>
      <c r="O104" s="4">
        <f>IF(A104="","",IF(N104="1","Prove scripts + sampling; don't chase ROI",IF(N104="2","Build a creator pool; test by niche/audience/deal",IF(N104="3","Rates rising: judge by ROI + retention",IF(N104="4","Long-term partners as local distributors","")))))</f>
        <v/>
      </c>
    </row>
    <row r="105">
      <c r="J105" s="4">
        <f>IF(A105="","",IF(I105="Content-commerce veteran","Mature content markets (CC: US + Southeast Asia)",IF(I105="Marketplace-only seller","US + newly opened markets (crowded mature markets punish beginners)",IF(I105="Marketplace-validated products","US + Southeast Asia: open a new channel on proven products",""))))</f>
        <v/>
      </c>
      <c r="K105" s="4">
        <f>IF(A105="","",ROUND((C105+D105+2*F105+H105)-(E105+G105)/2,1))</f>
        <v/>
      </c>
      <c r="L105" s="4">
        <f>IF(A105="","",IF(H105=0,"Rate supply fit",IF(H105&lt;3,"Fix supply first - don't enter yet","OK")))</f>
        <v/>
      </c>
      <c r="M105" s="4">
        <f>IF(A105="","",IF(B105="1","Creator outreach and seeding; hire partnerships",IF(B105="2","Own short video + paid; hire shoot/edit + media buyer",IF(B105="3","Live selling, private traffic (community), brand; multi-channel",IF(B105="4","(aiOS addition) Owned audience: community, direct list, repeat purchase","")))))</f>
        <v/>
      </c>
      <c r="O105" s="4">
        <f>IF(A105="","",IF(N105="1","Prove scripts + sampling; don't chase ROI",IF(N105="2","Build a creator pool; test by niche/audience/deal",IF(N105="3","Rates rising: judge by ROI + retention",IF(N105="4","Long-term partners as local distributors","")))))</f>
        <v/>
      </c>
    </row>
    <row r="106">
      <c r="J106" s="4">
        <f>IF(A106="","",IF(I106="Content-commerce veteran","Mature content markets (CC: US + Southeast Asia)",IF(I106="Marketplace-only seller","US + newly opened markets (crowded mature markets punish beginners)",IF(I106="Marketplace-validated products","US + Southeast Asia: open a new channel on proven products",""))))</f>
        <v/>
      </c>
      <c r="K106" s="4">
        <f>IF(A106="","",ROUND((C106+D106+2*F106+H106)-(E106+G106)/2,1))</f>
        <v/>
      </c>
      <c r="L106" s="4">
        <f>IF(A106="","",IF(H106=0,"Rate supply fit",IF(H106&lt;3,"Fix supply first - don't enter yet","OK")))</f>
        <v/>
      </c>
      <c r="M106" s="4">
        <f>IF(A106="","",IF(B106="1","Creator outreach and seeding; hire partnerships",IF(B106="2","Own short video + paid; hire shoot/edit + media buyer",IF(B106="3","Live selling, private traffic (community), brand; multi-channel",IF(B106="4","(aiOS addition) Owned audience: community, direct list, repeat purchase","")))))</f>
        <v/>
      </c>
      <c r="O106" s="4">
        <f>IF(A106="","",IF(N106="1","Prove scripts + sampling; don't chase ROI",IF(N106="2","Build a creator pool; test by niche/audience/deal",IF(N106="3","Rates rising: judge by ROI + retention",IF(N106="4","Long-term partners as local distributors","")))))</f>
        <v/>
      </c>
    </row>
    <row r="107">
      <c r="J107" s="4">
        <f>IF(A107="","",IF(I107="Content-commerce veteran","Mature content markets (CC: US + Southeast Asia)",IF(I107="Marketplace-only seller","US + newly opened markets (crowded mature markets punish beginners)",IF(I107="Marketplace-validated products","US + Southeast Asia: open a new channel on proven products",""))))</f>
        <v/>
      </c>
      <c r="K107" s="4">
        <f>IF(A107="","",ROUND((C107+D107+2*F107+H107)-(E107+G107)/2,1))</f>
        <v/>
      </c>
      <c r="L107" s="4">
        <f>IF(A107="","",IF(H107=0,"Rate supply fit",IF(H107&lt;3,"Fix supply first - don't enter yet","OK")))</f>
        <v/>
      </c>
      <c r="M107" s="4">
        <f>IF(A107="","",IF(B107="1","Creator outreach and seeding; hire partnerships",IF(B107="2","Own short video + paid; hire shoot/edit + media buyer",IF(B107="3","Live selling, private traffic (community), brand; multi-channel",IF(B107="4","(aiOS addition) Owned audience: community, direct list, repeat purchase","")))))</f>
        <v/>
      </c>
      <c r="O107" s="4">
        <f>IF(A107="","",IF(N107="1","Prove scripts + sampling; don't chase ROI",IF(N107="2","Build a creator pool; test by niche/audience/deal",IF(N107="3","Rates rising: judge by ROI + retention",IF(N107="4","Long-term partners as local distributors","")))))</f>
        <v/>
      </c>
    </row>
    <row r="108">
      <c r="J108" s="4">
        <f>IF(A108="","",IF(I108="Content-commerce veteran","Mature content markets (CC: US + Southeast Asia)",IF(I108="Marketplace-only seller","US + newly opened markets (crowded mature markets punish beginners)",IF(I108="Marketplace-validated products","US + Southeast Asia: open a new channel on proven products",""))))</f>
        <v/>
      </c>
      <c r="K108" s="4">
        <f>IF(A108="","",ROUND((C108+D108+2*F108+H108)-(E108+G108)/2,1))</f>
        <v/>
      </c>
      <c r="L108" s="4">
        <f>IF(A108="","",IF(H108=0,"Rate supply fit",IF(H108&lt;3,"Fix supply first - don't enter yet","OK")))</f>
        <v/>
      </c>
      <c r="M108" s="4">
        <f>IF(A108="","",IF(B108="1","Creator outreach and seeding; hire partnerships",IF(B108="2","Own short video + paid; hire shoot/edit + media buyer",IF(B108="3","Live selling, private traffic (community), brand; multi-channel",IF(B108="4","(aiOS addition) Owned audience: community, direct list, repeat purchase","")))))</f>
        <v/>
      </c>
      <c r="O108" s="4">
        <f>IF(A108="","",IF(N108="1","Prove scripts + sampling; don't chase ROI",IF(N108="2","Build a creator pool; test by niche/audience/deal",IF(N108="3","Rates rising: judge by ROI + retention",IF(N108="4","Long-term partners as local distributors","")))))</f>
        <v/>
      </c>
    </row>
    <row r="109">
      <c r="J109" s="4">
        <f>IF(A109="","",IF(I109="Content-commerce veteran","Mature content markets (CC: US + Southeast Asia)",IF(I109="Marketplace-only seller","US + newly opened markets (crowded mature markets punish beginners)",IF(I109="Marketplace-validated products","US + Southeast Asia: open a new channel on proven products",""))))</f>
        <v/>
      </c>
      <c r="K109" s="4">
        <f>IF(A109="","",ROUND((C109+D109+2*F109+H109)-(E109+G109)/2,1))</f>
        <v/>
      </c>
      <c r="L109" s="4">
        <f>IF(A109="","",IF(H109=0,"Rate supply fit",IF(H109&lt;3,"Fix supply first - don't enter yet","OK")))</f>
        <v/>
      </c>
      <c r="M109" s="4">
        <f>IF(A109="","",IF(B109="1","Creator outreach and seeding; hire partnerships",IF(B109="2","Own short video + paid; hire shoot/edit + media buyer",IF(B109="3","Live selling, private traffic (community), brand; multi-channel",IF(B109="4","(aiOS addition) Owned audience: community, direct list, repeat purchase","")))))</f>
        <v/>
      </c>
      <c r="O109" s="4">
        <f>IF(A109="","",IF(N109="1","Prove scripts + sampling; don't chase ROI",IF(N109="2","Build a creator pool; test by niche/audience/deal",IF(N109="3","Rates rising: judge by ROI + retention",IF(N109="4","Long-term partners as local distributors","")))))</f>
        <v/>
      </c>
    </row>
    <row r="110">
      <c r="J110" s="4">
        <f>IF(A110="","",IF(I110="Content-commerce veteran","Mature content markets (CC: US + Southeast Asia)",IF(I110="Marketplace-only seller","US + newly opened markets (crowded mature markets punish beginners)",IF(I110="Marketplace-validated products","US + Southeast Asia: open a new channel on proven products",""))))</f>
        <v/>
      </c>
      <c r="K110" s="4">
        <f>IF(A110="","",ROUND((C110+D110+2*F110+H110)-(E110+G110)/2,1))</f>
        <v/>
      </c>
      <c r="L110" s="4">
        <f>IF(A110="","",IF(H110=0,"Rate supply fit",IF(H110&lt;3,"Fix supply first - don't enter yet","OK")))</f>
        <v/>
      </c>
      <c r="M110" s="4">
        <f>IF(A110="","",IF(B110="1","Creator outreach and seeding; hire partnerships",IF(B110="2","Own short video + paid; hire shoot/edit + media buyer",IF(B110="3","Live selling, private traffic (community), brand; multi-channel",IF(B110="4","(aiOS addition) Owned audience: community, direct list, repeat purchase","")))))</f>
        <v/>
      </c>
      <c r="O110" s="4">
        <f>IF(A110="","",IF(N110="1","Prove scripts + sampling; don't chase ROI",IF(N110="2","Build a creator pool; test by niche/audience/deal",IF(N110="3","Rates rising: judge by ROI + retention",IF(N110="4","Long-term partners as local distributors","")))))</f>
        <v/>
      </c>
    </row>
    <row r="111">
      <c r="J111" s="4">
        <f>IF(A111="","",IF(I111="Content-commerce veteran","Mature content markets (CC: US + Southeast Asia)",IF(I111="Marketplace-only seller","US + newly opened markets (crowded mature markets punish beginners)",IF(I111="Marketplace-validated products","US + Southeast Asia: open a new channel on proven products",""))))</f>
        <v/>
      </c>
      <c r="K111" s="4">
        <f>IF(A111="","",ROUND((C111+D111+2*F111+H111)-(E111+G111)/2,1))</f>
        <v/>
      </c>
      <c r="L111" s="4">
        <f>IF(A111="","",IF(H111=0,"Rate supply fit",IF(H111&lt;3,"Fix supply first - don't enter yet","OK")))</f>
        <v/>
      </c>
      <c r="M111" s="4">
        <f>IF(A111="","",IF(B111="1","Creator outreach and seeding; hire partnerships",IF(B111="2","Own short video + paid; hire shoot/edit + media buyer",IF(B111="3","Live selling, private traffic (community), brand; multi-channel",IF(B111="4","(aiOS addition) Owned audience: community, direct list, repeat purchase","")))))</f>
        <v/>
      </c>
      <c r="O111" s="4">
        <f>IF(A111="","",IF(N111="1","Prove scripts + sampling; don't chase ROI",IF(N111="2","Build a creator pool; test by niche/audience/deal",IF(N111="3","Rates rising: judge by ROI + retention",IF(N111="4","Long-term partners as local distributors","")))))</f>
        <v/>
      </c>
    </row>
    <row r="112">
      <c r="J112" s="4">
        <f>IF(A112="","",IF(I112="Content-commerce veteran","Mature content markets (CC: US + Southeast Asia)",IF(I112="Marketplace-only seller","US + newly opened markets (crowded mature markets punish beginners)",IF(I112="Marketplace-validated products","US + Southeast Asia: open a new channel on proven products",""))))</f>
        <v/>
      </c>
      <c r="K112" s="4">
        <f>IF(A112="","",ROUND((C112+D112+2*F112+H112)-(E112+G112)/2,1))</f>
        <v/>
      </c>
      <c r="L112" s="4">
        <f>IF(A112="","",IF(H112=0,"Rate supply fit",IF(H112&lt;3,"Fix supply first - don't enter yet","OK")))</f>
        <v/>
      </c>
      <c r="M112" s="4">
        <f>IF(A112="","",IF(B112="1","Creator outreach and seeding; hire partnerships",IF(B112="2","Own short video + paid; hire shoot/edit + media buyer",IF(B112="3","Live selling, private traffic (community), brand; multi-channel",IF(B112="4","(aiOS addition) Owned audience: community, direct list, repeat purchase","")))))</f>
        <v/>
      </c>
      <c r="O112" s="4">
        <f>IF(A112="","",IF(N112="1","Prove scripts + sampling; don't chase ROI",IF(N112="2","Build a creator pool; test by niche/audience/deal",IF(N112="3","Rates rising: judge by ROI + retention",IF(N112="4","Long-term partners as local distributors","")))))</f>
        <v/>
      </c>
    </row>
    <row r="113">
      <c r="J113" s="4">
        <f>IF(A113="","",IF(I113="Content-commerce veteran","Mature content markets (CC: US + Southeast Asia)",IF(I113="Marketplace-only seller","US + newly opened markets (crowded mature markets punish beginners)",IF(I113="Marketplace-validated products","US + Southeast Asia: open a new channel on proven products",""))))</f>
        <v/>
      </c>
      <c r="K113" s="4">
        <f>IF(A113="","",ROUND((C113+D113+2*F113+H113)-(E113+G113)/2,1))</f>
        <v/>
      </c>
      <c r="L113" s="4">
        <f>IF(A113="","",IF(H113=0,"Rate supply fit",IF(H113&lt;3,"Fix supply first - don't enter yet","OK")))</f>
        <v/>
      </c>
      <c r="M113" s="4">
        <f>IF(A113="","",IF(B113="1","Creator outreach and seeding; hire partnerships",IF(B113="2","Own short video + paid; hire shoot/edit + media buyer",IF(B113="3","Live selling, private traffic (community), brand; multi-channel",IF(B113="4","(aiOS addition) Owned audience: community, direct list, repeat purchase","")))))</f>
        <v/>
      </c>
      <c r="O113" s="4">
        <f>IF(A113="","",IF(N113="1","Prove scripts + sampling; don't chase ROI",IF(N113="2","Build a creator pool; test by niche/audience/deal",IF(N113="3","Rates rising: judge by ROI + retention",IF(N113="4","Long-term partners as local distributors","")))))</f>
        <v/>
      </c>
    </row>
    <row r="114">
      <c r="J114" s="4">
        <f>IF(A114="","",IF(I114="Content-commerce veteran","Mature content markets (CC: US + Southeast Asia)",IF(I114="Marketplace-only seller","US + newly opened markets (crowded mature markets punish beginners)",IF(I114="Marketplace-validated products","US + Southeast Asia: open a new channel on proven products",""))))</f>
        <v/>
      </c>
      <c r="K114" s="4">
        <f>IF(A114="","",ROUND((C114+D114+2*F114+H114)-(E114+G114)/2,1))</f>
        <v/>
      </c>
      <c r="L114" s="4">
        <f>IF(A114="","",IF(H114=0,"Rate supply fit",IF(H114&lt;3,"Fix supply first - don't enter yet","OK")))</f>
        <v/>
      </c>
      <c r="M114" s="4">
        <f>IF(A114="","",IF(B114="1","Creator outreach and seeding; hire partnerships",IF(B114="2","Own short video + paid; hire shoot/edit + media buyer",IF(B114="3","Live selling, private traffic (community), brand; multi-channel",IF(B114="4","(aiOS addition) Owned audience: community, direct list, repeat purchase","")))))</f>
        <v/>
      </c>
      <c r="O114" s="4">
        <f>IF(A114="","",IF(N114="1","Prove scripts + sampling; don't chase ROI",IF(N114="2","Build a creator pool; test by niche/audience/deal",IF(N114="3","Rates rising: judge by ROI + retention",IF(N114="4","Long-term partners as local distributors","")))))</f>
        <v/>
      </c>
    </row>
    <row r="115">
      <c r="J115" s="4">
        <f>IF(A115="","",IF(I115="Content-commerce veteran","Mature content markets (CC: US + Southeast Asia)",IF(I115="Marketplace-only seller","US + newly opened markets (crowded mature markets punish beginners)",IF(I115="Marketplace-validated products","US + Southeast Asia: open a new channel on proven products",""))))</f>
        <v/>
      </c>
      <c r="K115" s="4">
        <f>IF(A115="","",ROUND((C115+D115+2*F115+H115)-(E115+G115)/2,1))</f>
        <v/>
      </c>
      <c r="L115" s="4">
        <f>IF(A115="","",IF(H115=0,"Rate supply fit",IF(H115&lt;3,"Fix supply first - don't enter yet","OK")))</f>
        <v/>
      </c>
      <c r="M115" s="4">
        <f>IF(A115="","",IF(B115="1","Creator outreach and seeding; hire partnerships",IF(B115="2","Own short video + paid; hire shoot/edit + media buyer",IF(B115="3","Live selling, private traffic (community), brand; multi-channel",IF(B115="4","(aiOS addition) Owned audience: community, direct list, repeat purchase","")))))</f>
        <v/>
      </c>
      <c r="O115" s="4">
        <f>IF(A115="","",IF(N115="1","Prove scripts + sampling; don't chase ROI",IF(N115="2","Build a creator pool; test by niche/audience/deal",IF(N115="3","Rates rising: judge by ROI + retention",IF(N115="4","Long-term partners as local distributors","")))))</f>
        <v/>
      </c>
    </row>
    <row r="116">
      <c r="J116" s="4">
        <f>IF(A116="","",IF(I116="Content-commerce veteran","Mature content markets (CC: US + Southeast Asia)",IF(I116="Marketplace-only seller","US + newly opened markets (crowded mature markets punish beginners)",IF(I116="Marketplace-validated products","US + Southeast Asia: open a new channel on proven products",""))))</f>
        <v/>
      </c>
      <c r="K116" s="4">
        <f>IF(A116="","",ROUND((C116+D116+2*F116+H116)-(E116+G116)/2,1))</f>
        <v/>
      </c>
      <c r="L116" s="4">
        <f>IF(A116="","",IF(H116=0,"Rate supply fit",IF(H116&lt;3,"Fix supply first - don't enter yet","OK")))</f>
        <v/>
      </c>
      <c r="M116" s="4">
        <f>IF(A116="","",IF(B116="1","Creator outreach and seeding; hire partnerships",IF(B116="2","Own short video + paid; hire shoot/edit + media buyer",IF(B116="3","Live selling, private traffic (community), brand; multi-channel",IF(B116="4","(aiOS addition) Owned audience: community, direct list, repeat purchase","")))))</f>
        <v/>
      </c>
      <c r="O116" s="4">
        <f>IF(A116="","",IF(N116="1","Prove scripts + sampling; don't chase ROI",IF(N116="2","Build a creator pool; test by niche/audience/deal",IF(N116="3","Rates rising: judge by ROI + retention",IF(N116="4","Long-term partners as local distributors","")))))</f>
        <v/>
      </c>
    </row>
    <row r="117">
      <c r="J117" s="4">
        <f>IF(A117="","",IF(I117="Content-commerce veteran","Mature content markets (CC: US + Southeast Asia)",IF(I117="Marketplace-only seller","US + newly opened markets (crowded mature markets punish beginners)",IF(I117="Marketplace-validated products","US + Southeast Asia: open a new channel on proven products",""))))</f>
        <v/>
      </c>
      <c r="K117" s="4">
        <f>IF(A117="","",ROUND((C117+D117+2*F117+H117)-(E117+G117)/2,1))</f>
        <v/>
      </c>
      <c r="L117" s="4">
        <f>IF(A117="","",IF(H117=0,"Rate supply fit",IF(H117&lt;3,"Fix supply first - don't enter yet","OK")))</f>
        <v/>
      </c>
      <c r="M117" s="4">
        <f>IF(A117="","",IF(B117="1","Creator outreach and seeding; hire partnerships",IF(B117="2","Own short video + paid; hire shoot/edit + media buyer",IF(B117="3","Live selling, private traffic (community), brand; multi-channel",IF(B117="4","(aiOS addition) Owned audience: community, direct list, repeat purchase","")))))</f>
        <v/>
      </c>
      <c r="O117" s="4">
        <f>IF(A117="","",IF(N117="1","Prove scripts + sampling; don't chase ROI",IF(N117="2","Build a creator pool; test by niche/audience/deal",IF(N117="3","Rates rising: judge by ROI + retention",IF(N117="4","Long-term partners as local distributors","")))))</f>
        <v/>
      </c>
    </row>
    <row r="118">
      <c r="J118" s="4">
        <f>IF(A118="","",IF(I118="Content-commerce veteran","Mature content markets (CC: US + Southeast Asia)",IF(I118="Marketplace-only seller","US + newly opened markets (crowded mature markets punish beginners)",IF(I118="Marketplace-validated products","US + Southeast Asia: open a new channel on proven products",""))))</f>
        <v/>
      </c>
      <c r="K118" s="4">
        <f>IF(A118="","",ROUND((C118+D118+2*F118+H118)-(E118+G118)/2,1))</f>
        <v/>
      </c>
      <c r="L118" s="4">
        <f>IF(A118="","",IF(H118=0,"Rate supply fit",IF(H118&lt;3,"Fix supply first - don't enter yet","OK")))</f>
        <v/>
      </c>
      <c r="M118" s="4">
        <f>IF(A118="","",IF(B118="1","Creator outreach and seeding; hire partnerships",IF(B118="2","Own short video + paid; hire shoot/edit + media buyer",IF(B118="3","Live selling, private traffic (community), brand; multi-channel",IF(B118="4","(aiOS addition) Owned audience: community, direct list, repeat purchase","")))))</f>
        <v/>
      </c>
      <c r="O118" s="4">
        <f>IF(A118="","",IF(N118="1","Prove scripts + sampling; don't chase ROI",IF(N118="2","Build a creator pool; test by niche/audience/deal",IF(N118="3","Rates rising: judge by ROI + retention",IF(N118="4","Long-term partners as local distributors","")))))</f>
        <v/>
      </c>
    </row>
    <row r="119">
      <c r="J119" s="4">
        <f>IF(A119="","",IF(I119="Content-commerce veteran","Mature content markets (CC: US + Southeast Asia)",IF(I119="Marketplace-only seller","US + newly opened markets (crowded mature markets punish beginners)",IF(I119="Marketplace-validated products","US + Southeast Asia: open a new channel on proven products",""))))</f>
        <v/>
      </c>
      <c r="K119" s="4">
        <f>IF(A119="","",ROUND((C119+D119+2*F119+H119)-(E119+G119)/2,1))</f>
        <v/>
      </c>
      <c r="L119" s="4">
        <f>IF(A119="","",IF(H119=0,"Rate supply fit",IF(H119&lt;3,"Fix supply first - don't enter yet","OK")))</f>
        <v/>
      </c>
      <c r="M119" s="4">
        <f>IF(A119="","",IF(B119="1","Creator outreach and seeding; hire partnerships",IF(B119="2","Own short video + paid; hire shoot/edit + media buyer",IF(B119="3","Live selling, private traffic (community), brand; multi-channel",IF(B119="4","(aiOS addition) Owned audience: community, direct list, repeat purchase","")))))</f>
        <v/>
      </c>
      <c r="O119" s="4">
        <f>IF(A119="","",IF(N119="1","Prove scripts + sampling; don't chase ROI",IF(N119="2","Build a creator pool; test by niche/audience/deal",IF(N119="3","Rates rising: judge by ROI + retention",IF(N119="4","Long-term partners as local distributors","")))))</f>
        <v/>
      </c>
    </row>
    <row r="120">
      <c r="J120" s="4">
        <f>IF(A120="","",IF(I120="Content-commerce veteran","Mature content markets (CC: US + Southeast Asia)",IF(I120="Marketplace-only seller","US + newly opened markets (crowded mature markets punish beginners)",IF(I120="Marketplace-validated products","US + Southeast Asia: open a new channel on proven products",""))))</f>
        <v/>
      </c>
      <c r="K120" s="4">
        <f>IF(A120="","",ROUND((C120+D120+2*F120+H120)-(E120+G120)/2,1))</f>
        <v/>
      </c>
      <c r="L120" s="4">
        <f>IF(A120="","",IF(H120=0,"Rate supply fit",IF(H120&lt;3,"Fix supply first - don't enter yet","OK")))</f>
        <v/>
      </c>
      <c r="M120" s="4">
        <f>IF(A120="","",IF(B120="1","Creator outreach and seeding; hire partnerships",IF(B120="2","Own short video + paid; hire shoot/edit + media buyer",IF(B120="3","Live selling, private traffic (community), brand; multi-channel",IF(B120="4","(aiOS addition) Owned audience: community, direct list, repeat purchase","")))))</f>
        <v/>
      </c>
      <c r="O120" s="4">
        <f>IF(A120="","",IF(N120="1","Prove scripts + sampling; don't chase ROI",IF(N120="2","Build a creator pool; test by niche/audience/deal",IF(N120="3","Rates rising: judge by ROI + retention",IF(N120="4","Long-term partners as local distributors","")))))</f>
        <v/>
      </c>
    </row>
    <row r="121">
      <c r="J121" s="4">
        <f>IF(A121="","",IF(I121="Content-commerce veteran","Mature content markets (CC: US + Southeast Asia)",IF(I121="Marketplace-only seller","US + newly opened markets (crowded mature markets punish beginners)",IF(I121="Marketplace-validated products","US + Southeast Asia: open a new channel on proven products",""))))</f>
        <v/>
      </c>
      <c r="K121" s="4">
        <f>IF(A121="","",ROUND((C121+D121+2*F121+H121)-(E121+G121)/2,1))</f>
        <v/>
      </c>
      <c r="L121" s="4">
        <f>IF(A121="","",IF(H121=0,"Rate supply fit",IF(H121&lt;3,"Fix supply first - don't enter yet","OK")))</f>
        <v/>
      </c>
      <c r="M121" s="4">
        <f>IF(A121="","",IF(B121="1","Creator outreach and seeding; hire partnerships",IF(B121="2","Own short video + paid; hire shoot/edit + media buyer",IF(B121="3","Live selling, private traffic (community), brand; multi-channel",IF(B121="4","(aiOS addition) Owned audience: community, direct list, repeat purchase","")))))</f>
        <v/>
      </c>
      <c r="O121" s="4">
        <f>IF(A121="","",IF(N121="1","Prove scripts + sampling; don't chase ROI",IF(N121="2","Build a creator pool; test by niche/audience/deal",IF(N121="3","Rates rising: judge by ROI + retention",IF(N121="4","Long-term partners as local distributors","")))))</f>
        <v/>
      </c>
    </row>
    <row r="122">
      <c r="J122" s="4">
        <f>IF(A122="","",IF(I122="Content-commerce veteran","Mature content markets (CC: US + Southeast Asia)",IF(I122="Marketplace-only seller","US + newly opened markets (crowded mature markets punish beginners)",IF(I122="Marketplace-validated products","US + Southeast Asia: open a new channel on proven products",""))))</f>
        <v/>
      </c>
      <c r="K122" s="4">
        <f>IF(A122="","",ROUND((C122+D122+2*F122+H122)-(E122+G122)/2,1))</f>
        <v/>
      </c>
      <c r="L122" s="4">
        <f>IF(A122="","",IF(H122=0,"Rate supply fit",IF(H122&lt;3,"Fix supply first - don't enter yet","OK")))</f>
        <v/>
      </c>
      <c r="M122" s="4">
        <f>IF(A122="","",IF(B122="1","Creator outreach and seeding; hire partnerships",IF(B122="2","Own short video + paid; hire shoot/edit + media buyer",IF(B122="3","Live selling, private traffic (community), brand; multi-channel",IF(B122="4","(aiOS addition) Owned audience: community, direct list, repeat purchase","")))))</f>
        <v/>
      </c>
      <c r="O122" s="4">
        <f>IF(A122="","",IF(N122="1","Prove scripts + sampling; don't chase ROI",IF(N122="2","Build a creator pool; test by niche/audience/deal",IF(N122="3","Rates rising: judge by ROI + retention",IF(N122="4","Long-term partners as local distributors","")))))</f>
        <v/>
      </c>
    </row>
    <row r="123">
      <c r="J123" s="4">
        <f>IF(A123="","",IF(I123="Content-commerce veteran","Mature content markets (CC: US + Southeast Asia)",IF(I123="Marketplace-only seller","US + newly opened markets (crowded mature markets punish beginners)",IF(I123="Marketplace-validated products","US + Southeast Asia: open a new channel on proven products",""))))</f>
        <v/>
      </c>
      <c r="K123" s="4">
        <f>IF(A123="","",ROUND((C123+D123+2*F123+H123)-(E123+G123)/2,1))</f>
        <v/>
      </c>
      <c r="L123" s="4">
        <f>IF(A123="","",IF(H123=0,"Rate supply fit",IF(H123&lt;3,"Fix supply first - don't enter yet","OK")))</f>
        <v/>
      </c>
      <c r="M123" s="4">
        <f>IF(A123="","",IF(B123="1","Creator outreach and seeding; hire partnerships",IF(B123="2","Own short video + paid; hire shoot/edit + media buyer",IF(B123="3","Live selling, private traffic (community), brand; multi-channel",IF(B123="4","(aiOS addition) Owned audience: community, direct list, repeat purchase","")))))</f>
        <v/>
      </c>
      <c r="O123" s="4">
        <f>IF(A123="","",IF(N123="1","Prove scripts + sampling; don't chase ROI",IF(N123="2","Build a creator pool; test by niche/audience/deal",IF(N123="3","Rates rising: judge by ROI + retention",IF(N123="4","Long-term partners as local distributors","")))))</f>
        <v/>
      </c>
    </row>
    <row r="124">
      <c r="J124" s="4">
        <f>IF(A124="","",IF(I124="Content-commerce veteran","Mature content markets (CC: US + Southeast Asia)",IF(I124="Marketplace-only seller","US + newly opened markets (crowded mature markets punish beginners)",IF(I124="Marketplace-validated products","US + Southeast Asia: open a new channel on proven products",""))))</f>
        <v/>
      </c>
      <c r="K124" s="4">
        <f>IF(A124="","",ROUND((C124+D124+2*F124+H124)-(E124+G124)/2,1))</f>
        <v/>
      </c>
      <c r="L124" s="4">
        <f>IF(A124="","",IF(H124=0,"Rate supply fit",IF(H124&lt;3,"Fix supply first - don't enter yet","OK")))</f>
        <v/>
      </c>
      <c r="M124" s="4">
        <f>IF(A124="","",IF(B124="1","Creator outreach and seeding; hire partnerships",IF(B124="2","Own short video + paid; hire shoot/edit + media buyer",IF(B124="3","Live selling, private traffic (community), brand; multi-channel",IF(B124="4","(aiOS addition) Owned audience: community, direct list, repeat purchase","")))))</f>
        <v/>
      </c>
      <c r="O124" s="4">
        <f>IF(A124="","",IF(N124="1","Prove scripts + sampling; don't chase ROI",IF(N124="2","Build a creator pool; test by niche/audience/deal",IF(N124="3","Rates rising: judge by ROI + retention",IF(N124="4","Long-term partners as local distributors","")))))</f>
        <v/>
      </c>
    </row>
    <row r="125">
      <c r="J125" s="4">
        <f>IF(A125="","",IF(I125="Content-commerce veteran","Mature content markets (CC: US + Southeast Asia)",IF(I125="Marketplace-only seller","US + newly opened markets (crowded mature markets punish beginners)",IF(I125="Marketplace-validated products","US + Southeast Asia: open a new channel on proven products",""))))</f>
        <v/>
      </c>
      <c r="K125" s="4">
        <f>IF(A125="","",ROUND((C125+D125+2*F125+H125)-(E125+G125)/2,1))</f>
        <v/>
      </c>
      <c r="L125" s="4">
        <f>IF(A125="","",IF(H125=0,"Rate supply fit",IF(H125&lt;3,"Fix supply first - don't enter yet","OK")))</f>
        <v/>
      </c>
      <c r="M125" s="4">
        <f>IF(A125="","",IF(B125="1","Creator outreach and seeding; hire partnerships",IF(B125="2","Own short video + paid; hire shoot/edit + media buyer",IF(B125="3","Live selling, private traffic (community), brand; multi-channel",IF(B125="4","(aiOS addition) Owned audience: community, direct list, repeat purchase","")))))</f>
        <v/>
      </c>
      <c r="O125" s="4">
        <f>IF(A125="","",IF(N125="1","Prove scripts + sampling; don't chase ROI",IF(N125="2","Build a creator pool; test by niche/audience/deal",IF(N125="3","Rates rising: judge by ROI + retention",IF(N125="4","Long-term partners as local distributors","")))))</f>
        <v/>
      </c>
    </row>
    <row r="126">
      <c r="J126" s="4">
        <f>IF(A126="","",IF(I126="Content-commerce veteran","Mature content markets (CC: US + Southeast Asia)",IF(I126="Marketplace-only seller","US + newly opened markets (crowded mature markets punish beginners)",IF(I126="Marketplace-validated products","US + Southeast Asia: open a new channel on proven products",""))))</f>
        <v/>
      </c>
      <c r="K126" s="4">
        <f>IF(A126="","",ROUND((C126+D126+2*F126+H126)-(E126+G126)/2,1))</f>
        <v/>
      </c>
      <c r="L126" s="4">
        <f>IF(A126="","",IF(H126=0,"Rate supply fit",IF(H126&lt;3,"Fix supply first - don't enter yet","OK")))</f>
        <v/>
      </c>
      <c r="M126" s="4">
        <f>IF(A126="","",IF(B126="1","Creator outreach and seeding; hire partnerships",IF(B126="2","Own short video + paid; hire shoot/edit + media buyer",IF(B126="3","Live selling, private traffic (community), brand; multi-channel",IF(B126="4","(aiOS addition) Owned audience: community, direct list, repeat purchase","")))))</f>
        <v/>
      </c>
      <c r="O126" s="4">
        <f>IF(A126="","",IF(N126="1","Prove scripts + sampling; don't chase ROI",IF(N126="2","Build a creator pool; test by niche/audience/deal",IF(N126="3","Rates rising: judge by ROI + retention",IF(N126="4","Long-term partners as local distributors","")))))</f>
        <v/>
      </c>
    </row>
    <row r="127">
      <c r="J127" s="4">
        <f>IF(A127="","",IF(I127="Content-commerce veteran","Mature content markets (CC: US + Southeast Asia)",IF(I127="Marketplace-only seller","US + newly opened markets (crowded mature markets punish beginners)",IF(I127="Marketplace-validated products","US + Southeast Asia: open a new channel on proven products",""))))</f>
        <v/>
      </c>
      <c r="K127" s="4">
        <f>IF(A127="","",ROUND((C127+D127+2*F127+H127)-(E127+G127)/2,1))</f>
        <v/>
      </c>
      <c r="L127" s="4">
        <f>IF(A127="","",IF(H127=0,"Rate supply fit",IF(H127&lt;3,"Fix supply first - don't enter yet","OK")))</f>
        <v/>
      </c>
      <c r="M127" s="4">
        <f>IF(A127="","",IF(B127="1","Creator outreach and seeding; hire partnerships",IF(B127="2","Own short video + paid; hire shoot/edit + media buyer",IF(B127="3","Live selling, private traffic (community), brand; multi-channel",IF(B127="4","(aiOS addition) Owned audience: community, direct list, repeat purchase","")))))</f>
        <v/>
      </c>
      <c r="O127" s="4">
        <f>IF(A127="","",IF(N127="1","Prove scripts + sampling; don't chase ROI",IF(N127="2","Build a creator pool; test by niche/audience/deal",IF(N127="3","Rates rising: judge by ROI + retention",IF(N127="4","Long-term partners as local distributors","")))))</f>
        <v/>
      </c>
    </row>
    <row r="128">
      <c r="J128" s="4">
        <f>IF(A128="","",IF(I128="Content-commerce veteran","Mature content markets (CC: US + Southeast Asia)",IF(I128="Marketplace-only seller","US + newly opened markets (crowded mature markets punish beginners)",IF(I128="Marketplace-validated products","US + Southeast Asia: open a new channel on proven products",""))))</f>
        <v/>
      </c>
      <c r="K128" s="4">
        <f>IF(A128="","",ROUND((C128+D128+2*F128+H128)-(E128+G128)/2,1))</f>
        <v/>
      </c>
      <c r="L128" s="4">
        <f>IF(A128="","",IF(H128=0,"Rate supply fit",IF(H128&lt;3,"Fix supply first - don't enter yet","OK")))</f>
        <v/>
      </c>
      <c r="M128" s="4">
        <f>IF(A128="","",IF(B128="1","Creator outreach and seeding; hire partnerships",IF(B128="2","Own short video + paid; hire shoot/edit + media buyer",IF(B128="3","Live selling, private traffic (community), brand; multi-channel",IF(B128="4","(aiOS addition) Owned audience: community, direct list, repeat purchase","")))))</f>
        <v/>
      </c>
      <c r="O128" s="4">
        <f>IF(A128="","",IF(N128="1","Prove scripts + sampling; don't chase ROI",IF(N128="2","Build a creator pool; test by niche/audience/deal",IF(N128="3","Rates rising: judge by ROI + retention",IF(N128="4","Long-term partners as local distributors","")))))</f>
        <v/>
      </c>
    </row>
    <row r="129">
      <c r="J129" s="4">
        <f>IF(A129="","",IF(I129="Content-commerce veteran","Mature content markets (CC: US + Southeast Asia)",IF(I129="Marketplace-only seller","US + newly opened markets (crowded mature markets punish beginners)",IF(I129="Marketplace-validated products","US + Southeast Asia: open a new channel on proven products",""))))</f>
        <v/>
      </c>
      <c r="K129" s="4">
        <f>IF(A129="","",ROUND((C129+D129+2*F129+H129)-(E129+G129)/2,1))</f>
        <v/>
      </c>
      <c r="L129" s="4">
        <f>IF(A129="","",IF(H129=0,"Rate supply fit",IF(H129&lt;3,"Fix supply first - don't enter yet","OK")))</f>
        <v/>
      </c>
      <c r="M129" s="4">
        <f>IF(A129="","",IF(B129="1","Creator outreach and seeding; hire partnerships",IF(B129="2","Own short video + paid; hire shoot/edit + media buyer",IF(B129="3","Live selling, private traffic (community), brand; multi-channel",IF(B129="4","(aiOS addition) Owned audience: community, direct list, repeat purchase","")))))</f>
        <v/>
      </c>
      <c r="O129" s="4">
        <f>IF(A129="","",IF(N129="1","Prove scripts + sampling; don't chase ROI",IF(N129="2","Build a creator pool; test by niche/audience/deal",IF(N129="3","Rates rising: judge by ROI + retention",IF(N129="4","Long-term partners as local distributors","")))))</f>
        <v/>
      </c>
    </row>
    <row r="130">
      <c r="J130" s="4">
        <f>IF(A130="","",IF(I130="Content-commerce veteran","Mature content markets (CC: US + Southeast Asia)",IF(I130="Marketplace-only seller","US + newly opened markets (crowded mature markets punish beginners)",IF(I130="Marketplace-validated products","US + Southeast Asia: open a new channel on proven products",""))))</f>
        <v/>
      </c>
      <c r="K130" s="4">
        <f>IF(A130="","",ROUND((C130+D130+2*F130+H130)-(E130+G130)/2,1))</f>
        <v/>
      </c>
      <c r="L130" s="4">
        <f>IF(A130="","",IF(H130=0,"Rate supply fit",IF(H130&lt;3,"Fix supply first - don't enter yet","OK")))</f>
        <v/>
      </c>
      <c r="M130" s="4">
        <f>IF(A130="","",IF(B130="1","Creator outreach and seeding; hire partnerships",IF(B130="2","Own short video + paid; hire shoot/edit + media buyer",IF(B130="3","Live selling, private traffic (community), brand; multi-channel",IF(B130="4","(aiOS addition) Owned audience: community, direct list, repeat purchase","")))))</f>
        <v/>
      </c>
      <c r="O130" s="4">
        <f>IF(A130="","",IF(N130="1","Prove scripts + sampling; don't chase ROI",IF(N130="2","Build a creator pool; test by niche/audience/deal",IF(N130="3","Rates rising: judge by ROI + retention",IF(N130="4","Long-term partners as local distributors","")))))</f>
        <v/>
      </c>
    </row>
    <row r="131">
      <c r="J131" s="4">
        <f>IF(A131="","",IF(I131="Content-commerce veteran","Mature content markets (CC: US + Southeast Asia)",IF(I131="Marketplace-only seller","US + newly opened markets (crowded mature markets punish beginners)",IF(I131="Marketplace-validated products","US + Southeast Asia: open a new channel on proven products",""))))</f>
        <v/>
      </c>
      <c r="K131" s="4">
        <f>IF(A131="","",ROUND((C131+D131+2*F131+H131)-(E131+G131)/2,1))</f>
        <v/>
      </c>
      <c r="L131" s="4">
        <f>IF(A131="","",IF(H131=0,"Rate supply fit",IF(H131&lt;3,"Fix supply first - don't enter yet","OK")))</f>
        <v/>
      </c>
      <c r="M131" s="4">
        <f>IF(A131="","",IF(B131="1","Creator outreach and seeding; hire partnerships",IF(B131="2","Own short video + paid; hire shoot/edit + media buyer",IF(B131="3","Live selling, private traffic (community), brand; multi-channel",IF(B131="4","(aiOS addition) Owned audience: community, direct list, repeat purchase","")))))</f>
        <v/>
      </c>
      <c r="O131" s="4">
        <f>IF(A131="","",IF(N131="1","Prove scripts + sampling; don't chase ROI",IF(N131="2","Build a creator pool; test by niche/audience/deal",IF(N131="3","Rates rising: judge by ROI + retention",IF(N131="4","Long-term partners as local distributors","")))))</f>
        <v/>
      </c>
    </row>
    <row r="132">
      <c r="J132" s="4">
        <f>IF(A132="","",IF(I132="Content-commerce veteran","Mature content markets (CC: US + Southeast Asia)",IF(I132="Marketplace-only seller","US + newly opened markets (crowded mature markets punish beginners)",IF(I132="Marketplace-validated products","US + Southeast Asia: open a new channel on proven products",""))))</f>
        <v/>
      </c>
      <c r="K132" s="4">
        <f>IF(A132="","",ROUND((C132+D132+2*F132+H132)-(E132+G132)/2,1))</f>
        <v/>
      </c>
      <c r="L132" s="4">
        <f>IF(A132="","",IF(H132=0,"Rate supply fit",IF(H132&lt;3,"Fix supply first - don't enter yet","OK")))</f>
        <v/>
      </c>
      <c r="M132" s="4">
        <f>IF(A132="","",IF(B132="1","Creator outreach and seeding; hire partnerships",IF(B132="2","Own short video + paid; hire shoot/edit + media buyer",IF(B132="3","Live selling, private traffic (community), brand; multi-channel",IF(B132="4","(aiOS addition) Owned audience: community, direct list, repeat purchase","")))))</f>
        <v/>
      </c>
      <c r="O132" s="4">
        <f>IF(A132="","",IF(N132="1","Prove scripts + sampling; don't chase ROI",IF(N132="2","Build a creator pool; test by niche/audience/deal",IF(N132="3","Rates rising: judge by ROI + retention",IF(N132="4","Long-term partners as local distributors","")))))</f>
        <v/>
      </c>
    </row>
    <row r="133">
      <c r="J133" s="4">
        <f>IF(A133="","",IF(I133="Content-commerce veteran","Mature content markets (CC: US + Southeast Asia)",IF(I133="Marketplace-only seller","US + newly opened markets (crowded mature markets punish beginners)",IF(I133="Marketplace-validated products","US + Southeast Asia: open a new channel on proven products",""))))</f>
        <v/>
      </c>
      <c r="K133" s="4">
        <f>IF(A133="","",ROUND((C133+D133+2*F133+H133)-(E133+G133)/2,1))</f>
        <v/>
      </c>
      <c r="L133" s="4">
        <f>IF(A133="","",IF(H133=0,"Rate supply fit",IF(H133&lt;3,"Fix supply first - don't enter yet","OK")))</f>
        <v/>
      </c>
      <c r="M133" s="4">
        <f>IF(A133="","",IF(B133="1","Creator outreach and seeding; hire partnerships",IF(B133="2","Own short video + paid; hire shoot/edit + media buyer",IF(B133="3","Live selling, private traffic (community), brand; multi-channel",IF(B133="4","(aiOS addition) Owned audience: community, direct list, repeat purchase","")))))</f>
        <v/>
      </c>
      <c r="O133" s="4">
        <f>IF(A133="","",IF(N133="1","Prove scripts + sampling; don't chase ROI",IF(N133="2","Build a creator pool; test by niche/audience/deal",IF(N133="3","Rates rising: judge by ROI + retention",IF(N133="4","Long-term partners as local distributors","")))))</f>
        <v/>
      </c>
    </row>
    <row r="134">
      <c r="J134" s="4">
        <f>IF(A134="","",IF(I134="Content-commerce veteran","Mature content markets (CC: US + Southeast Asia)",IF(I134="Marketplace-only seller","US + newly opened markets (crowded mature markets punish beginners)",IF(I134="Marketplace-validated products","US + Southeast Asia: open a new channel on proven products",""))))</f>
        <v/>
      </c>
      <c r="K134" s="4">
        <f>IF(A134="","",ROUND((C134+D134+2*F134+H134)-(E134+G134)/2,1))</f>
        <v/>
      </c>
      <c r="L134" s="4">
        <f>IF(A134="","",IF(H134=0,"Rate supply fit",IF(H134&lt;3,"Fix supply first - don't enter yet","OK")))</f>
        <v/>
      </c>
      <c r="M134" s="4">
        <f>IF(A134="","",IF(B134="1","Creator outreach and seeding; hire partnerships",IF(B134="2","Own short video + paid; hire shoot/edit + media buyer",IF(B134="3","Live selling, private traffic (community), brand; multi-channel",IF(B134="4","(aiOS addition) Owned audience: community, direct list, repeat purchase","")))))</f>
        <v/>
      </c>
      <c r="O134" s="4">
        <f>IF(A134="","",IF(N134="1","Prove scripts + sampling; don't chase ROI",IF(N134="2","Build a creator pool; test by niche/audience/deal",IF(N134="3","Rates rising: judge by ROI + retention",IF(N134="4","Long-term partners as local distributors","")))))</f>
        <v/>
      </c>
    </row>
    <row r="135">
      <c r="J135" s="4">
        <f>IF(A135="","",IF(I135="Content-commerce veteran","Mature content markets (CC: US + Southeast Asia)",IF(I135="Marketplace-only seller","US + newly opened markets (crowded mature markets punish beginners)",IF(I135="Marketplace-validated products","US + Southeast Asia: open a new channel on proven products",""))))</f>
        <v/>
      </c>
      <c r="K135" s="4">
        <f>IF(A135="","",ROUND((C135+D135+2*F135+H135)-(E135+G135)/2,1))</f>
        <v/>
      </c>
      <c r="L135" s="4">
        <f>IF(A135="","",IF(H135=0,"Rate supply fit",IF(H135&lt;3,"Fix supply first - don't enter yet","OK")))</f>
        <v/>
      </c>
      <c r="M135" s="4">
        <f>IF(A135="","",IF(B135="1","Creator outreach and seeding; hire partnerships",IF(B135="2","Own short video + paid; hire shoot/edit + media buyer",IF(B135="3","Live selling, private traffic (community), brand; multi-channel",IF(B135="4","(aiOS addition) Owned audience: community, direct list, repeat purchase","")))))</f>
        <v/>
      </c>
      <c r="O135" s="4">
        <f>IF(A135="","",IF(N135="1","Prove scripts + sampling; don't chase ROI",IF(N135="2","Build a creator pool; test by niche/audience/deal",IF(N135="3","Rates rising: judge by ROI + retention",IF(N135="4","Long-term partners as local distributors","")))))</f>
        <v/>
      </c>
    </row>
    <row r="136">
      <c r="J136" s="4">
        <f>IF(A136="","",IF(I136="Content-commerce veteran","Mature content markets (CC: US + Southeast Asia)",IF(I136="Marketplace-only seller","US + newly opened markets (crowded mature markets punish beginners)",IF(I136="Marketplace-validated products","US + Southeast Asia: open a new channel on proven products",""))))</f>
        <v/>
      </c>
      <c r="K136" s="4">
        <f>IF(A136="","",ROUND((C136+D136+2*F136+H136)-(E136+G136)/2,1))</f>
        <v/>
      </c>
      <c r="L136" s="4">
        <f>IF(A136="","",IF(H136=0,"Rate supply fit",IF(H136&lt;3,"Fix supply first - don't enter yet","OK")))</f>
        <v/>
      </c>
      <c r="M136" s="4">
        <f>IF(A136="","",IF(B136="1","Creator outreach and seeding; hire partnerships",IF(B136="2","Own short video + paid; hire shoot/edit + media buyer",IF(B136="3","Live selling, private traffic (community), brand; multi-channel",IF(B136="4","(aiOS addition) Owned audience: community, direct list, repeat purchase","")))))</f>
        <v/>
      </c>
      <c r="O136" s="4">
        <f>IF(A136="","",IF(N136="1","Prove scripts + sampling; don't chase ROI",IF(N136="2","Build a creator pool; test by niche/audience/deal",IF(N136="3","Rates rising: judge by ROI + retention",IF(N136="4","Long-term partners as local distributors","")))))</f>
        <v/>
      </c>
    </row>
    <row r="137">
      <c r="J137" s="4">
        <f>IF(A137="","",IF(I137="Content-commerce veteran","Mature content markets (CC: US + Southeast Asia)",IF(I137="Marketplace-only seller","US + newly opened markets (crowded mature markets punish beginners)",IF(I137="Marketplace-validated products","US + Southeast Asia: open a new channel on proven products",""))))</f>
        <v/>
      </c>
      <c r="K137" s="4">
        <f>IF(A137="","",ROUND((C137+D137+2*F137+H137)-(E137+G137)/2,1))</f>
        <v/>
      </c>
      <c r="L137" s="4">
        <f>IF(A137="","",IF(H137=0,"Rate supply fit",IF(H137&lt;3,"Fix supply first - don't enter yet","OK")))</f>
        <v/>
      </c>
      <c r="M137" s="4">
        <f>IF(A137="","",IF(B137="1","Creator outreach and seeding; hire partnerships",IF(B137="2","Own short video + paid; hire shoot/edit + media buyer",IF(B137="3","Live selling, private traffic (community), brand; multi-channel",IF(B137="4","(aiOS addition) Owned audience: community, direct list, repeat purchase","")))))</f>
        <v/>
      </c>
      <c r="O137" s="4">
        <f>IF(A137="","",IF(N137="1","Prove scripts + sampling; don't chase ROI",IF(N137="2","Build a creator pool; test by niche/audience/deal",IF(N137="3","Rates rising: judge by ROI + retention",IF(N137="4","Long-term partners as local distributors","")))))</f>
        <v/>
      </c>
    </row>
    <row r="138">
      <c r="J138" s="4">
        <f>IF(A138="","",IF(I138="Content-commerce veteran","Mature content markets (CC: US + Southeast Asia)",IF(I138="Marketplace-only seller","US + newly opened markets (crowded mature markets punish beginners)",IF(I138="Marketplace-validated products","US + Southeast Asia: open a new channel on proven products",""))))</f>
        <v/>
      </c>
      <c r="K138" s="4">
        <f>IF(A138="","",ROUND((C138+D138+2*F138+H138)-(E138+G138)/2,1))</f>
        <v/>
      </c>
      <c r="L138" s="4">
        <f>IF(A138="","",IF(H138=0,"Rate supply fit",IF(H138&lt;3,"Fix supply first - don't enter yet","OK")))</f>
        <v/>
      </c>
      <c r="M138" s="4">
        <f>IF(A138="","",IF(B138="1","Creator outreach and seeding; hire partnerships",IF(B138="2","Own short video + paid; hire shoot/edit + media buyer",IF(B138="3","Live selling, private traffic (community), brand; multi-channel",IF(B138="4","(aiOS addition) Owned audience: community, direct list, repeat purchase","")))))</f>
        <v/>
      </c>
      <c r="O138" s="4">
        <f>IF(A138="","",IF(N138="1","Prove scripts + sampling; don't chase ROI",IF(N138="2","Build a creator pool; test by niche/audience/deal",IF(N138="3","Rates rising: judge by ROI + retention",IF(N138="4","Long-term partners as local distributors","")))))</f>
        <v/>
      </c>
    </row>
    <row r="139">
      <c r="J139" s="4">
        <f>IF(A139="","",IF(I139="Content-commerce veteran","Mature content markets (CC: US + Southeast Asia)",IF(I139="Marketplace-only seller","US + newly opened markets (crowded mature markets punish beginners)",IF(I139="Marketplace-validated products","US + Southeast Asia: open a new channel on proven products",""))))</f>
        <v/>
      </c>
      <c r="K139" s="4">
        <f>IF(A139="","",ROUND((C139+D139+2*F139+H139)-(E139+G139)/2,1))</f>
        <v/>
      </c>
      <c r="L139" s="4">
        <f>IF(A139="","",IF(H139=0,"Rate supply fit",IF(H139&lt;3,"Fix supply first - don't enter yet","OK")))</f>
        <v/>
      </c>
      <c r="M139" s="4">
        <f>IF(A139="","",IF(B139="1","Creator outreach and seeding; hire partnerships",IF(B139="2","Own short video + paid; hire shoot/edit + media buyer",IF(B139="3","Live selling, private traffic (community), brand; multi-channel",IF(B139="4","(aiOS addition) Owned audience: community, direct list, repeat purchase","")))))</f>
        <v/>
      </c>
      <c r="O139" s="4">
        <f>IF(A139="","",IF(N139="1","Prove scripts + sampling; don't chase ROI",IF(N139="2","Build a creator pool; test by niche/audience/deal",IF(N139="3","Rates rising: judge by ROI + retention",IF(N139="4","Long-term partners as local distributors","")))))</f>
        <v/>
      </c>
    </row>
    <row r="140">
      <c r="J140" s="4">
        <f>IF(A140="","",IF(I140="Content-commerce veteran","Mature content markets (CC: US + Southeast Asia)",IF(I140="Marketplace-only seller","US + newly opened markets (crowded mature markets punish beginners)",IF(I140="Marketplace-validated products","US + Southeast Asia: open a new channel on proven products",""))))</f>
        <v/>
      </c>
      <c r="K140" s="4">
        <f>IF(A140="","",ROUND((C140+D140+2*F140+H140)-(E140+G140)/2,1))</f>
        <v/>
      </c>
      <c r="L140" s="4">
        <f>IF(A140="","",IF(H140=0,"Rate supply fit",IF(H140&lt;3,"Fix supply first - don't enter yet","OK")))</f>
        <v/>
      </c>
      <c r="M140" s="4">
        <f>IF(A140="","",IF(B140="1","Creator outreach and seeding; hire partnerships",IF(B140="2","Own short video + paid; hire shoot/edit + media buyer",IF(B140="3","Live selling, private traffic (community), brand; multi-channel",IF(B140="4","(aiOS addition) Owned audience: community, direct list, repeat purchase","")))))</f>
        <v/>
      </c>
      <c r="O140" s="4">
        <f>IF(A140="","",IF(N140="1","Prove scripts + sampling; don't chase ROI",IF(N140="2","Build a creator pool; test by niche/audience/deal",IF(N140="3","Rates rising: judge by ROI + retention",IF(N140="4","Long-term partners as local distributors","")))))</f>
        <v/>
      </c>
    </row>
    <row r="141">
      <c r="J141" s="4">
        <f>IF(A141="","",IF(I141="Content-commerce veteran","Mature content markets (CC: US + Southeast Asia)",IF(I141="Marketplace-only seller","US + newly opened markets (crowded mature markets punish beginners)",IF(I141="Marketplace-validated products","US + Southeast Asia: open a new channel on proven products",""))))</f>
        <v/>
      </c>
      <c r="K141" s="4">
        <f>IF(A141="","",ROUND((C141+D141+2*F141+H141)-(E141+G141)/2,1))</f>
        <v/>
      </c>
      <c r="L141" s="4">
        <f>IF(A141="","",IF(H141=0,"Rate supply fit",IF(H141&lt;3,"Fix supply first - don't enter yet","OK")))</f>
        <v/>
      </c>
      <c r="M141" s="4">
        <f>IF(A141="","",IF(B141="1","Creator outreach and seeding; hire partnerships",IF(B141="2","Own short video + paid; hire shoot/edit + media buyer",IF(B141="3","Live selling, private traffic (community), brand; multi-channel",IF(B141="4","(aiOS addition) Owned audience: community, direct list, repeat purchase","")))))</f>
        <v/>
      </c>
      <c r="O141" s="4">
        <f>IF(A141="","",IF(N141="1","Prove scripts + sampling; don't chase ROI",IF(N141="2","Build a creator pool; test by niche/audience/deal",IF(N141="3","Rates rising: judge by ROI + retention",IF(N141="4","Long-term partners as local distributors","")))))</f>
        <v/>
      </c>
    </row>
    <row r="142">
      <c r="J142" s="4">
        <f>IF(A142="","",IF(I142="Content-commerce veteran","Mature content markets (CC: US + Southeast Asia)",IF(I142="Marketplace-only seller","US + newly opened markets (crowded mature markets punish beginners)",IF(I142="Marketplace-validated products","US + Southeast Asia: open a new channel on proven products",""))))</f>
        <v/>
      </c>
      <c r="K142" s="4">
        <f>IF(A142="","",ROUND((C142+D142+2*F142+H142)-(E142+G142)/2,1))</f>
        <v/>
      </c>
      <c r="L142" s="4">
        <f>IF(A142="","",IF(H142=0,"Rate supply fit",IF(H142&lt;3,"Fix supply first - don't enter yet","OK")))</f>
        <v/>
      </c>
      <c r="M142" s="4">
        <f>IF(A142="","",IF(B142="1","Creator outreach and seeding; hire partnerships",IF(B142="2","Own short video + paid; hire shoot/edit + media buyer",IF(B142="3","Live selling, private traffic (community), brand; multi-channel",IF(B142="4","(aiOS addition) Owned audience: community, direct list, repeat purchase","")))))</f>
        <v/>
      </c>
      <c r="O142" s="4">
        <f>IF(A142="","",IF(N142="1","Prove scripts + sampling; don't chase ROI",IF(N142="2","Build a creator pool; test by niche/audience/deal",IF(N142="3","Rates rising: judge by ROI + retention",IF(N142="4","Long-term partners as local distributors","")))))</f>
        <v/>
      </c>
    </row>
    <row r="143">
      <c r="J143" s="4">
        <f>IF(A143="","",IF(I143="Content-commerce veteran","Mature content markets (CC: US + Southeast Asia)",IF(I143="Marketplace-only seller","US + newly opened markets (crowded mature markets punish beginners)",IF(I143="Marketplace-validated products","US + Southeast Asia: open a new channel on proven products",""))))</f>
        <v/>
      </c>
      <c r="K143" s="4">
        <f>IF(A143="","",ROUND((C143+D143+2*F143+H143)-(E143+G143)/2,1))</f>
        <v/>
      </c>
      <c r="L143" s="4">
        <f>IF(A143="","",IF(H143=0,"Rate supply fit",IF(H143&lt;3,"Fix supply first - don't enter yet","OK")))</f>
        <v/>
      </c>
      <c r="M143" s="4">
        <f>IF(A143="","",IF(B143="1","Creator outreach and seeding; hire partnerships",IF(B143="2","Own short video + paid; hire shoot/edit + media buyer",IF(B143="3","Live selling, private traffic (community), brand; multi-channel",IF(B143="4","(aiOS addition) Owned audience: community, direct list, repeat purchase","")))))</f>
        <v/>
      </c>
      <c r="O143" s="4">
        <f>IF(A143="","",IF(N143="1","Prove scripts + sampling; don't chase ROI",IF(N143="2","Build a creator pool; test by niche/audience/deal",IF(N143="3","Rates rising: judge by ROI + retention",IF(N143="4","Long-term partners as local distributors","")))))</f>
        <v/>
      </c>
    </row>
    <row r="144">
      <c r="J144" s="4">
        <f>IF(A144="","",IF(I144="Content-commerce veteran","Mature content markets (CC: US + Southeast Asia)",IF(I144="Marketplace-only seller","US + newly opened markets (crowded mature markets punish beginners)",IF(I144="Marketplace-validated products","US + Southeast Asia: open a new channel on proven products",""))))</f>
        <v/>
      </c>
      <c r="K144" s="4">
        <f>IF(A144="","",ROUND((C144+D144+2*F144+H144)-(E144+G144)/2,1))</f>
        <v/>
      </c>
      <c r="L144" s="4">
        <f>IF(A144="","",IF(H144=0,"Rate supply fit",IF(H144&lt;3,"Fix supply first - don't enter yet","OK")))</f>
        <v/>
      </c>
      <c r="M144" s="4">
        <f>IF(A144="","",IF(B144="1","Creator outreach and seeding; hire partnerships",IF(B144="2","Own short video + paid; hire shoot/edit + media buyer",IF(B144="3","Live selling, private traffic (community), brand; multi-channel",IF(B144="4","(aiOS addition) Owned audience: community, direct list, repeat purchase","")))))</f>
        <v/>
      </c>
      <c r="O144" s="4">
        <f>IF(A144="","",IF(N144="1","Prove scripts + sampling; don't chase ROI",IF(N144="2","Build a creator pool; test by niche/audience/deal",IF(N144="3","Rates rising: judge by ROI + retention",IF(N144="4","Long-term partners as local distributors","")))))</f>
        <v/>
      </c>
    </row>
    <row r="145">
      <c r="J145" s="4">
        <f>IF(A145="","",IF(I145="Content-commerce veteran","Mature content markets (CC: US + Southeast Asia)",IF(I145="Marketplace-only seller","US + newly opened markets (crowded mature markets punish beginners)",IF(I145="Marketplace-validated products","US + Southeast Asia: open a new channel on proven products",""))))</f>
        <v/>
      </c>
      <c r="K145" s="4">
        <f>IF(A145="","",ROUND((C145+D145+2*F145+H145)-(E145+G145)/2,1))</f>
        <v/>
      </c>
      <c r="L145" s="4">
        <f>IF(A145="","",IF(H145=0,"Rate supply fit",IF(H145&lt;3,"Fix supply first - don't enter yet","OK")))</f>
        <v/>
      </c>
      <c r="M145" s="4">
        <f>IF(A145="","",IF(B145="1","Creator outreach and seeding; hire partnerships",IF(B145="2","Own short video + paid; hire shoot/edit + media buyer",IF(B145="3","Live selling, private traffic (community), brand; multi-channel",IF(B145="4","(aiOS addition) Owned audience: community, direct list, repeat purchase","")))))</f>
        <v/>
      </c>
      <c r="O145" s="4">
        <f>IF(A145="","",IF(N145="1","Prove scripts + sampling; don't chase ROI",IF(N145="2","Build a creator pool; test by niche/audience/deal",IF(N145="3","Rates rising: judge by ROI + retention",IF(N145="4","Long-term partners as local distributors","")))))</f>
        <v/>
      </c>
    </row>
    <row r="146">
      <c r="J146" s="4">
        <f>IF(A146="","",IF(I146="Content-commerce veteran","Mature content markets (CC: US + Southeast Asia)",IF(I146="Marketplace-only seller","US + newly opened markets (crowded mature markets punish beginners)",IF(I146="Marketplace-validated products","US + Southeast Asia: open a new channel on proven products",""))))</f>
        <v/>
      </c>
      <c r="K146" s="4">
        <f>IF(A146="","",ROUND((C146+D146+2*F146+H146)-(E146+G146)/2,1))</f>
        <v/>
      </c>
      <c r="L146" s="4">
        <f>IF(A146="","",IF(H146=0,"Rate supply fit",IF(H146&lt;3,"Fix supply first - don't enter yet","OK")))</f>
        <v/>
      </c>
      <c r="M146" s="4">
        <f>IF(A146="","",IF(B146="1","Creator outreach and seeding; hire partnerships",IF(B146="2","Own short video + paid; hire shoot/edit + media buyer",IF(B146="3","Live selling, private traffic (community), brand; multi-channel",IF(B146="4","(aiOS addition) Owned audience: community, direct list, repeat purchase","")))))</f>
        <v/>
      </c>
      <c r="O146" s="4">
        <f>IF(A146="","",IF(N146="1","Prove scripts + sampling; don't chase ROI",IF(N146="2","Build a creator pool; test by niche/audience/deal",IF(N146="3","Rates rising: judge by ROI + retention",IF(N146="4","Long-term partners as local distributors","")))))</f>
        <v/>
      </c>
    </row>
    <row r="147">
      <c r="J147" s="4">
        <f>IF(A147="","",IF(I147="Content-commerce veteran","Mature content markets (CC: US + Southeast Asia)",IF(I147="Marketplace-only seller","US + newly opened markets (crowded mature markets punish beginners)",IF(I147="Marketplace-validated products","US + Southeast Asia: open a new channel on proven products",""))))</f>
        <v/>
      </c>
      <c r="K147" s="4">
        <f>IF(A147="","",ROUND((C147+D147+2*F147+H147)-(E147+G147)/2,1))</f>
        <v/>
      </c>
      <c r="L147" s="4">
        <f>IF(A147="","",IF(H147=0,"Rate supply fit",IF(H147&lt;3,"Fix supply first - don't enter yet","OK")))</f>
        <v/>
      </c>
      <c r="M147" s="4">
        <f>IF(A147="","",IF(B147="1","Creator outreach and seeding; hire partnerships",IF(B147="2","Own short video + paid; hire shoot/edit + media buyer",IF(B147="3","Live selling, private traffic (community), brand; multi-channel",IF(B147="4","(aiOS addition) Owned audience: community, direct list, repeat purchase","")))))</f>
        <v/>
      </c>
      <c r="O147" s="4">
        <f>IF(A147="","",IF(N147="1","Prove scripts + sampling; don't chase ROI",IF(N147="2","Build a creator pool; test by niche/audience/deal",IF(N147="3","Rates rising: judge by ROI + retention",IF(N147="4","Long-term partners as local distributors","")))))</f>
        <v/>
      </c>
    </row>
    <row r="148">
      <c r="J148" s="4">
        <f>IF(A148="","",IF(I148="Content-commerce veteran","Mature content markets (CC: US + Southeast Asia)",IF(I148="Marketplace-only seller","US + newly opened markets (crowded mature markets punish beginners)",IF(I148="Marketplace-validated products","US + Southeast Asia: open a new channel on proven products",""))))</f>
        <v/>
      </c>
      <c r="K148" s="4">
        <f>IF(A148="","",ROUND((C148+D148+2*F148+H148)-(E148+G148)/2,1))</f>
        <v/>
      </c>
      <c r="L148" s="4">
        <f>IF(A148="","",IF(H148=0,"Rate supply fit",IF(H148&lt;3,"Fix supply first - don't enter yet","OK")))</f>
        <v/>
      </c>
      <c r="M148" s="4">
        <f>IF(A148="","",IF(B148="1","Creator outreach and seeding; hire partnerships",IF(B148="2","Own short video + paid; hire shoot/edit + media buyer",IF(B148="3","Live selling, private traffic (community), brand; multi-channel",IF(B148="4","(aiOS addition) Owned audience: community, direct list, repeat purchase","")))))</f>
        <v/>
      </c>
      <c r="O148" s="4">
        <f>IF(A148="","",IF(N148="1","Prove scripts + sampling; don't chase ROI",IF(N148="2","Build a creator pool; test by niche/audience/deal",IF(N148="3","Rates rising: judge by ROI + retention",IF(N148="4","Long-term partners as local distributors","")))))</f>
        <v/>
      </c>
    </row>
    <row r="149">
      <c r="J149" s="4">
        <f>IF(A149="","",IF(I149="Content-commerce veteran","Mature content markets (CC: US + Southeast Asia)",IF(I149="Marketplace-only seller","US + newly opened markets (crowded mature markets punish beginners)",IF(I149="Marketplace-validated products","US + Southeast Asia: open a new channel on proven products",""))))</f>
        <v/>
      </c>
      <c r="K149" s="4">
        <f>IF(A149="","",ROUND((C149+D149+2*F149+H149)-(E149+G149)/2,1))</f>
        <v/>
      </c>
      <c r="L149" s="4">
        <f>IF(A149="","",IF(H149=0,"Rate supply fit",IF(H149&lt;3,"Fix supply first - don't enter yet","OK")))</f>
        <v/>
      </c>
      <c r="M149" s="4">
        <f>IF(A149="","",IF(B149="1","Creator outreach and seeding; hire partnerships",IF(B149="2","Own short video + paid; hire shoot/edit + media buyer",IF(B149="3","Live selling, private traffic (community), brand; multi-channel",IF(B149="4","(aiOS addition) Owned audience: community, direct list, repeat purchase","")))))</f>
        <v/>
      </c>
      <c r="O149" s="4">
        <f>IF(A149="","",IF(N149="1","Prove scripts + sampling; don't chase ROI",IF(N149="2","Build a creator pool; test by niche/audience/deal",IF(N149="3","Rates rising: judge by ROI + retention",IF(N149="4","Long-term partners as local distributors","")))))</f>
        <v/>
      </c>
    </row>
    <row r="150">
      <c r="J150" s="4">
        <f>IF(A150="","",IF(I150="Content-commerce veteran","Mature content markets (CC: US + Southeast Asia)",IF(I150="Marketplace-only seller","US + newly opened markets (crowded mature markets punish beginners)",IF(I150="Marketplace-validated products","US + Southeast Asia: open a new channel on proven products",""))))</f>
        <v/>
      </c>
      <c r="K150" s="4">
        <f>IF(A150="","",ROUND((C150+D150+2*F150+H150)-(E150+G150)/2,1))</f>
        <v/>
      </c>
      <c r="L150" s="4">
        <f>IF(A150="","",IF(H150=0,"Rate supply fit",IF(H150&lt;3,"Fix supply first - don't enter yet","OK")))</f>
        <v/>
      </c>
      <c r="M150" s="4">
        <f>IF(A150="","",IF(B150="1","Creator outreach and seeding; hire partnerships",IF(B150="2","Own short video + paid; hire shoot/edit + media buyer",IF(B150="3","Live selling, private traffic (community), brand; multi-channel",IF(B150="4","(aiOS addition) Owned audience: community, direct list, repeat purchase","")))))</f>
        <v/>
      </c>
      <c r="O150" s="4">
        <f>IF(A150="","",IF(N150="1","Prove scripts + sampling; don't chase ROI",IF(N150="2","Build a creator pool; test by niche/audience/deal",IF(N150="3","Rates rising: judge by ROI + retention",IF(N150="4","Long-term partners as local distributors","")))))</f>
        <v/>
      </c>
    </row>
    <row r="151">
      <c r="J151" s="4">
        <f>IF(A151="","",IF(I151="Content-commerce veteran","Mature content markets (CC: US + Southeast Asia)",IF(I151="Marketplace-only seller","US + newly opened markets (crowded mature markets punish beginners)",IF(I151="Marketplace-validated products","US + Southeast Asia: open a new channel on proven products",""))))</f>
        <v/>
      </c>
      <c r="K151" s="4">
        <f>IF(A151="","",ROUND((C151+D151+2*F151+H151)-(E151+G151)/2,1))</f>
        <v/>
      </c>
      <c r="L151" s="4">
        <f>IF(A151="","",IF(H151=0,"Rate supply fit",IF(H151&lt;3,"Fix supply first - don't enter yet","OK")))</f>
        <v/>
      </c>
      <c r="M151" s="4">
        <f>IF(A151="","",IF(B151="1","Creator outreach and seeding; hire partnerships",IF(B151="2","Own short video + paid; hire shoot/edit + media buyer",IF(B151="3","Live selling, private traffic (community), brand; multi-channel",IF(B151="4","(aiOS addition) Owned audience: community, direct list, repeat purchase","")))))</f>
        <v/>
      </c>
      <c r="O151" s="4">
        <f>IF(A151="","",IF(N151="1","Prove scripts + sampling; don't chase ROI",IF(N151="2","Build a creator pool; test by niche/audience/deal",IF(N151="3","Rates rising: judge by ROI + retention",IF(N151="4","Long-term partners as local distributors","")))))</f>
        <v/>
      </c>
    </row>
    <row r="152">
      <c r="J152" s="4">
        <f>IF(A152="","",IF(I152="Content-commerce veteran","Mature content markets (CC: US + Southeast Asia)",IF(I152="Marketplace-only seller","US + newly opened markets (crowded mature markets punish beginners)",IF(I152="Marketplace-validated products","US + Southeast Asia: open a new channel on proven products",""))))</f>
        <v/>
      </c>
      <c r="K152" s="4">
        <f>IF(A152="","",ROUND((C152+D152+2*F152+H152)-(E152+G152)/2,1))</f>
        <v/>
      </c>
      <c r="L152" s="4">
        <f>IF(A152="","",IF(H152=0,"Rate supply fit",IF(H152&lt;3,"Fix supply first - don't enter yet","OK")))</f>
        <v/>
      </c>
      <c r="M152" s="4">
        <f>IF(A152="","",IF(B152="1","Creator outreach and seeding; hire partnerships",IF(B152="2","Own short video + paid; hire shoot/edit + media buyer",IF(B152="3","Live selling, private traffic (community), brand; multi-channel",IF(B152="4","(aiOS addition) Owned audience: community, direct list, repeat purchase","")))))</f>
        <v/>
      </c>
      <c r="O152" s="4">
        <f>IF(A152="","",IF(N152="1","Prove scripts + sampling; don't chase ROI",IF(N152="2","Build a creator pool; test by niche/audience/deal",IF(N152="3","Rates rising: judge by ROI + retention",IF(N152="4","Long-term partners as local distributors","")))))</f>
        <v/>
      </c>
    </row>
    <row r="153">
      <c r="J153" s="4">
        <f>IF(A153="","",IF(I153="Content-commerce veteran","Mature content markets (CC: US + Southeast Asia)",IF(I153="Marketplace-only seller","US + newly opened markets (crowded mature markets punish beginners)",IF(I153="Marketplace-validated products","US + Southeast Asia: open a new channel on proven products",""))))</f>
        <v/>
      </c>
      <c r="K153" s="4">
        <f>IF(A153="","",ROUND((C153+D153+2*F153+H153)-(E153+G153)/2,1))</f>
        <v/>
      </c>
      <c r="L153" s="4">
        <f>IF(A153="","",IF(H153=0,"Rate supply fit",IF(H153&lt;3,"Fix supply first - don't enter yet","OK")))</f>
        <v/>
      </c>
      <c r="M153" s="4">
        <f>IF(A153="","",IF(B153="1","Creator outreach and seeding; hire partnerships",IF(B153="2","Own short video + paid; hire shoot/edit + media buyer",IF(B153="3","Live selling, private traffic (community), brand; multi-channel",IF(B153="4","(aiOS addition) Owned audience: community, direct list, repeat purchase","")))))</f>
        <v/>
      </c>
      <c r="O153" s="4">
        <f>IF(A153="","",IF(N153="1","Prove scripts + sampling; don't chase ROI",IF(N153="2","Build a creator pool; test by niche/audience/deal",IF(N153="3","Rates rising: judge by ROI + retention",IF(N153="4","Long-term partners as local distributors","")))))</f>
        <v/>
      </c>
    </row>
    <row r="154">
      <c r="J154" s="4">
        <f>IF(A154="","",IF(I154="Content-commerce veteran","Mature content markets (CC: US + Southeast Asia)",IF(I154="Marketplace-only seller","US + newly opened markets (crowded mature markets punish beginners)",IF(I154="Marketplace-validated products","US + Southeast Asia: open a new channel on proven products",""))))</f>
        <v/>
      </c>
      <c r="K154" s="4">
        <f>IF(A154="","",ROUND((C154+D154+2*F154+H154)-(E154+G154)/2,1))</f>
        <v/>
      </c>
      <c r="L154" s="4">
        <f>IF(A154="","",IF(H154=0,"Rate supply fit",IF(H154&lt;3,"Fix supply first - don't enter yet","OK")))</f>
        <v/>
      </c>
      <c r="M154" s="4">
        <f>IF(A154="","",IF(B154="1","Creator outreach and seeding; hire partnerships",IF(B154="2","Own short video + paid; hire shoot/edit + media buyer",IF(B154="3","Live selling, private traffic (community), brand; multi-channel",IF(B154="4","(aiOS addition) Owned audience: community, direct list, repeat purchase","")))))</f>
        <v/>
      </c>
      <c r="O154" s="4">
        <f>IF(A154="","",IF(N154="1","Prove scripts + sampling; don't chase ROI",IF(N154="2","Build a creator pool; test by niche/audience/deal",IF(N154="3","Rates rising: judge by ROI + retention",IF(N154="4","Long-term partners as local distributors","")))))</f>
        <v/>
      </c>
    </row>
    <row r="155">
      <c r="J155" s="4">
        <f>IF(A155="","",IF(I155="Content-commerce veteran","Mature content markets (CC: US + Southeast Asia)",IF(I155="Marketplace-only seller","US + newly opened markets (crowded mature markets punish beginners)",IF(I155="Marketplace-validated products","US + Southeast Asia: open a new channel on proven products",""))))</f>
        <v/>
      </c>
      <c r="K155" s="4">
        <f>IF(A155="","",ROUND((C155+D155+2*F155+H155)-(E155+G155)/2,1))</f>
        <v/>
      </c>
      <c r="L155" s="4">
        <f>IF(A155="","",IF(H155=0,"Rate supply fit",IF(H155&lt;3,"Fix supply first - don't enter yet","OK")))</f>
        <v/>
      </c>
      <c r="M155" s="4">
        <f>IF(A155="","",IF(B155="1","Creator outreach and seeding; hire partnerships",IF(B155="2","Own short video + paid; hire shoot/edit + media buyer",IF(B155="3","Live selling, private traffic (community), brand; multi-channel",IF(B155="4","(aiOS addition) Owned audience: community, direct list, repeat purchase","")))))</f>
        <v/>
      </c>
      <c r="O155" s="4">
        <f>IF(A155="","",IF(N155="1","Prove scripts + sampling; don't chase ROI",IF(N155="2","Build a creator pool; test by niche/audience/deal",IF(N155="3","Rates rising: judge by ROI + retention",IF(N155="4","Long-term partners as local distributors","")))))</f>
        <v/>
      </c>
    </row>
    <row r="156">
      <c r="J156" s="4">
        <f>IF(A156="","",IF(I156="Content-commerce veteran","Mature content markets (CC: US + Southeast Asia)",IF(I156="Marketplace-only seller","US + newly opened markets (crowded mature markets punish beginners)",IF(I156="Marketplace-validated products","US + Southeast Asia: open a new channel on proven products",""))))</f>
        <v/>
      </c>
      <c r="K156" s="4">
        <f>IF(A156="","",ROUND((C156+D156+2*F156+H156)-(E156+G156)/2,1))</f>
        <v/>
      </c>
      <c r="L156" s="4">
        <f>IF(A156="","",IF(H156=0,"Rate supply fit",IF(H156&lt;3,"Fix supply first - don't enter yet","OK")))</f>
        <v/>
      </c>
      <c r="M156" s="4">
        <f>IF(A156="","",IF(B156="1","Creator outreach and seeding; hire partnerships",IF(B156="2","Own short video + paid; hire shoot/edit + media buyer",IF(B156="3","Live selling, private traffic (community), brand; multi-channel",IF(B156="4","(aiOS addition) Owned audience: community, direct list, repeat purchase","")))))</f>
        <v/>
      </c>
      <c r="O156" s="4">
        <f>IF(A156="","",IF(N156="1","Prove scripts + sampling; don't chase ROI",IF(N156="2","Build a creator pool; test by niche/audience/deal",IF(N156="3","Rates rising: judge by ROI + retention",IF(N156="4","Long-term partners as local distributors","")))))</f>
        <v/>
      </c>
    </row>
    <row r="157">
      <c r="J157" s="4">
        <f>IF(A157="","",IF(I157="Content-commerce veteran","Mature content markets (CC: US + Southeast Asia)",IF(I157="Marketplace-only seller","US + newly opened markets (crowded mature markets punish beginners)",IF(I157="Marketplace-validated products","US + Southeast Asia: open a new channel on proven products",""))))</f>
        <v/>
      </c>
      <c r="K157" s="4">
        <f>IF(A157="","",ROUND((C157+D157+2*F157+H157)-(E157+G157)/2,1))</f>
        <v/>
      </c>
      <c r="L157" s="4">
        <f>IF(A157="","",IF(H157=0,"Rate supply fit",IF(H157&lt;3,"Fix supply first - don't enter yet","OK")))</f>
        <v/>
      </c>
      <c r="M157" s="4">
        <f>IF(A157="","",IF(B157="1","Creator outreach and seeding; hire partnerships",IF(B157="2","Own short video + paid; hire shoot/edit + media buyer",IF(B157="3","Live selling, private traffic (community), brand; multi-channel",IF(B157="4","(aiOS addition) Owned audience: community, direct list, repeat purchase","")))))</f>
        <v/>
      </c>
      <c r="O157" s="4">
        <f>IF(A157="","",IF(N157="1","Prove scripts + sampling; don't chase ROI",IF(N157="2","Build a creator pool; test by niche/audience/deal",IF(N157="3","Rates rising: judge by ROI + retention",IF(N157="4","Long-term partners as local distributors","")))))</f>
        <v/>
      </c>
    </row>
    <row r="158">
      <c r="J158" s="4">
        <f>IF(A158="","",IF(I158="Content-commerce veteran","Mature content markets (CC: US + Southeast Asia)",IF(I158="Marketplace-only seller","US + newly opened markets (crowded mature markets punish beginners)",IF(I158="Marketplace-validated products","US + Southeast Asia: open a new channel on proven products",""))))</f>
        <v/>
      </c>
      <c r="K158" s="4">
        <f>IF(A158="","",ROUND((C158+D158+2*F158+H158)-(E158+G158)/2,1))</f>
        <v/>
      </c>
      <c r="L158" s="4">
        <f>IF(A158="","",IF(H158=0,"Rate supply fit",IF(H158&lt;3,"Fix supply first - don't enter yet","OK")))</f>
        <v/>
      </c>
      <c r="M158" s="4">
        <f>IF(A158="","",IF(B158="1","Creator outreach and seeding; hire partnerships",IF(B158="2","Own short video + paid; hire shoot/edit + media buyer",IF(B158="3","Live selling, private traffic (community), brand; multi-channel",IF(B158="4","(aiOS addition) Owned audience: community, direct list, repeat purchase","")))))</f>
        <v/>
      </c>
      <c r="O158" s="4">
        <f>IF(A158="","",IF(N158="1","Prove scripts + sampling; don't chase ROI",IF(N158="2","Build a creator pool; test by niche/audience/deal",IF(N158="3","Rates rising: judge by ROI + retention",IF(N158="4","Long-term partners as local distributors","")))))</f>
        <v/>
      </c>
    </row>
    <row r="159">
      <c r="J159" s="4">
        <f>IF(A159="","",IF(I159="Content-commerce veteran","Mature content markets (CC: US + Southeast Asia)",IF(I159="Marketplace-only seller","US + newly opened markets (crowded mature markets punish beginners)",IF(I159="Marketplace-validated products","US + Southeast Asia: open a new channel on proven products",""))))</f>
        <v/>
      </c>
      <c r="K159" s="4">
        <f>IF(A159="","",ROUND((C159+D159+2*F159+H159)-(E159+G159)/2,1))</f>
        <v/>
      </c>
      <c r="L159" s="4">
        <f>IF(A159="","",IF(H159=0,"Rate supply fit",IF(H159&lt;3,"Fix supply first - don't enter yet","OK")))</f>
        <v/>
      </c>
      <c r="M159" s="4">
        <f>IF(A159="","",IF(B159="1","Creator outreach and seeding; hire partnerships",IF(B159="2","Own short video + paid; hire shoot/edit + media buyer",IF(B159="3","Live selling, private traffic (community), brand; multi-channel",IF(B159="4","(aiOS addition) Owned audience: community, direct list, repeat purchase","")))))</f>
        <v/>
      </c>
      <c r="O159" s="4">
        <f>IF(A159="","",IF(N159="1","Prove scripts + sampling; don't chase ROI",IF(N159="2","Build a creator pool; test by niche/audience/deal",IF(N159="3","Rates rising: judge by ROI + retention",IF(N159="4","Long-term partners as local distributors","")))))</f>
        <v/>
      </c>
    </row>
    <row r="160">
      <c r="J160" s="4">
        <f>IF(A160="","",IF(I160="Content-commerce veteran","Mature content markets (CC: US + Southeast Asia)",IF(I160="Marketplace-only seller","US + newly opened markets (crowded mature markets punish beginners)",IF(I160="Marketplace-validated products","US + Southeast Asia: open a new channel on proven products",""))))</f>
        <v/>
      </c>
      <c r="K160" s="4">
        <f>IF(A160="","",ROUND((C160+D160+2*F160+H160)-(E160+G160)/2,1))</f>
        <v/>
      </c>
      <c r="L160" s="4">
        <f>IF(A160="","",IF(H160=0,"Rate supply fit",IF(H160&lt;3,"Fix supply first - don't enter yet","OK")))</f>
        <v/>
      </c>
      <c r="M160" s="4">
        <f>IF(A160="","",IF(B160="1","Creator outreach and seeding; hire partnerships",IF(B160="2","Own short video + paid; hire shoot/edit + media buyer",IF(B160="3","Live selling, private traffic (community), brand; multi-channel",IF(B160="4","(aiOS addition) Owned audience: community, direct list, repeat purchase","")))))</f>
        <v/>
      </c>
      <c r="O160" s="4">
        <f>IF(A160="","",IF(N160="1","Prove scripts + sampling; don't chase ROI",IF(N160="2","Build a creator pool; test by niche/audience/deal",IF(N160="3","Rates rising: judge by ROI + retention",IF(N160="4","Long-term partners as local distributors","")))))</f>
        <v/>
      </c>
    </row>
    <row r="161">
      <c r="J161" s="4">
        <f>IF(A161="","",IF(I161="Content-commerce veteran","Mature content markets (CC: US + Southeast Asia)",IF(I161="Marketplace-only seller","US + newly opened markets (crowded mature markets punish beginners)",IF(I161="Marketplace-validated products","US + Southeast Asia: open a new channel on proven products",""))))</f>
        <v/>
      </c>
      <c r="K161" s="4">
        <f>IF(A161="","",ROUND((C161+D161+2*F161+H161)-(E161+G161)/2,1))</f>
        <v/>
      </c>
      <c r="L161" s="4">
        <f>IF(A161="","",IF(H161=0,"Rate supply fit",IF(H161&lt;3,"Fix supply first - don't enter yet","OK")))</f>
        <v/>
      </c>
      <c r="M161" s="4">
        <f>IF(A161="","",IF(B161="1","Creator outreach and seeding; hire partnerships",IF(B161="2","Own short video + paid; hire shoot/edit + media buyer",IF(B161="3","Live selling, private traffic (community), brand; multi-channel",IF(B161="4","(aiOS addition) Owned audience: community, direct list, repeat purchase","")))))</f>
        <v/>
      </c>
      <c r="O161" s="4">
        <f>IF(A161="","",IF(N161="1","Prove scripts + sampling; don't chase ROI",IF(N161="2","Build a creator pool; test by niche/audience/deal",IF(N161="3","Rates rising: judge by ROI + retention",IF(N161="4","Long-term partners as local distributors","")))))</f>
        <v/>
      </c>
    </row>
    <row r="162">
      <c r="J162" s="4">
        <f>IF(A162="","",IF(I162="Content-commerce veteran","Mature content markets (CC: US + Southeast Asia)",IF(I162="Marketplace-only seller","US + newly opened markets (crowded mature markets punish beginners)",IF(I162="Marketplace-validated products","US + Southeast Asia: open a new channel on proven products",""))))</f>
        <v/>
      </c>
      <c r="K162" s="4">
        <f>IF(A162="","",ROUND((C162+D162+2*F162+H162)-(E162+G162)/2,1))</f>
        <v/>
      </c>
      <c r="L162" s="4">
        <f>IF(A162="","",IF(H162=0,"Rate supply fit",IF(H162&lt;3,"Fix supply first - don't enter yet","OK")))</f>
        <v/>
      </c>
      <c r="M162" s="4">
        <f>IF(A162="","",IF(B162="1","Creator outreach and seeding; hire partnerships",IF(B162="2","Own short video + paid; hire shoot/edit + media buyer",IF(B162="3","Live selling, private traffic (community), brand; multi-channel",IF(B162="4","(aiOS addition) Owned audience: community, direct list, repeat purchase","")))))</f>
        <v/>
      </c>
      <c r="O162" s="4">
        <f>IF(A162="","",IF(N162="1","Prove scripts + sampling; don't chase ROI",IF(N162="2","Build a creator pool; test by niche/audience/deal",IF(N162="3","Rates rising: judge by ROI + retention",IF(N162="4","Long-term partners as local distributors","")))))</f>
        <v/>
      </c>
    </row>
    <row r="163">
      <c r="J163" s="4">
        <f>IF(A163="","",IF(I163="Content-commerce veteran","Mature content markets (CC: US + Southeast Asia)",IF(I163="Marketplace-only seller","US + newly opened markets (crowded mature markets punish beginners)",IF(I163="Marketplace-validated products","US + Southeast Asia: open a new channel on proven products",""))))</f>
        <v/>
      </c>
      <c r="K163" s="4">
        <f>IF(A163="","",ROUND((C163+D163+2*F163+H163)-(E163+G163)/2,1))</f>
        <v/>
      </c>
      <c r="L163" s="4">
        <f>IF(A163="","",IF(H163=0,"Rate supply fit",IF(H163&lt;3,"Fix supply first - don't enter yet","OK")))</f>
        <v/>
      </c>
      <c r="M163" s="4">
        <f>IF(A163="","",IF(B163="1","Creator outreach and seeding; hire partnerships",IF(B163="2","Own short video + paid; hire shoot/edit + media buyer",IF(B163="3","Live selling, private traffic (community), brand; multi-channel",IF(B163="4","(aiOS addition) Owned audience: community, direct list, repeat purchase","")))))</f>
        <v/>
      </c>
      <c r="O163" s="4">
        <f>IF(A163="","",IF(N163="1","Prove scripts + sampling; don't chase ROI",IF(N163="2","Build a creator pool; test by niche/audience/deal",IF(N163="3","Rates rising: judge by ROI + retention",IF(N163="4","Long-term partners as local distributors","")))))</f>
        <v/>
      </c>
    </row>
    <row r="164">
      <c r="J164" s="4">
        <f>IF(A164="","",IF(I164="Content-commerce veteran","Mature content markets (CC: US + Southeast Asia)",IF(I164="Marketplace-only seller","US + newly opened markets (crowded mature markets punish beginners)",IF(I164="Marketplace-validated products","US + Southeast Asia: open a new channel on proven products",""))))</f>
        <v/>
      </c>
      <c r="K164" s="4">
        <f>IF(A164="","",ROUND((C164+D164+2*F164+H164)-(E164+G164)/2,1))</f>
        <v/>
      </c>
      <c r="L164" s="4">
        <f>IF(A164="","",IF(H164=0,"Rate supply fit",IF(H164&lt;3,"Fix supply first - don't enter yet","OK")))</f>
        <v/>
      </c>
      <c r="M164" s="4">
        <f>IF(A164="","",IF(B164="1","Creator outreach and seeding; hire partnerships",IF(B164="2","Own short video + paid; hire shoot/edit + media buyer",IF(B164="3","Live selling, private traffic (community), brand; multi-channel",IF(B164="4","(aiOS addition) Owned audience: community, direct list, repeat purchase","")))))</f>
        <v/>
      </c>
      <c r="O164" s="4">
        <f>IF(A164="","",IF(N164="1","Prove scripts + sampling; don't chase ROI",IF(N164="2","Build a creator pool; test by niche/audience/deal",IF(N164="3","Rates rising: judge by ROI + retention",IF(N164="4","Long-term partners as local distributors","")))))</f>
        <v/>
      </c>
    </row>
    <row r="165">
      <c r="J165" s="4">
        <f>IF(A165="","",IF(I165="Content-commerce veteran","Mature content markets (CC: US + Southeast Asia)",IF(I165="Marketplace-only seller","US + newly opened markets (crowded mature markets punish beginners)",IF(I165="Marketplace-validated products","US + Southeast Asia: open a new channel on proven products",""))))</f>
        <v/>
      </c>
      <c r="K165" s="4">
        <f>IF(A165="","",ROUND((C165+D165+2*F165+H165)-(E165+G165)/2,1))</f>
        <v/>
      </c>
      <c r="L165" s="4">
        <f>IF(A165="","",IF(H165=0,"Rate supply fit",IF(H165&lt;3,"Fix supply first - don't enter yet","OK")))</f>
        <v/>
      </c>
      <c r="M165" s="4">
        <f>IF(A165="","",IF(B165="1","Creator outreach and seeding; hire partnerships",IF(B165="2","Own short video + paid; hire shoot/edit + media buyer",IF(B165="3","Live selling, private traffic (community), brand; multi-channel",IF(B165="4","(aiOS addition) Owned audience: community, direct list, repeat purchase","")))))</f>
        <v/>
      </c>
      <c r="O165" s="4">
        <f>IF(A165="","",IF(N165="1","Prove scripts + sampling; don't chase ROI",IF(N165="2","Build a creator pool; test by niche/audience/deal",IF(N165="3","Rates rising: judge by ROI + retention",IF(N165="4","Long-term partners as local distributors","")))))</f>
        <v/>
      </c>
    </row>
    <row r="166">
      <c r="J166" s="4">
        <f>IF(A166="","",IF(I166="Content-commerce veteran","Mature content markets (CC: US + Southeast Asia)",IF(I166="Marketplace-only seller","US + newly opened markets (crowded mature markets punish beginners)",IF(I166="Marketplace-validated products","US + Southeast Asia: open a new channel on proven products",""))))</f>
        <v/>
      </c>
      <c r="K166" s="4">
        <f>IF(A166="","",ROUND((C166+D166+2*F166+H166)-(E166+G166)/2,1))</f>
        <v/>
      </c>
      <c r="L166" s="4">
        <f>IF(A166="","",IF(H166=0,"Rate supply fit",IF(H166&lt;3,"Fix supply first - don't enter yet","OK")))</f>
        <v/>
      </c>
      <c r="M166" s="4">
        <f>IF(A166="","",IF(B166="1","Creator outreach and seeding; hire partnerships",IF(B166="2","Own short video + paid; hire shoot/edit + media buyer",IF(B166="3","Live selling, private traffic (community), brand; multi-channel",IF(B166="4","(aiOS addition) Owned audience: community, direct list, repeat purchase","")))))</f>
        <v/>
      </c>
      <c r="O166" s="4">
        <f>IF(A166="","",IF(N166="1","Prove scripts + sampling; don't chase ROI",IF(N166="2","Build a creator pool; test by niche/audience/deal",IF(N166="3","Rates rising: judge by ROI + retention",IF(N166="4","Long-term partners as local distributors","")))))</f>
        <v/>
      </c>
    </row>
    <row r="167">
      <c r="J167" s="4">
        <f>IF(A167="","",IF(I167="Content-commerce veteran","Mature content markets (CC: US + Southeast Asia)",IF(I167="Marketplace-only seller","US + newly opened markets (crowded mature markets punish beginners)",IF(I167="Marketplace-validated products","US + Southeast Asia: open a new channel on proven products",""))))</f>
        <v/>
      </c>
      <c r="K167" s="4">
        <f>IF(A167="","",ROUND((C167+D167+2*F167+H167)-(E167+G167)/2,1))</f>
        <v/>
      </c>
      <c r="L167" s="4">
        <f>IF(A167="","",IF(H167=0,"Rate supply fit",IF(H167&lt;3,"Fix supply first - don't enter yet","OK")))</f>
        <v/>
      </c>
      <c r="M167" s="4">
        <f>IF(A167="","",IF(B167="1","Creator outreach and seeding; hire partnerships",IF(B167="2","Own short video + paid; hire shoot/edit + media buyer",IF(B167="3","Live selling, private traffic (community), brand; multi-channel",IF(B167="4","(aiOS addition) Owned audience: community, direct list, repeat purchase","")))))</f>
        <v/>
      </c>
      <c r="O167" s="4">
        <f>IF(A167="","",IF(N167="1","Prove scripts + sampling; don't chase ROI",IF(N167="2","Build a creator pool; test by niche/audience/deal",IF(N167="3","Rates rising: judge by ROI + retention",IF(N167="4","Long-term partners as local distributors","")))))</f>
        <v/>
      </c>
    </row>
    <row r="168">
      <c r="J168" s="4">
        <f>IF(A168="","",IF(I168="Content-commerce veteran","Mature content markets (CC: US + Southeast Asia)",IF(I168="Marketplace-only seller","US + newly opened markets (crowded mature markets punish beginners)",IF(I168="Marketplace-validated products","US + Southeast Asia: open a new channel on proven products",""))))</f>
        <v/>
      </c>
      <c r="K168" s="4">
        <f>IF(A168="","",ROUND((C168+D168+2*F168+H168)-(E168+G168)/2,1))</f>
        <v/>
      </c>
      <c r="L168" s="4">
        <f>IF(A168="","",IF(H168=0,"Rate supply fit",IF(H168&lt;3,"Fix supply first - don't enter yet","OK")))</f>
        <v/>
      </c>
      <c r="M168" s="4">
        <f>IF(A168="","",IF(B168="1","Creator outreach and seeding; hire partnerships",IF(B168="2","Own short video + paid; hire shoot/edit + media buyer",IF(B168="3","Live selling, private traffic (community), brand; multi-channel",IF(B168="4","(aiOS addition) Owned audience: community, direct list, repeat purchase","")))))</f>
        <v/>
      </c>
      <c r="O168" s="4">
        <f>IF(A168="","",IF(N168="1","Prove scripts + sampling; don't chase ROI",IF(N168="2","Build a creator pool; test by niche/audience/deal",IF(N168="3","Rates rising: judge by ROI + retention",IF(N168="4","Long-term partners as local distributors","")))))</f>
        <v/>
      </c>
    </row>
    <row r="169">
      <c r="J169" s="4">
        <f>IF(A169="","",IF(I169="Content-commerce veteran","Mature content markets (CC: US + Southeast Asia)",IF(I169="Marketplace-only seller","US + newly opened markets (crowded mature markets punish beginners)",IF(I169="Marketplace-validated products","US + Southeast Asia: open a new channel on proven products",""))))</f>
        <v/>
      </c>
      <c r="K169" s="4">
        <f>IF(A169="","",ROUND((C169+D169+2*F169+H169)-(E169+G169)/2,1))</f>
        <v/>
      </c>
      <c r="L169" s="4">
        <f>IF(A169="","",IF(H169=0,"Rate supply fit",IF(H169&lt;3,"Fix supply first - don't enter yet","OK")))</f>
        <v/>
      </c>
      <c r="M169" s="4">
        <f>IF(A169="","",IF(B169="1","Creator outreach and seeding; hire partnerships",IF(B169="2","Own short video + paid; hire shoot/edit + media buyer",IF(B169="3","Live selling, private traffic (community), brand; multi-channel",IF(B169="4","(aiOS addition) Owned audience: community, direct list, repeat purchase","")))))</f>
        <v/>
      </c>
      <c r="O169" s="4">
        <f>IF(A169="","",IF(N169="1","Prove scripts + sampling; don't chase ROI",IF(N169="2","Build a creator pool; test by niche/audience/deal",IF(N169="3","Rates rising: judge by ROI + retention",IF(N169="4","Long-term partners as local distributors","")))))</f>
        <v/>
      </c>
    </row>
    <row r="170">
      <c r="J170" s="4">
        <f>IF(A170="","",IF(I170="Content-commerce veteran","Mature content markets (CC: US + Southeast Asia)",IF(I170="Marketplace-only seller","US + newly opened markets (crowded mature markets punish beginners)",IF(I170="Marketplace-validated products","US + Southeast Asia: open a new channel on proven products",""))))</f>
        <v/>
      </c>
      <c r="K170" s="4">
        <f>IF(A170="","",ROUND((C170+D170+2*F170+H170)-(E170+G170)/2,1))</f>
        <v/>
      </c>
      <c r="L170" s="4">
        <f>IF(A170="","",IF(H170=0,"Rate supply fit",IF(H170&lt;3,"Fix supply first - don't enter yet","OK")))</f>
        <v/>
      </c>
      <c r="M170" s="4">
        <f>IF(A170="","",IF(B170="1","Creator outreach and seeding; hire partnerships",IF(B170="2","Own short video + paid; hire shoot/edit + media buyer",IF(B170="3","Live selling, private traffic (community), brand; multi-channel",IF(B170="4","(aiOS addition) Owned audience: community, direct list, repeat purchase","")))))</f>
        <v/>
      </c>
      <c r="O170" s="4">
        <f>IF(A170="","",IF(N170="1","Prove scripts + sampling; don't chase ROI",IF(N170="2","Build a creator pool; test by niche/audience/deal",IF(N170="3","Rates rising: judge by ROI + retention",IF(N170="4","Long-term partners as local distributors","")))))</f>
        <v/>
      </c>
    </row>
    <row r="171">
      <c r="J171" s="4">
        <f>IF(A171="","",IF(I171="Content-commerce veteran","Mature content markets (CC: US + Southeast Asia)",IF(I171="Marketplace-only seller","US + newly opened markets (crowded mature markets punish beginners)",IF(I171="Marketplace-validated products","US + Southeast Asia: open a new channel on proven products",""))))</f>
        <v/>
      </c>
      <c r="K171" s="4">
        <f>IF(A171="","",ROUND((C171+D171+2*F171+H171)-(E171+G171)/2,1))</f>
        <v/>
      </c>
      <c r="L171" s="4">
        <f>IF(A171="","",IF(H171=0,"Rate supply fit",IF(H171&lt;3,"Fix supply first - don't enter yet","OK")))</f>
        <v/>
      </c>
      <c r="M171" s="4">
        <f>IF(A171="","",IF(B171="1","Creator outreach and seeding; hire partnerships",IF(B171="2","Own short video + paid; hire shoot/edit + media buyer",IF(B171="3","Live selling, private traffic (community), brand; multi-channel",IF(B171="4","(aiOS addition) Owned audience: community, direct list, repeat purchase","")))))</f>
        <v/>
      </c>
      <c r="O171" s="4">
        <f>IF(A171="","",IF(N171="1","Prove scripts + sampling; don't chase ROI",IF(N171="2","Build a creator pool; test by niche/audience/deal",IF(N171="3","Rates rising: judge by ROI + retention",IF(N171="4","Long-term partners as local distributors","")))))</f>
        <v/>
      </c>
    </row>
    <row r="172">
      <c r="J172" s="4">
        <f>IF(A172="","",IF(I172="Content-commerce veteran","Mature content markets (CC: US + Southeast Asia)",IF(I172="Marketplace-only seller","US + newly opened markets (crowded mature markets punish beginners)",IF(I172="Marketplace-validated products","US + Southeast Asia: open a new channel on proven products",""))))</f>
        <v/>
      </c>
      <c r="K172" s="4">
        <f>IF(A172="","",ROUND((C172+D172+2*F172+H172)-(E172+G172)/2,1))</f>
        <v/>
      </c>
      <c r="L172" s="4">
        <f>IF(A172="","",IF(H172=0,"Rate supply fit",IF(H172&lt;3,"Fix supply first - don't enter yet","OK")))</f>
        <v/>
      </c>
      <c r="M172" s="4">
        <f>IF(A172="","",IF(B172="1","Creator outreach and seeding; hire partnerships",IF(B172="2","Own short video + paid; hire shoot/edit + media buyer",IF(B172="3","Live selling, private traffic (community), brand; multi-channel",IF(B172="4","(aiOS addition) Owned audience: community, direct list, repeat purchase","")))))</f>
        <v/>
      </c>
      <c r="O172" s="4">
        <f>IF(A172="","",IF(N172="1","Prove scripts + sampling; don't chase ROI",IF(N172="2","Build a creator pool; test by niche/audience/deal",IF(N172="3","Rates rising: judge by ROI + retention",IF(N172="4","Long-term partners as local distributors","")))))</f>
        <v/>
      </c>
    </row>
    <row r="173">
      <c r="J173" s="4">
        <f>IF(A173="","",IF(I173="Content-commerce veteran","Mature content markets (CC: US + Southeast Asia)",IF(I173="Marketplace-only seller","US + newly opened markets (crowded mature markets punish beginners)",IF(I173="Marketplace-validated products","US + Southeast Asia: open a new channel on proven products",""))))</f>
        <v/>
      </c>
      <c r="K173" s="4">
        <f>IF(A173="","",ROUND((C173+D173+2*F173+H173)-(E173+G173)/2,1))</f>
        <v/>
      </c>
      <c r="L173" s="4">
        <f>IF(A173="","",IF(H173=0,"Rate supply fit",IF(H173&lt;3,"Fix supply first - don't enter yet","OK")))</f>
        <v/>
      </c>
      <c r="M173" s="4">
        <f>IF(A173="","",IF(B173="1","Creator outreach and seeding; hire partnerships",IF(B173="2","Own short video + paid; hire shoot/edit + media buyer",IF(B173="3","Live selling, private traffic (community), brand; multi-channel",IF(B173="4","(aiOS addition) Owned audience: community, direct list, repeat purchase","")))))</f>
        <v/>
      </c>
      <c r="O173" s="4">
        <f>IF(A173="","",IF(N173="1","Prove scripts + sampling; don't chase ROI",IF(N173="2","Build a creator pool; test by niche/audience/deal",IF(N173="3","Rates rising: judge by ROI + retention",IF(N173="4","Long-term partners as local distributors","")))))</f>
        <v/>
      </c>
    </row>
    <row r="174">
      <c r="J174" s="4">
        <f>IF(A174="","",IF(I174="Content-commerce veteran","Mature content markets (CC: US + Southeast Asia)",IF(I174="Marketplace-only seller","US + newly opened markets (crowded mature markets punish beginners)",IF(I174="Marketplace-validated products","US + Southeast Asia: open a new channel on proven products",""))))</f>
        <v/>
      </c>
      <c r="K174" s="4">
        <f>IF(A174="","",ROUND((C174+D174+2*F174+H174)-(E174+G174)/2,1))</f>
        <v/>
      </c>
      <c r="L174" s="4">
        <f>IF(A174="","",IF(H174=0,"Rate supply fit",IF(H174&lt;3,"Fix supply first - don't enter yet","OK")))</f>
        <v/>
      </c>
      <c r="M174" s="4">
        <f>IF(A174="","",IF(B174="1","Creator outreach and seeding; hire partnerships",IF(B174="2","Own short video + paid; hire shoot/edit + media buyer",IF(B174="3","Live selling, private traffic (community), brand; multi-channel",IF(B174="4","(aiOS addition) Owned audience: community, direct list, repeat purchase","")))))</f>
        <v/>
      </c>
      <c r="O174" s="4">
        <f>IF(A174="","",IF(N174="1","Prove scripts + sampling; don't chase ROI",IF(N174="2","Build a creator pool; test by niche/audience/deal",IF(N174="3","Rates rising: judge by ROI + retention",IF(N174="4","Long-term partners as local distributors","")))))</f>
        <v/>
      </c>
    </row>
    <row r="175">
      <c r="J175" s="4">
        <f>IF(A175="","",IF(I175="Content-commerce veteran","Mature content markets (CC: US + Southeast Asia)",IF(I175="Marketplace-only seller","US + newly opened markets (crowded mature markets punish beginners)",IF(I175="Marketplace-validated products","US + Southeast Asia: open a new channel on proven products",""))))</f>
        <v/>
      </c>
      <c r="K175" s="4">
        <f>IF(A175="","",ROUND((C175+D175+2*F175+H175)-(E175+G175)/2,1))</f>
        <v/>
      </c>
      <c r="L175" s="4">
        <f>IF(A175="","",IF(H175=0,"Rate supply fit",IF(H175&lt;3,"Fix supply first - don't enter yet","OK")))</f>
        <v/>
      </c>
      <c r="M175" s="4">
        <f>IF(A175="","",IF(B175="1","Creator outreach and seeding; hire partnerships",IF(B175="2","Own short video + paid; hire shoot/edit + media buyer",IF(B175="3","Live selling, private traffic (community), brand; multi-channel",IF(B175="4","(aiOS addition) Owned audience: community, direct list, repeat purchase","")))))</f>
        <v/>
      </c>
      <c r="O175" s="4">
        <f>IF(A175="","",IF(N175="1","Prove scripts + sampling; don't chase ROI",IF(N175="2","Build a creator pool; test by niche/audience/deal",IF(N175="3","Rates rising: judge by ROI + retention",IF(N175="4","Long-term partners as local distributors","")))))</f>
        <v/>
      </c>
    </row>
    <row r="176">
      <c r="J176" s="4">
        <f>IF(A176="","",IF(I176="Content-commerce veteran","Mature content markets (CC: US + Southeast Asia)",IF(I176="Marketplace-only seller","US + newly opened markets (crowded mature markets punish beginners)",IF(I176="Marketplace-validated products","US + Southeast Asia: open a new channel on proven products",""))))</f>
        <v/>
      </c>
      <c r="K176" s="4">
        <f>IF(A176="","",ROUND((C176+D176+2*F176+H176)-(E176+G176)/2,1))</f>
        <v/>
      </c>
      <c r="L176" s="4">
        <f>IF(A176="","",IF(H176=0,"Rate supply fit",IF(H176&lt;3,"Fix supply first - don't enter yet","OK")))</f>
        <v/>
      </c>
      <c r="M176" s="4">
        <f>IF(A176="","",IF(B176="1","Creator outreach and seeding; hire partnerships",IF(B176="2","Own short video + paid; hire shoot/edit + media buyer",IF(B176="3","Live selling, private traffic (community), brand; multi-channel",IF(B176="4","(aiOS addition) Owned audience: community, direct list, repeat purchase","")))))</f>
        <v/>
      </c>
      <c r="O176" s="4">
        <f>IF(A176="","",IF(N176="1","Prove scripts + sampling; don't chase ROI",IF(N176="2","Build a creator pool; test by niche/audience/deal",IF(N176="3","Rates rising: judge by ROI + retention",IF(N176="4","Long-term partners as local distributors","")))))</f>
        <v/>
      </c>
    </row>
    <row r="177">
      <c r="J177" s="4">
        <f>IF(A177="","",IF(I177="Content-commerce veteran","Mature content markets (CC: US + Southeast Asia)",IF(I177="Marketplace-only seller","US + newly opened markets (crowded mature markets punish beginners)",IF(I177="Marketplace-validated products","US + Southeast Asia: open a new channel on proven products",""))))</f>
        <v/>
      </c>
      <c r="K177" s="4">
        <f>IF(A177="","",ROUND((C177+D177+2*F177+H177)-(E177+G177)/2,1))</f>
        <v/>
      </c>
      <c r="L177" s="4">
        <f>IF(A177="","",IF(H177=0,"Rate supply fit",IF(H177&lt;3,"Fix supply first - don't enter yet","OK")))</f>
        <v/>
      </c>
      <c r="M177" s="4">
        <f>IF(A177="","",IF(B177="1","Creator outreach and seeding; hire partnerships",IF(B177="2","Own short video + paid; hire shoot/edit + media buyer",IF(B177="3","Live selling, private traffic (community), brand; multi-channel",IF(B177="4","(aiOS addition) Owned audience: community, direct list, repeat purchase","")))))</f>
        <v/>
      </c>
      <c r="O177" s="4">
        <f>IF(A177="","",IF(N177="1","Prove scripts + sampling; don't chase ROI",IF(N177="2","Build a creator pool; test by niche/audience/deal",IF(N177="3","Rates rising: judge by ROI + retention",IF(N177="4","Long-term partners as local distributors","")))))</f>
        <v/>
      </c>
    </row>
    <row r="178">
      <c r="J178" s="4">
        <f>IF(A178="","",IF(I178="Content-commerce veteran","Mature content markets (CC: US + Southeast Asia)",IF(I178="Marketplace-only seller","US + newly opened markets (crowded mature markets punish beginners)",IF(I178="Marketplace-validated products","US + Southeast Asia: open a new channel on proven products",""))))</f>
        <v/>
      </c>
      <c r="K178" s="4">
        <f>IF(A178="","",ROUND((C178+D178+2*F178+H178)-(E178+G178)/2,1))</f>
        <v/>
      </c>
      <c r="L178" s="4">
        <f>IF(A178="","",IF(H178=0,"Rate supply fit",IF(H178&lt;3,"Fix supply first - don't enter yet","OK")))</f>
        <v/>
      </c>
      <c r="M178" s="4">
        <f>IF(A178="","",IF(B178="1","Creator outreach and seeding; hire partnerships",IF(B178="2","Own short video + paid; hire shoot/edit + media buyer",IF(B178="3","Live selling, private traffic (community), brand; multi-channel",IF(B178="4","(aiOS addition) Owned audience: community, direct list, repeat purchase","")))))</f>
        <v/>
      </c>
      <c r="O178" s="4">
        <f>IF(A178="","",IF(N178="1","Prove scripts + sampling; don't chase ROI",IF(N178="2","Build a creator pool; test by niche/audience/deal",IF(N178="3","Rates rising: judge by ROI + retention",IF(N178="4","Long-term partners as local distributors","")))))</f>
        <v/>
      </c>
    </row>
    <row r="179">
      <c r="J179" s="4">
        <f>IF(A179="","",IF(I179="Content-commerce veteran","Mature content markets (CC: US + Southeast Asia)",IF(I179="Marketplace-only seller","US + newly opened markets (crowded mature markets punish beginners)",IF(I179="Marketplace-validated products","US + Southeast Asia: open a new channel on proven products",""))))</f>
        <v/>
      </c>
      <c r="K179" s="4">
        <f>IF(A179="","",ROUND((C179+D179+2*F179+H179)-(E179+G179)/2,1))</f>
        <v/>
      </c>
      <c r="L179" s="4">
        <f>IF(A179="","",IF(H179=0,"Rate supply fit",IF(H179&lt;3,"Fix supply first - don't enter yet","OK")))</f>
        <v/>
      </c>
      <c r="M179" s="4">
        <f>IF(A179="","",IF(B179="1","Creator outreach and seeding; hire partnerships",IF(B179="2","Own short video + paid; hire shoot/edit + media buyer",IF(B179="3","Live selling, private traffic (community), brand; multi-channel",IF(B179="4","(aiOS addition) Owned audience: community, direct list, repeat purchase","")))))</f>
        <v/>
      </c>
      <c r="O179" s="4">
        <f>IF(A179="","",IF(N179="1","Prove scripts + sampling; don't chase ROI",IF(N179="2","Build a creator pool; test by niche/audience/deal",IF(N179="3","Rates rising: judge by ROI + retention",IF(N179="4","Long-term partners as local distributors","")))))</f>
        <v/>
      </c>
    </row>
    <row r="180">
      <c r="J180" s="4">
        <f>IF(A180="","",IF(I180="Content-commerce veteran","Mature content markets (CC: US + Southeast Asia)",IF(I180="Marketplace-only seller","US + newly opened markets (crowded mature markets punish beginners)",IF(I180="Marketplace-validated products","US + Southeast Asia: open a new channel on proven products",""))))</f>
        <v/>
      </c>
      <c r="K180" s="4">
        <f>IF(A180="","",ROUND((C180+D180+2*F180+H180)-(E180+G180)/2,1))</f>
        <v/>
      </c>
      <c r="L180" s="4">
        <f>IF(A180="","",IF(H180=0,"Rate supply fit",IF(H180&lt;3,"Fix supply first - don't enter yet","OK")))</f>
        <v/>
      </c>
      <c r="M180" s="4">
        <f>IF(A180="","",IF(B180="1","Creator outreach and seeding; hire partnerships",IF(B180="2","Own short video + paid; hire shoot/edit + media buyer",IF(B180="3","Live selling, private traffic (community), brand; multi-channel",IF(B180="4","(aiOS addition) Owned audience: community, direct list, repeat purchase","")))))</f>
        <v/>
      </c>
      <c r="O180" s="4">
        <f>IF(A180="","",IF(N180="1","Prove scripts + sampling; don't chase ROI",IF(N180="2","Build a creator pool; test by niche/audience/deal",IF(N180="3","Rates rising: judge by ROI + retention",IF(N180="4","Long-term partners as local distributors","")))))</f>
        <v/>
      </c>
    </row>
    <row r="181">
      <c r="J181" s="4">
        <f>IF(A181="","",IF(I181="Content-commerce veteran","Mature content markets (CC: US + Southeast Asia)",IF(I181="Marketplace-only seller","US + newly opened markets (crowded mature markets punish beginners)",IF(I181="Marketplace-validated products","US + Southeast Asia: open a new channel on proven products",""))))</f>
        <v/>
      </c>
      <c r="K181" s="4">
        <f>IF(A181="","",ROUND((C181+D181+2*F181+H181)-(E181+G181)/2,1))</f>
        <v/>
      </c>
      <c r="L181" s="4">
        <f>IF(A181="","",IF(H181=0,"Rate supply fit",IF(H181&lt;3,"Fix supply first - don't enter yet","OK")))</f>
        <v/>
      </c>
      <c r="M181" s="4">
        <f>IF(A181="","",IF(B181="1","Creator outreach and seeding; hire partnerships",IF(B181="2","Own short video + paid; hire shoot/edit + media buyer",IF(B181="3","Live selling, private traffic (community), brand; multi-channel",IF(B181="4","(aiOS addition) Owned audience: community, direct list, repeat purchase","")))))</f>
        <v/>
      </c>
      <c r="O181" s="4">
        <f>IF(A181="","",IF(N181="1","Prove scripts + sampling; don't chase ROI",IF(N181="2","Build a creator pool; test by niche/audience/deal",IF(N181="3","Rates rising: judge by ROI + retention",IF(N181="4","Long-term partners as local distributors","")))))</f>
        <v/>
      </c>
    </row>
    <row r="182">
      <c r="J182" s="4">
        <f>IF(A182="","",IF(I182="Content-commerce veteran","Mature content markets (CC: US + Southeast Asia)",IF(I182="Marketplace-only seller","US + newly opened markets (crowded mature markets punish beginners)",IF(I182="Marketplace-validated products","US + Southeast Asia: open a new channel on proven products",""))))</f>
        <v/>
      </c>
      <c r="K182" s="4">
        <f>IF(A182="","",ROUND((C182+D182+2*F182+H182)-(E182+G182)/2,1))</f>
        <v/>
      </c>
      <c r="L182" s="4">
        <f>IF(A182="","",IF(H182=0,"Rate supply fit",IF(H182&lt;3,"Fix supply first - don't enter yet","OK")))</f>
        <v/>
      </c>
      <c r="M182" s="4">
        <f>IF(A182="","",IF(B182="1","Creator outreach and seeding; hire partnerships",IF(B182="2","Own short video + paid; hire shoot/edit + media buyer",IF(B182="3","Live selling, private traffic (community), brand; multi-channel",IF(B182="4","(aiOS addition) Owned audience: community, direct list, repeat purchase","")))))</f>
        <v/>
      </c>
      <c r="O182" s="4">
        <f>IF(A182="","",IF(N182="1","Prove scripts + sampling; don't chase ROI",IF(N182="2","Build a creator pool; test by niche/audience/deal",IF(N182="3","Rates rising: judge by ROI + retention",IF(N182="4","Long-term partners as local distributors","")))))</f>
        <v/>
      </c>
    </row>
    <row r="183">
      <c r="J183" s="4">
        <f>IF(A183="","",IF(I183="Content-commerce veteran","Mature content markets (CC: US + Southeast Asia)",IF(I183="Marketplace-only seller","US + newly opened markets (crowded mature markets punish beginners)",IF(I183="Marketplace-validated products","US + Southeast Asia: open a new channel on proven products",""))))</f>
        <v/>
      </c>
      <c r="K183" s="4">
        <f>IF(A183="","",ROUND((C183+D183+2*F183+H183)-(E183+G183)/2,1))</f>
        <v/>
      </c>
      <c r="L183" s="4">
        <f>IF(A183="","",IF(H183=0,"Rate supply fit",IF(H183&lt;3,"Fix supply first - don't enter yet","OK")))</f>
        <v/>
      </c>
      <c r="M183" s="4">
        <f>IF(A183="","",IF(B183="1","Creator outreach and seeding; hire partnerships",IF(B183="2","Own short video + paid; hire shoot/edit + media buyer",IF(B183="3","Live selling, private traffic (community), brand; multi-channel",IF(B183="4","(aiOS addition) Owned audience: community, direct list, repeat purchase","")))))</f>
        <v/>
      </c>
      <c r="O183" s="4">
        <f>IF(A183="","",IF(N183="1","Prove scripts + sampling; don't chase ROI",IF(N183="2","Build a creator pool; test by niche/audience/deal",IF(N183="3","Rates rising: judge by ROI + retention",IF(N183="4","Long-term partners as local distributors","")))))</f>
        <v/>
      </c>
    </row>
    <row r="184">
      <c r="J184" s="4">
        <f>IF(A184="","",IF(I184="Content-commerce veteran","Mature content markets (CC: US + Southeast Asia)",IF(I184="Marketplace-only seller","US + newly opened markets (crowded mature markets punish beginners)",IF(I184="Marketplace-validated products","US + Southeast Asia: open a new channel on proven products",""))))</f>
        <v/>
      </c>
      <c r="K184" s="4">
        <f>IF(A184="","",ROUND((C184+D184+2*F184+H184)-(E184+G184)/2,1))</f>
        <v/>
      </c>
      <c r="L184" s="4">
        <f>IF(A184="","",IF(H184=0,"Rate supply fit",IF(H184&lt;3,"Fix supply first - don't enter yet","OK")))</f>
        <v/>
      </c>
      <c r="M184" s="4">
        <f>IF(A184="","",IF(B184="1","Creator outreach and seeding; hire partnerships",IF(B184="2","Own short video + paid; hire shoot/edit + media buyer",IF(B184="3","Live selling, private traffic (community), brand; multi-channel",IF(B184="4","(aiOS addition) Owned audience: community, direct list, repeat purchase","")))))</f>
        <v/>
      </c>
      <c r="O184" s="4">
        <f>IF(A184="","",IF(N184="1","Prove scripts + sampling; don't chase ROI",IF(N184="2","Build a creator pool; test by niche/audience/deal",IF(N184="3","Rates rising: judge by ROI + retention",IF(N184="4","Long-term partners as local distributors","")))))</f>
        <v/>
      </c>
    </row>
    <row r="185">
      <c r="J185" s="4">
        <f>IF(A185="","",IF(I185="Content-commerce veteran","Mature content markets (CC: US + Southeast Asia)",IF(I185="Marketplace-only seller","US + newly opened markets (crowded mature markets punish beginners)",IF(I185="Marketplace-validated products","US + Southeast Asia: open a new channel on proven products",""))))</f>
        <v/>
      </c>
      <c r="K185" s="4">
        <f>IF(A185="","",ROUND((C185+D185+2*F185+H185)-(E185+G185)/2,1))</f>
        <v/>
      </c>
      <c r="L185" s="4">
        <f>IF(A185="","",IF(H185=0,"Rate supply fit",IF(H185&lt;3,"Fix supply first - don't enter yet","OK")))</f>
        <v/>
      </c>
      <c r="M185" s="4">
        <f>IF(A185="","",IF(B185="1","Creator outreach and seeding; hire partnerships",IF(B185="2","Own short video + paid; hire shoot/edit + media buyer",IF(B185="3","Live selling, private traffic (community), brand; multi-channel",IF(B185="4","(aiOS addition) Owned audience: community, direct list, repeat purchase","")))))</f>
        <v/>
      </c>
      <c r="O185" s="4">
        <f>IF(A185="","",IF(N185="1","Prove scripts + sampling; don't chase ROI",IF(N185="2","Build a creator pool; test by niche/audience/deal",IF(N185="3","Rates rising: judge by ROI + retention",IF(N185="4","Long-term partners as local distributors","")))))</f>
        <v/>
      </c>
    </row>
    <row r="186">
      <c r="J186" s="4">
        <f>IF(A186="","",IF(I186="Content-commerce veteran","Mature content markets (CC: US + Southeast Asia)",IF(I186="Marketplace-only seller","US + newly opened markets (crowded mature markets punish beginners)",IF(I186="Marketplace-validated products","US + Southeast Asia: open a new channel on proven products",""))))</f>
        <v/>
      </c>
      <c r="K186" s="4">
        <f>IF(A186="","",ROUND((C186+D186+2*F186+H186)-(E186+G186)/2,1))</f>
        <v/>
      </c>
      <c r="L186" s="4">
        <f>IF(A186="","",IF(H186=0,"Rate supply fit",IF(H186&lt;3,"Fix supply first - don't enter yet","OK")))</f>
        <v/>
      </c>
      <c r="M186" s="4">
        <f>IF(A186="","",IF(B186="1","Creator outreach and seeding; hire partnerships",IF(B186="2","Own short video + paid; hire shoot/edit + media buyer",IF(B186="3","Live selling, private traffic (community), brand; multi-channel",IF(B186="4","(aiOS addition) Owned audience: community, direct list, repeat purchase","")))))</f>
        <v/>
      </c>
      <c r="O186" s="4">
        <f>IF(A186="","",IF(N186="1","Prove scripts + sampling; don't chase ROI",IF(N186="2","Build a creator pool; test by niche/audience/deal",IF(N186="3","Rates rising: judge by ROI + retention",IF(N186="4","Long-term partners as local distributors","")))))</f>
        <v/>
      </c>
    </row>
    <row r="187">
      <c r="J187" s="4">
        <f>IF(A187="","",IF(I187="Content-commerce veteran","Mature content markets (CC: US + Southeast Asia)",IF(I187="Marketplace-only seller","US + newly opened markets (crowded mature markets punish beginners)",IF(I187="Marketplace-validated products","US + Southeast Asia: open a new channel on proven products",""))))</f>
        <v/>
      </c>
      <c r="K187" s="4">
        <f>IF(A187="","",ROUND((C187+D187+2*F187+H187)-(E187+G187)/2,1))</f>
        <v/>
      </c>
      <c r="L187" s="4">
        <f>IF(A187="","",IF(H187=0,"Rate supply fit",IF(H187&lt;3,"Fix supply first - don't enter yet","OK")))</f>
        <v/>
      </c>
      <c r="M187" s="4">
        <f>IF(A187="","",IF(B187="1","Creator outreach and seeding; hire partnerships",IF(B187="2","Own short video + paid; hire shoot/edit + media buyer",IF(B187="3","Live selling, private traffic (community), brand; multi-channel",IF(B187="4","(aiOS addition) Owned audience: community, direct list, repeat purchase","")))))</f>
        <v/>
      </c>
      <c r="O187" s="4">
        <f>IF(A187="","",IF(N187="1","Prove scripts + sampling; don't chase ROI",IF(N187="2","Build a creator pool; test by niche/audience/deal",IF(N187="3","Rates rising: judge by ROI + retention",IF(N187="4","Long-term partners as local distributors","")))))</f>
        <v/>
      </c>
    </row>
    <row r="188">
      <c r="J188" s="4">
        <f>IF(A188="","",IF(I188="Content-commerce veteran","Mature content markets (CC: US + Southeast Asia)",IF(I188="Marketplace-only seller","US + newly opened markets (crowded mature markets punish beginners)",IF(I188="Marketplace-validated products","US + Southeast Asia: open a new channel on proven products",""))))</f>
        <v/>
      </c>
      <c r="K188" s="4">
        <f>IF(A188="","",ROUND((C188+D188+2*F188+H188)-(E188+G188)/2,1))</f>
        <v/>
      </c>
      <c r="L188" s="4">
        <f>IF(A188="","",IF(H188=0,"Rate supply fit",IF(H188&lt;3,"Fix supply first - don't enter yet","OK")))</f>
        <v/>
      </c>
      <c r="M188" s="4">
        <f>IF(A188="","",IF(B188="1","Creator outreach and seeding; hire partnerships",IF(B188="2","Own short video + paid; hire shoot/edit + media buyer",IF(B188="3","Live selling, private traffic (community), brand; multi-channel",IF(B188="4","(aiOS addition) Owned audience: community, direct list, repeat purchase","")))))</f>
        <v/>
      </c>
      <c r="O188" s="4">
        <f>IF(A188="","",IF(N188="1","Prove scripts + sampling; don't chase ROI",IF(N188="2","Build a creator pool; test by niche/audience/deal",IF(N188="3","Rates rising: judge by ROI + retention",IF(N188="4","Long-term partners as local distributors","")))))</f>
        <v/>
      </c>
    </row>
    <row r="189">
      <c r="J189" s="4">
        <f>IF(A189="","",IF(I189="Content-commerce veteran","Mature content markets (CC: US + Southeast Asia)",IF(I189="Marketplace-only seller","US + newly opened markets (crowded mature markets punish beginners)",IF(I189="Marketplace-validated products","US + Southeast Asia: open a new channel on proven products",""))))</f>
        <v/>
      </c>
      <c r="K189" s="4">
        <f>IF(A189="","",ROUND((C189+D189+2*F189+H189)-(E189+G189)/2,1))</f>
        <v/>
      </c>
      <c r="L189" s="4">
        <f>IF(A189="","",IF(H189=0,"Rate supply fit",IF(H189&lt;3,"Fix supply first - don't enter yet","OK")))</f>
        <v/>
      </c>
      <c r="M189" s="4">
        <f>IF(A189="","",IF(B189="1","Creator outreach and seeding; hire partnerships",IF(B189="2","Own short video + paid; hire shoot/edit + media buyer",IF(B189="3","Live selling, private traffic (community), brand; multi-channel",IF(B189="4","(aiOS addition) Owned audience: community, direct list, repeat purchase","")))))</f>
        <v/>
      </c>
      <c r="O189" s="4">
        <f>IF(A189="","",IF(N189="1","Prove scripts + sampling; don't chase ROI",IF(N189="2","Build a creator pool; test by niche/audience/deal",IF(N189="3","Rates rising: judge by ROI + retention",IF(N189="4","Long-term partners as local distributors","")))))</f>
        <v/>
      </c>
    </row>
    <row r="190">
      <c r="J190" s="4">
        <f>IF(A190="","",IF(I190="Content-commerce veteran","Mature content markets (CC: US + Southeast Asia)",IF(I190="Marketplace-only seller","US + newly opened markets (crowded mature markets punish beginners)",IF(I190="Marketplace-validated products","US + Southeast Asia: open a new channel on proven products",""))))</f>
        <v/>
      </c>
      <c r="K190" s="4">
        <f>IF(A190="","",ROUND((C190+D190+2*F190+H190)-(E190+G190)/2,1))</f>
        <v/>
      </c>
      <c r="L190" s="4">
        <f>IF(A190="","",IF(H190=0,"Rate supply fit",IF(H190&lt;3,"Fix supply first - don't enter yet","OK")))</f>
        <v/>
      </c>
      <c r="M190" s="4">
        <f>IF(A190="","",IF(B190="1","Creator outreach and seeding; hire partnerships",IF(B190="2","Own short video + paid; hire shoot/edit + media buyer",IF(B190="3","Live selling, private traffic (community), brand; multi-channel",IF(B190="4","(aiOS addition) Owned audience: community, direct list, repeat purchase","")))))</f>
        <v/>
      </c>
      <c r="O190" s="4">
        <f>IF(A190="","",IF(N190="1","Prove scripts + sampling; don't chase ROI",IF(N190="2","Build a creator pool; test by niche/audience/deal",IF(N190="3","Rates rising: judge by ROI + retention",IF(N190="4","Long-term partners as local distributors","")))))</f>
        <v/>
      </c>
    </row>
    <row r="191">
      <c r="J191" s="4">
        <f>IF(A191="","",IF(I191="Content-commerce veteran","Mature content markets (CC: US + Southeast Asia)",IF(I191="Marketplace-only seller","US + newly opened markets (crowded mature markets punish beginners)",IF(I191="Marketplace-validated products","US + Southeast Asia: open a new channel on proven products",""))))</f>
        <v/>
      </c>
      <c r="K191" s="4">
        <f>IF(A191="","",ROUND((C191+D191+2*F191+H191)-(E191+G191)/2,1))</f>
        <v/>
      </c>
      <c r="L191" s="4">
        <f>IF(A191="","",IF(H191=0,"Rate supply fit",IF(H191&lt;3,"Fix supply first - don't enter yet","OK")))</f>
        <v/>
      </c>
      <c r="M191" s="4">
        <f>IF(A191="","",IF(B191="1","Creator outreach and seeding; hire partnerships",IF(B191="2","Own short video + paid; hire shoot/edit + media buyer",IF(B191="3","Live selling, private traffic (community), brand; multi-channel",IF(B191="4","(aiOS addition) Owned audience: community, direct list, repeat purchase","")))))</f>
        <v/>
      </c>
      <c r="O191" s="4">
        <f>IF(A191="","",IF(N191="1","Prove scripts + sampling; don't chase ROI",IF(N191="2","Build a creator pool; test by niche/audience/deal",IF(N191="3","Rates rising: judge by ROI + retention",IF(N191="4","Long-term partners as local distributors","")))))</f>
        <v/>
      </c>
    </row>
    <row r="192">
      <c r="J192" s="4">
        <f>IF(A192="","",IF(I192="Content-commerce veteran","Mature content markets (CC: US + Southeast Asia)",IF(I192="Marketplace-only seller","US + newly opened markets (crowded mature markets punish beginners)",IF(I192="Marketplace-validated products","US + Southeast Asia: open a new channel on proven products",""))))</f>
        <v/>
      </c>
      <c r="K192" s="4">
        <f>IF(A192="","",ROUND((C192+D192+2*F192+H192)-(E192+G192)/2,1))</f>
        <v/>
      </c>
      <c r="L192" s="4">
        <f>IF(A192="","",IF(H192=0,"Rate supply fit",IF(H192&lt;3,"Fix supply first - don't enter yet","OK")))</f>
        <v/>
      </c>
      <c r="M192" s="4">
        <f>IF(A192="","",IF(B192="1","Creator outreach and seeding; hire partnerships",IF(B192="2","Own short video + paid; hire shoot/edit + media buyer",IF(B192="3","Live selling, private traffic (community), brand; multi-channel",IF(B192="4","(aiOS addition) Owned audience: community, direct list, repeat purchase","")))))</f>
        <v/>
      </c>
      <c r="O192" s="4">
        <f>IF(A192="","",IF(N192="1","Prove scripts + sampling; don't chase ROI",IF(N192="2","Build a creator pool; test by niche/audience/deal",IF(N192="3","Rates rising: judge by ROI + retention",IF(N192="4","Long-term partners as local distributors","")))))</f>
        <v/>
      </c>
    </row>
    <row r="193">
      <c r="J193" s="4">
        <f>IF(A193="","",IF(I193="Content-commerce veteran","Mature content markets (CC: US + Southeast Asia)",IF(I193="Marketplace-only seller","US + newly opened markets (crowded mature markets punish beginners)",IF(I193="Marketplace-validated products","US + Southeast Asia: open a new channel on proven products",""))))</f>
        <v/>
      </c>
      <c r="K193" s="4">
        <f>IF(A193="","",ROUND((C193+D193+2*F193+H193)-(E193+G193)/2,1))</f>
        <v/>
      </c>
      <c r="L193" s="4">
        <f>IF(A193="","",IF(H193=0,"Rate supply fit",IF(H193&lt;3,"Fix supply first - don't enter yet","OK")))</f>
        <v/>
      </c>
      <c r="M193" s="4">
        <f>IF(A193="","",IF(B193="1","Creator outreach and seeding; hire partnerships",IF(B193="2","Own short video + paid; hire shoot/edit + media buyer",IF(B193="3","Live selling, private traffic (community), brand; multi-channel",IF(B193="4","(aiOS addition) Owned audience: community, direct list, repeat purchase","")))))</f>
        <v/>
      </c>
      <c r="O193" s="4">
        <f>IF(A193="","",IF(N193="1","Prove scripts + sampling; don't chase ROI",IF(N193="2","Build a creator pool; test by niche/audience/deal",IF(N193="3","Rates rising: judge by ROI + retention",IF(N193="4","Long-term partners as local distributors","")))))</f>
        <v/>
      </c>
    </row>
    <row r="194">
      <c r="J194" s="4">
        <f>IF(A194="","",IF(I194="Content-commerce veteran","Mature content markets (CC: US + Southeast Asia)",IF(I194="Marketplace-only seller","US + newly opened markets (crowded mature markets punish beginners)",IF(I194="Marketplace-validated products","US + Southeast Asia: open a new channel on proven products",""))))</f>
        <v/>
      </c>
      <c r="K194" s="4">
        <f>IF(A194="","",ROUND((C194+D194+2*F194+H194)-(E194+G194)/2,1))</f>
        <v/>
      </c>
      <c r="L194" s="4">
        <f>IF(A194="","",IF(H194=0,"Rate supply fit",IF(H194&lt;3,"Fix supply first - don't enter yet","OK")))</f>
        <v/>
      </c>
      <c r="M194" s="4">
        <f>IF(A194="","",IF(B194="1","Creator outreach and seeding; hire partnerships",IF(B194="2","Own short video + paid; hire shoot/edit + media buyer",IF(B194="3","Live selling, private traffic (community), brand; multi-channel",IF(B194="4","(aiOS addition) Owned audience: community, direct list, repeat purchase","")))))</f>
        <v/>
      </c>
      <c r="O194" s="4">
        <f>IF(A194="","",IF(N194="1","Prove scripts + sampling; don't chase ROI",IF(N194="2","Build a creator pool; test by niche/audience/deal",IF(N194="3","Rates rising: judge by ROI + retention",IF(N194="4","Long-term partners as local distributors","")))))</f>
        <v/>
      </c>
    </row>
    <row r="195">
      <c r="J195" s="4">
        <f>IF(A195="","",IF(I195="Content-commerce veteran","Mature content markets (CC: US + Southeast Asia)",IF(I195="Marketplace-only seller","US + newly opened markets (crowded mature markets punish beginners)",IF(I195="Marketplace-validated products","US + Southeast Asia: open a new channel on proven products",""))))</f>
        <v/>
      </c>
      <c r="K195" s="4">
        <f>IF(A195="","",ROUND((C195+D195+2*F195+H195)-(E195+G195)/2,1))</f>
        <v/>
      </c>
      <c r="L195" s="4">
        <f>IF(A195="","",IF(H195=0,"Rate supply fit",IF(H195&lt;3,"Fix supply first - don't enter yet","OK")))</f>
        <v/>
      </c>
      <c r="M195" s="4">
        <f>IF(A195="","",IF(B195="1","Creator outreach and seeding; hire partnerships",IF(B195="2","Own short video + paid; hire shoot/edit + media buyer",IF(B195="3","Live selling, private traffic (community), brand; multi-channel",IF(B195="4","(aiOS addition) Owned audience: community, direct list, repeat purchase","")))))</f>
        <v/>
      </c>
      <c r="O195" s="4">
        <f>IF(A195="","",IF(N195="1","Prove scripts + sampling; don't chase ROI",IF(N195="2","Build a creator pool; test by niche/audience/deal",IF(N195="3","Rates rising: judge by ROI + retention",IF(N195="4","Long-term partners as local distributors","")))))</f>
        <v/>
      </c>
    </row>
    <row r="196">
      <c r="J196" s="4">
        <f>IF(A196="","",IF(I196="Content-commerce veteran","Mature content markets (CC: US + Southeast Asia)",IF(I196="Marketplace-only seller","US + newly opened markets (crowded mature markets punish beginners)",IF(I196="Marketplace-validated products","US + Southeast Asia: open a new channel on proven products",""))))</f>
        <v/>
      </c>
      <c r="K196" s="4">
        <f>IF(A196="","",ROUND((C196+D196+2*F196+H196)-(E196+G196)/2,1))</f>
        <v/>
      </c>
      <c r="L196" s="4">
        <f>IF(A196="","",IF(H196=0,"Rate supply fit",IF(H196&lt;3,"Fix supply first - don't enter yet","OK")))</f>
        <v/>
      </c>
      <c r="M196" s="4">
        <f>IF(A196="","",IF(B196="1","Creator outreach and seeding; hire partnerships",IF(B196="2","Own short video + paid; hire shoot/edit + media buyer",IF(B196="3","Live selling, private traffic (community), brand; multi-channel",IF(B196="4","(aiOS addition) Owned audience: community, direct list, repeat purchase","")))))</f>
        <v/>
      </c>
      <c r="O196" s="4">
        <f>IF(A196="","",IF(N196="1","Prove scripts + sampling; don't chase ROI",IF(N196="2","Build a creator pool; test by niche/audience/deal",IF(N196="3","Rates rising: judge by ROI + retention",IF(N196="4","Long-term partners as local distributors","")))))</f>
        <v/>
      </c>
    </row>
    <row r="197">
      <c r="J197" s="4">
        <f>IF(A197="","",IF(I197="Content-commerce veteran","Mature content markets (CC: US + Southeast Asia)",IF(I197="Marketplace-only seller","US + newly opened markets (crowded mature markets punish beginners)",IF(I197="Marketplace-validated products","US + Southeast Asia: open a new channel on proven products",""))))</f>
        <v/>
      </c>
      <c r="K197" s="4">
        <f>IF(A197="","",ROUND((C197+D197+2*F197+H197)-(E197+G197)/2,1))</f>
        <v/>
      </c>
      <c r="L197" s="4">
        <f>IF(A197="","",IF(H197=0,"Rate supply fit",IF(H197&lt;3,"Fix supply first - don't enter yet","OK")))</f>
        <v/>
      </c>
      <c r="M197" s="4">
        <f>IF(A197="","",IF(B197="1","Creator outreach and seeding; hire partnerships",IF(B197="2","Own short video + paid; hire shoot/edit + media buyer",IF(B197="3","Live selling, private traffic (community), brand; multi-channel",IF(B197="4","(aiOS addition) Owned audience: community, direct list, repeat purchase","")))))</f>
        <v/>
      </c>
      <c r="O197" s="4">
        <f>IF(A197="","",IF(N197="1","Prove scripts + sampling; don't chase ROI",IF(N197="2","Build a creator pool; test by niche/audience/deal",IF(N197="3","Rates rising: judge by ROI + retention",IF(N197="4","Long-term partners as local distributors","")))))</f>
        <v/>
      </c>
    </row>
    <row r="198">
      <c r="J198" s="4">
        <f>IF(A198="","",IF(I198="Content-commerce veteran","Mature content markets (CC: US + Southeast Asia)",IF(I198="Marketplace-only seller","US + newly opened markets (crowded mature markets punish beginners)",IF(I198="Marketplace-validated products","US + Southeast Asia: open a new channel on proven products",""))))</f>
        <v/>
      </c>
      <c r="K198" s="4">
        <f>IF(A198="","",ROUND((C198+D198+2*F198+H198)-(E198+G198)/2,1))</f>
        <v/>
      </c>
      <c r="L198" s="4">
        <f>IF(A198="","",IF(H198=0,"Rate supply fit",IF(H198&lt;3,"Fix supply first - don't enter yet","OK")))</f>
        <v/>
      </c>
      <c r="M198" s="4">
        <f>IF(A198="","",IF(B198="1","Creator outreach and seeding; hire partnerships",IF(B198="2","Own short video + paid; hire shoot/edit + media buyer",IF(B198="3","Live selling, private traffic (community), brand; multi-channel",IF(B198="4","(aiOS addition) Owned audience: community, direct list, repeat purchase","")))))</f>
        <v/>
      </c>
      <c r="O198" s="4">
        <f>IF(A198="","",IF(N198="1","Prove scripts + sampling; don't chase ROI",IF(N198="2","Build a creator pool; test by niche/audience/deal",IF(N198="3","Rates rising: judge by ROI + retention",IF(N198="4","Long-term partners as local distributors","")))))</f>
        <v/>
      </c>
    </row>
    <row r="199">
      <c r="J199" s="4">
        <f>IF(A199="","",IF(I199="Content-commerce veteran","Mature content markets (CC: US + Southeast Asia)",IF(I199="Marketplace-only seller","US + newly opened markets (crowded mature markets punish beginners)",IF(I199="Marketplace-validated products","US + Southeast Asia: open a new channel on proven products",""))))</f>
        <v/>
      </c>
      <c r="K199" s="4">
        <f>IF(A199="","",ROUND((C199+D199+2*F199+H199)-(E199+G199)/2,1))</f>
        <v/>
      </c>
      <c r="L199" s="4">
        <f>IF(A199="","",IF(H199=0,"Rate supply fit",IF(H199&lt;3,"Fix supply first - don't enter yet","OK")))</f>
        <v/>
      </c>
      <c r="M199" s="4">
        <f>IF(A199="","",IF(B199="1","Creator outreach and seeding; hire partnerships",IF(B199="2","Own short video + paid; hire shoot/edit + media buyer",IF(B199="3","Live selling, private traffic (community), brand; multi-channel",IF(B199="4","(aiOS addition) Owned audience: community, direct list, repeat purchase","")))))</f>
        <v/>
      </c>
      <c r="O199" s="4">
        <f>IF(A199="","",IF(N199="1","Prove scripts + sampling; don't chase ROI",IF(N199="2","Build a creator pool; test by niche/audience/deal",IF(N199="3","Rates rising: judge by ROI + retention",IF(N199="4","Long-term partners as local distributors","")))))</f>
        <v/>
      </c>
    </row>
    <row r="200">
      <c r="J200" s="4">
        <f>IF(A200="","",IF(I200="Content-commerce veteran","Mature content markets (CC: US + Southeast Asia)",IF(I200="Marketplace-only seller","US + newly opened markets (crowded mature markets punish beginners)",IF(I200="Marketplace-validated products","US + Southeast Asia: open a new channel on proven products",""))))</f>
        <v/>
      </c>
      <c r="K200" s="4">
        <f>IF(A200="","",ROUND((C200+D200+2*F200+H200)-(E200+G200)/2,1))</f>
        <v/>
      </c>
      <c r="L200" s="4">
        <f>IF(A200="","",IF(H200=0,"Rate supply fit",IF(H200&lt;3,"Fix supply first - don't enter yet","OK")))</f>
        <v/>
      </c>
      <c r="M200" s="4">
        <f>IF(A200="","",IF(B200="1","Creator outreach and seeding; hire partnerships",IF(B200="2","Own short video + paid; hire shoot/edit + media buyer",IF(B200="3","Live selling, private traffic (community), brand; multi-channel",IF(B200="4","(aiOS addition) Owned audience: community, direct list, repeat purchase","")))))</f>
        <v/>
      </c>
      <c r="O200" s="4">
        <f>IF(A200="","",IF(N200="1","Prove scripts + sampling; don't chase ROI",IF(N200="2","Build a creator pool; test by niche/audience/deal",IF(N200="3","Rates rising: judge by ROI + retention",IF(N200="4","Long-term partners as local distributors","")))))</f>
        <v/>
      </c>
    </row>
    <row r="201">
      <c r="J201" s="4">
        <f>IF(A201="","",IF(I201="Content-commerce veteran","Mature content markets (CC: US + Southeast Asia)",IF(I201="Marketplace-only seller","US + newly opened markets (crowded mature markets punish beginners)",IF(I201="Marketplace-validated products","US + Southeast Asia: open a new channel on proven products",""))))</f>
        <v/>
      </c>
      <c r="K201" s="4">
        <f>IF(A201="","",ROUND((C201+D201+2*F201+H201)-(E201+G201)/2,1))</f>
        <v/>
      </c>
      <c r="L201" s="4">
        <f>IF(A201="","",IF(H201=0,"Rate supply fit",IF(H201&lt;3,"Fix supply first - don't enter yet","OK")))</f>
        <v/>
      </c>
      <c r="M201" s="4">
        <f>IF(A201="","",IF(B201="1","Creator outreach and seeding; hire partnerships",IF(B201="2","Own short video + paid; hire shoot/edit + media buyer",IF(B201="3","Live selling, private traffic (community), brand; multi-channel",IF(B201="4","(aiOS addition) Owned audience: community, direct list, repeat purchase","")))))</f>
        <v/>
      </c>
      <c r="O201" s="4">
        <f>IF(A201="","",IF(N201="1","Prove scripts + sampling; don't chase ROI",IF(N201="2","Build a creator pool; test by niche/audience/deal",IF(N201="3","Rates rising: judge by ROI + retention",IF(N201="4","Long-term partners as local distributors","")))))</f>
        <v/>
      </c>
    </row>
  </sheetData>
  <dataValidations count="3">
    <dataValidation sqref="B2:B201" showDropDown="0" showInputMessage="0" showErrorMessage="0" allowBlank="1" type="list">
      <formula1>"1,2,3,4"</formula1>
    </dataValidation>
    <dataValidation sqref="I2:I201" showDropDown="0" showInputMessage="0" showErrorMessage="0" allowBlank="1" type="list">
      <formula1>"Content-commerce veteran,Marketplace-only seller,Marketplace-validated products"</formula1>
    </dataValidation>
    <dataValidation sqref="N2:N201" showDropDown="0" showInputMessage="0" showErrorMessage="0" allowBlank="1" type="list">
      <formula1>"1,2,3,4"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20" customWidth="1" min="2" max="2"/>
    <col width="22.85714285714286" customWidth="1" min="3" max="3"/>
    <col width="15.71428571428571" customWidth="1" min="4" max="4"/>
    <col width="15.71428571428571" customWidth="1" min="5" max="5"/>
    <col width="28.57142857142857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18.57142857142857" customWidth="1" min="15" max="15"/>
    <col width="15.71428571428571" customWidth="1" min="16" max="16"/>
    <col width="15.71428571428571" customWidth="1" min="17" max="17"/>
    <col width="15.71428571428571" customWidth="1" min="18" max="18"/>
    <col width="15.71428571428571" customWidth="1" min="19" max="19"/>
    <col width="15.71428571428571" customWidth="1" min="20" max="20"/>
    <col width="15.71428571428571" customWidth="1" min="21" max="21"/>
    <col width="15.71428571428571" customWidth="1" min="22" max="22"/>
    <col width="15.71428571428571" customWidth="1" min="23" max="23"/>
  </cols>
  <sheetData>
    <row r="1" ht="48" customHeight="1">
      <c r="A1" s="1" t="inlineStr">
        <is>
          <t>Offer / product</t>
        </is>
      </c>
      <c r="B1" s="1" t="inlineStr">
        <is>
          <t>Market / audience</t>
        </is>
      </c>
      <c r="C1" s="1" t="inlineStr">
        <is>
          <t>Source (copy only winners from the last 1-2 months; older ones are saturated)</t>
        </is>
      </c>
      <c r="D1" s="1" t="inlineStr">
        <is>
          <t>If copying a winner: its age (months)</t>
        </is>
      </c>
      <c r="E1" s="2" t="inlineStr">
        <is>
          <t>Recency check ƒ</t>
        </is>
      </c>
      <c r="F1" s="1" t="inlineStr">
        <is>
          <t>Core differentiator</t>
        </is>
      </c>
      <c r="G1" s="1" t="inlineStr">
        <is>
          <t>Pain value (1-5)</t>
        </is>
      </c>
      <c r="H1" s="1" t="inlineStr">
        <is>
          <t>Shows in 20s video? (1-5)</t>
        </is>
      </c>
      <c r="I1" s="1" t="inlineStr">
        <is>
          <t>Customer's current cost to solve ($)</t>
        </is>
      </c>
      <c r="J1" s="1" t="inlineStr">
        <is>
          <t>Proposed price ($)</t>
        </is>
      </c>
      <c r="K1" s="1" t="inlineStr">
        <is>
          <t>Full unit cost incl. fees ($)</t>
        </is>
      </c>
      <c r="L1" s="2" t="inlineStr">
        <is>
          <t>Consumer surplus ƒ</t>
        </is>
      </c>
      <c r="M1" s="2" t="inlineStr">
        <is>
          <t>Producer surplus ƒ</t>
        </is>
      </c>
      <c r="N1" s="2" t="inlineStr">
        <is>
          <t>Gross margin % ƒ</t>
        </is>
      </c>
      <c r="O1" s="2" t="inlineStr">
        <is>
          <t>Classification ƒ</t>
        </is>
      </c>
      <c r="P1" s="1" t="inlineStr">
        <is>
          <t>Batch 1: stock in destination warehouse ($)</t>
        </is>
      </c>
      <c r="Q1" s="1" t="inlineStr">
        <is>
          <t>Batch 2: stock in transit ($)</t>
        </is>
      </c>
      <c r="R1" s="1" t="inlineStr">
        <is>
          <t>Batch 3: stock in production ($)</t>
        </is>
      </c>
      <c r="S1" s="2" t="inlineStr">
        <is>
          <t>Cash locked across the three batches ƒ</t>
        </is>
      </c>
      <c r="T1" s="1" t="inlineStr">
        <is>
          <t>Max cash you can afford to lock up</t>
        </is>
      </c>
      <c r="U1" s="2" t="inlineStr">
        <is>
          <t>Cash exposure ƒ</t>
        </is>
      </c>
      <c r="V1" s="1" t="inlineStr">
        <is>
          <t>Independent signals (need ≥3)</t>
        </is>
      </c>
      <c r="W1" s="1" t="inlineStr">
        <is>
          <t>Decision</t>
        </is>
      </c>
    </row>
    <row r="2">
      <c r="A2" t="inlineStr">
        <is>
          <t>Example: at-home styling tool</t>
        </is>
      </c>
      <c r="B2" t="inlineStr">
        <is>
          <t>Women 25-45</t>
        </is>
      </c>
      <c r="C2" t="inlineStr">
        <is>
          <t>Review complaints on top 5 competitors</t>
        </is>
      </c>
      <c r="D2" t="n">
        <v>1</v>
      </c>
      <c r="E2" s="4">
        <f>IF(A2="","",IF(D2=0,"",IF(D2&gt;2,"Stale - likely saturated","Fresh")))</f>
        <v/>
      </c>
      <c r="F2" t="inlineStr">
        <is>
          <t>Salon result in 10 minutes</t>
        </is>
      </c>
      <c r="G2" t="n">
        <v>5</v>
      </c>
      <c r="H2" t="n">
        <v>5</v>
      </c>
      <c r="I2" s="7" t="n">
        <v>50</v>
      </c>
      <c r="J2" s="7" t="n">
        <v>49</v>
      </c>
      <c r="K2" s="7" t="n">
        <v>14</v>
      </c>
      <c r="L2" s="8">
        <f>IF(A2="","",I2-J2)</f>
        <v/>
      </c>
      <c r="M2" s="8">
        <f>IF(A2="","",J2-K2)</f>
        <v/>
      </c>
      <c r="N2" s="9">
        <f>IF(A2="","",IFERROR((J2-K2)/J2,0))</f>
        <v/>
      </c>
      <c r="O2" s="4">
        <f>IF(A2="","",IF(M2&lt;=0,"Drop",IF(AND(L2&gt;0,N2&gt;=0.6),"Profit product",IF(N2&gt;=0.5,"Traffic product","Thin - rework"))))</f>
        <v/>
      </c>
      <c r="P2" s="7" t="n">
        <v>2500</v>
      </c>
      <c r="Q2" s="7" t="n">
        <v>2000</v>
      </c>
      <c r="R2" s="7" t="n">
        <v>1500</v>
      </c>
      <c r="S2" s="8">
        <f>IF(A2="","",P2+Q2+R2)</f>
        <v/>
      </c>
      <c r="T2" s="7" t="n">
        <v>10000</v>
      </c>
      <c r="U2" s="4">
        <f>IF(A2="","",IF(T2=0,"Set a cap",IF(S2&gt;T2,"Over cap - three batches lock too much cash; shrink the batch","OK")))</f>
        <v/>
      </c>
      <c r="V2" t="n">
        <v>1</v>
      </c>
      <c r="W2" t="inlineStr">
        <is>
          <t>Test</t>
        </is>
      </c>
    </row>
    <row r="3">
      <c r="E3" s="4">
        <f>IF(A3="","",IF(D3=0,"",IF(D3&gt;2,"Stale - likely saturated","Fresh")))</f>
        <v/>
      </c>
      <c r="I3" s="7" t="n"/>
      <c r="J3" s="7" t="n"/>
      <c r="K3" s="7" t="n"/>
      <c r="L3" s="8">
        <f>IF(A3="","",I3-J3)</f>
        <v/>
      </c>
      <c r="M3" s="8">
        <f>IF(A3="","",J3-K3)</f>
        <v/>
      </c>
      <c r="N3" s="9">
        <f>IF(A3="","",IFERROR((J3-K3)/J3,0))</f>
        <v/>
      </c>
      <c r="O3" s="4">
        <f>IF(A3="","",IF(M3&lt;=0,"Drop",IF(AND(L3&gt;0,N3&gt;=0.6),"Profit product",IF(N3&gt;=0.5,"Traffic product","Thin - rework"))))</f>
        <v/>
      </c>
      <c r="P3" s="7" t="n"/>
      <c r="Q3" s="7" t="n"/>
      <c r="R3" s="7" t="n"/>
      <c r="S3" s="8">
        <f>IF(A3="","",P3+Q3+R3)</f>
        <v/>
      </c>
      <c r="T3" s="7" t="n"/>
      <c r="U3" s="4">
        <f>IF(A3="","",IF(T3=0,"Set a cap",IF(S3&gt;T3,"Over cap - three batches lock too much cash; shrink the batch","OK")))</f>
        <v/>
      </c>
    </row>
    <row r="4">
      <c r="E4" s="4">
        <f>IF(A4="","",IF(D4=0,"",IF(D4&gt;2,"Stale - likely saturated","Fresh")))</f>
        <v/>
      </c>
      <c r="I4" s="7" t="n"/>
      <c r="J4" s="7" t="n"/>
      <c r="K4" s="7" t="n"/>
      <c r="L4" s="8">
        <f>IF(A4="","",I4-J4)</f>
        <v/>
      </c>
      <c r="M4" s="8">
        <f>IF(A4="","",J4-K4)</f>
        <v/>
      </c>
      <c r="N4" s="9">
        <f>IF(A4="","",IFERROR((J4-K4)/J4,0))</f>
        <v/>
      </c>
      <c r="O4" s="4">
        <f>IF(A4="","",IF(M4&lt;=0,"Drop",IF(AND(L4&gt;0,N4&gt;=0.6),"Profit product",IF(N4&gt;=0.5,"Traffic product","Thin - rework"))))</f>
        <v/>
      </c>
      <c r="P4" s="7" t="n"/>
      <c r="Q4" s="7" t="n"/>
      <c r="R4" s="7" t="n"/>
      <c r="S4" s="8">
        <f>IF(A4="","",P4+Q4+R4)</f>
        <v/>
      </c>
      <c r="T4" s="7" t="n"/>
      <c r="U4" s="4">
        <f>IF(A4="","",IF(T4=0,"Set a cap",IF(S4&gt;T4,"Over cap - three batches lock too much cash; shrink the batch","OK")))</f>
        <v/>
      </c>
    </row>
    <row r="5">
      <c r="E5" s="4">
        <f>IF(A5="","",IF(D5=0,"",IF(D5&gt;2,"Stale - likely saturated","Fresh")))</f>
        <v/>
      </c>
      <c r="I5" s="7" t="n"/>
      <c r="J5" s="7" t="n"/>
      <c r="K5" s="7" t="n"/>
      <c r="L5" s="8">
        <f>IF(A5="","",I5-J5)</f>
        <v/>
      </c>
      <c r="M5" s="8">
        <f>IF(A5="","",J5-K5)</f>
        <v/>
      </c>
      <c r="N5" s="9">
        <f>IF(A5="","",IFERROR((J5-K5)/J5,0))</f>
        <v/>
      </c>
      <c r="O5" s="4">
        <f>IF(A5="","",IF(M5&lt;=0,"Drop",IF(AND(L5&gt;0,N5&gt;=0.6),"Profit product",IF(N5&gt;=0.5,"Traffic product","Thin - rework"))))</f>
        <v/>
      </c>
      <c r="P5" s="7" t="n"/>
      <c r="Q5" s="7" t="n"/>
      <c r="R5" s="7" t="n"/>
      <c r="S5" s="8">
        <f>IF(A5="","",P5+Q5+R5)</f>
        <v/>
      </c>
      <c r="T5" s="7" t="n"/>
      <c r="U5" s="4">
        <f>IF(A5="","",IF(T5=0,"Set a cap",IF(S5&gt;T5,"Over cap - three batches lock too much cash; shrink the batch","OK")))</f>
        <v/>
      </c>
    </row>
    <row r="6">
      <c r="E6" s="4">
        <f>IF(A6="","",IF(D6=0,"",IF(D6&gt;2,"Stale - likely saturated","Fresh")))</f>
        <v/>
      </c>
      <c r="I6" s="7" t="n"/>
      <c r="J6" s="7" t="n"/>
      <c r="K6" s="7" t="n"/>
      <c r="L6" s="8">
        <f>IF(A6="","",I6-J6)</f>
        <v/>
      </c>
      <c r="M6" s="8">
        <f>IF(A6="","",J6-K6)</f>
        <v/>
      </c>
      <c r="N6" s="9">
        <f>IF(A6="","",IFERROR((J6-K6)/J6,0))</f>
        <v/>
      </c>
      <c r="O6" s="4">
        <f>IF(A6="","",IF(M6&lt;=0,"Drop",IF(AND(L6&gt;0,N6&gt;=0.6),"Profit product",IF(N6&gt;=0.5,"Traffic product","Thin - rework"))))</f>
        <v/>
      </c>
      <c r="P6" s="7" t="n"/>
      <c r="Q6" s="7" t="n"/>
      <c r="R6" s="7" t="n"/>
      <c r="S6" s="8">
        <f>IF(A6="","",P6+Q6+R6)</f>
        <v/>
      </c>
      <c r="T6" s="7" t="n"/>
      <c r="U6" s="4">
        <f>IF(A6="","",IF(T6=0,"Set a cap",IF(S6&gt;T6,"Over cap - three batches lock too much cash; shrink the batch","OK")))</f>
        <v/>
      </c>
    </row>
    <row r="7">
      <c r="E7" s="4">
        <f>IF(A7="","",IF(D7=0,"",IF(D7&gt;2,"Stale - likely saturated","Fresh")))</f>
        <v/>
      </c>
      <c r="I7" s="7" t="n"/>
      <c r="J7" s="7" t="n"/>
      <c r="K7" s="7" t="n"/>
      <c r="L7" s="8">
        <f>IF(A7="","",I7-J7)</f>
        <v/>
      </c>
      <c r="M7" s="8">
        <f>IF(A7="","",J7-K7)</f>
        <v/>
      </c>
      <c r="N7" s="9">
        <f>IF(A7="","",IFERROR((J7-K7)/J7,0))</f>
        <v/>
      </c>
      <c r="O7" s="4">
        <f>IF(A7="","",IF(M7&lt;=0,"Drop",IF(AND(L7&gt;0,N7&gt;=0.6),"Profit product",IF(N7&gt;=0.5,"Traffic product","Thin - rework"))))</f>
        <v/>
      </c>
      <c r="P7" s="7" t="n"/>
      <c r="Q7" s="7" t="n"/>
      <c r="R7" s="7" t="n"/>
      <c r="S7" s="8">
        <f>IF(A7="","",P7+Q7+R7)</f>
        <v/>
      </c>
      <c r="T7" s="7" t="n"/>
      <c r="U7" s="4">
        <f>IF(A7="","",IF(T7=0,"Set a cap",IF(S7&gt;T7,"Over cap - three batches lock too much cash; shrink the batch","OK")))</f>
        <v/>
      </c>
    </row>
    <row r="8">
      <c r="E8" s="4">
        <f>IF(A8="","",IF(D8=0,"",IF(D8&gt;2,"Stale - likely saturated","Fresh")))</f>
        <v/>
      </c>
      <c r="I8" s="7" t="n"/>
      <c r="J8" s="7" t="n"/>
      <c r="K8" s="7" t="n"/>
      <c r="L8" s="8">
        <f>IF(A8="","",I8-J8)</f>
        <v/>
      </c>
      <c r="M8" s="8">
        <f>IF(A8="","",J8-K8)</f>
        <v/>
      </c>
      <c r="N8" s="9">
        <f>IF(A8="","",IFERROR((J8-K8)/J8,0))</f>
        <v/>
      </c>
      <c r="O8" s="4">
        <f>IF(A8="","",IF(M8&lt;=0,"Drop",IF(AND(L8&gt;0,N8&gt;=0.6),"Profit product",IF(N8&gt;=0.5,"Traffic product","Thin - rework"))))</f>
        <v/>
      </c>
      <c r="P8" s="7" t="n"/>
      <c r="Q8" s="7" t="n"/>
      <c r="R8" s="7" t="n"/>
      <c r="S8" s="8">
        <f>IF(A8="","",P8+Q8+R8)</f>
        <v/>
      </c>
      <c r="T8" s="7" t="n"/>
      <c r="U8" s="4">
        <f>IF(A8="","",IF(T8=0,"Set a cap",IF(S8&gt;T8,"Over cap - three batches lock too much cash; shrink the batch","OK")))</f>
        <v/>
      </c>
    </row>
    <row r="9">
      <c r="E9" s="4">
        <f>IF(A9="","",IF(D9=0,"",IF(D9&gt;2,"Stale - likely saturated","Fresh")))</f>
        <v/>
      </c>
      <c r="I9" s="7" t="n"/>
      <c r="J9" s="7" t="n"/>
      <c r="K9" s="7" t="n"/>
      <c r="L9" s="8">
        <f>IF(A9="","",I9-J9)</f>
        <v/>
      </c>
      <c r="M9" s="8">
        <f>IF(A9="","",J9-K9)</f>
        <v/>
      </c>
      <c r="N9" s="9">
        <f>IF(A9="","",IFERROR((J9-K9)/J9,0))</f>
        <v/>
      </c>
      <c r="O9" s="4">
        <f>IF(A9="","",IF(M9&lt;=0,"Drop",IF(AND(L9&gt;0,N9&gt;=0.6),"Profit product",IF(N9&gt;=0.5,"Traffic product","Thin - rework"))))</f>
        <v/>
      </c>
      <c r="P9" s="7" t="n"/>
      <c r="Q9" s="7" t="n"/>
      <c r="R9" s="7" t="n"/>
      <c r="S9" s="8">
        <f>IF(A9="","",P9+Q9+R9)</f>
        <v/>
      </c>
      <c r="T9" s="7" t="n"/>
      <c r="U9" s="4">
        <f>IF(A9="","",IF(T9=0,"Set a cap",IF(S9&gt;T9,"Over cap - three batches lock too much cash; shrink the batch","OK")))</f>
        <v/>
      </c>
    </row>
    <row r="10">
      <c r="E10" s="4">
        <f>IF(A10="","",IF(D10=0,"",IF(D10&gt;2,"Stale - likely saturated","Fresh")))</f>
        <v/>
      </c>
      <c r="I10" s="7" t="n"/>
      <c r="J10" s="7" t="n"/>
      <c r="K10" s="7" t="n"/>
      <c r="L10" s="8">
        <f>IF(A10="","",I10-J10)</f>
        <v/>
      </c>
      <c r="M10" s="8">
        <f>IF(A10="","",J10-K10)</f>
        <v/>
      </c>
      <c r="N10" s="9">
        <f>IF(A10="","",IFERROR((J10-K10)/J10,0))</f>
        <v/>
      </c>
      <c r="O10" s="4">
        <f>IF(A10="","",IF(M10&lt;=0,"Drop",IF(AND(L10&gt;0,N10&gt;=0.6),"Profit product",IF(N10&gt;=0.5,"Traffic product","Thin - rework"))))</f>
        <v/>
      </c>
      <c r="P10" s="7" t="n"/>
      <c r="Q10" s="7" t="n"/>
      <c r="R10" s="7" t="n"/>
      <c r="S10" s="8">
        <f>IF(A10="","",P10+Q10+R10)</f>
        <v/>
      </c>
      <c r="T10" s="7" t="n"/>
      <c r="U10" s="4">
        <f>IF(A10="","",IF(T10=0,"Set a cap",IF(S10&gt;T10,"Over cap - three batches lock too much cash; shrink the batch","OK")))</f>
        <v/>
      </c>
    </row>
    <row r="11">
      <c r="E11" s="4">
        <f>IF(A11="","",IF(D11=0,"",IF(D11&gt;2,"Stale - likely saturated","Fresh")))</f>
        <v/>
      </c>
      <c r="I11" s="7" t="n"/>
      <c r="J11" s="7" t="n"/>
      <c r="K11" s="7" t="n"/>
      <c r="L11" s="8">
        <f>IF(A11="","",I11-J11)</f>
        <v/>
      </c>
      <c r="M11" s="8">
        <f>IF(A11="","",J11-K11)</f>
        <v/>
      </c>
      <c r="N11" s="9">
        <f>IF(A11="","",IFERROR((J11-K11)/J11,0))</f>
        <v/>
      </c>
      <c r="O11" s="4">
        <f>IF(A11="","",IF(M11&lt;=0,"Drop",IF(AND(L11&gt;0,N11&gt;=0.6),"Profit product",IF(N11&gt;=0.5,"Traffic product","Thin - rework"))))</f>
        <v/>
      </c>
      <c r="P11" s="7" t="n"/>
      <c r="Q11" s="7" t="n"/>
      <c r="R11" s="7" t="n"/>
      <c r="S11" s="8">
        <f>IF(A11="","",P11+Q11+R11)</f>
        <v/>
      </c>
      <c r="T11" s="7" t="n"/>
      <c r="U11" s="4">
        <f>IF(A11="","",IF(T11=0,"Set a cap",IF(S11&gt;T11,"Over cap - three batches lock too much cash; shrink the batch","OK")))</f>
        <v/>
      </c>
    </row>
    <row r="12">
      <c r="E12" s="4">
        <f>IF(A12="","",IF(D12=0,"",IF(D12&gt;2,"Stale - likely saturated","Fresh")))</f>
        <v/>
      </c>
      <c r="I12" s="7" t="n"/>
      <c r="J12" s="7" t="n"/>
      <c r="K12" s="7" t="n"/>
      <c r="L12" s="8">
        <f>IF(A12="","",I12-J12)</f>
        <v/>
      </c>
      <c r="M12" s="8">
        <f>IF(A12="","",J12-K12)</f>
        <v/>
      </c>
      <c r="N12" s="9">
        <f>IF(A12="","",IFERROR((J12-K12)/J12,0))</f>
        <v/>
      </c>
      <c r="O12" s="4">
        <f>IF(A12="","",IF(M12&lt;=0,"Drop",IF(AND(L12&gt;0,N12&gt;=0.6),"Profit product",IF(N12&gt;=0.5,"Traffic product","Thin - rework"))))</f>
        <v/>
      </c>
      <c r="P12" s="7" t="n"/>
      <c r="Q12" s="7" t="n"/>
      <c r="R12" s="7" t="n"/>
      <c r="S12" s="8">
        <f>IF(A12="","",P12+Q12+R12)</f>
        <v/>
      </c>
      <c r="T12" s="7" t="n"/>
      <c r="U12" s="4">
        <f>IF(A12="","",IF(T12=0,"Set a cap",IF(S12&gt;T12,"Over cap - three batches lock too much cash; shrink the batch","OK")))</f>
        <v/>
      </c>
    </row>
    <row r="13">
      <c r="E13" s="4">
        <f>IF(A13="","",IF(D13=0,"",IF(D13&gt;2,"Stale - likely saturated","Fresh")))</f>
        <v/>
      </c>
      <c r="I13" s="7" t="n"/>
      <c r="J13" s="7" t="n"/>
      <c r="K13" s="7" t="n"/>
      <c r="L13" s="8">
        <f>IF(A13="","",I13-J13)</f>
        <v/>
      </c>
      <c r="M13" s="8">
        <f>IF(A13="","",J13-K13)</f>
        <v/>
      </c>
      <c r="N13" s="9">
        <f>IF(A13="","",IFERROR((J13-K13)/J13,0))</f>
        <v/>
      </c>
      <c r="O13" s="4">
        <f>IF(A13="","",IF(M13&lt;=0,"Drop",IF(AND(L13&gt;0,N13&gt;=0.6),"Profit product",IF(N13&gt;=0.5,"Traffic product","Thin - rework"))))</f>
        <v/>
      </c>
      <c r="P13" s="7" t="n"/>
      <c r="Q13" s="7" t="n"/>
      <c r="R13" s="7" t="n"/>
      <c r="S13" s="8">
        <f>IF(A13="","",P13+Q13+R13)</f>
        <v/>
      </c>
      <c r="T13" s="7" t="n"/>
      <c r="U13" s="4">
        <f>IF(A13="","",IF(T13=0,"Set a cap",IF(S13&gt;T13,"Over cap - three batches lock too much cash; shrink the batch","OK")))</f>
        <v/>
      </c>
    </row>
    <row r="14">
      <c r="E14" s="4">
        <f>IF(A14="","",IF(D14=0,"",IF(D14&gt;2,"Stale - likely saturated","Fresh")))</f>
        <v/>
      </c>
      <c r="I14" s="7" t="n"/>
      <c r="J14" s="7" t="n"/>
      <c r="K14" s="7" t="n"/>
      <c r="L14" s="8">
        <f>IF(A14="","",I14-J14)</f>
        <v/>
      </c>
      <c r="M14" s="8">
        <f>IF(A14="","",J14-K14)</f>
        <v/>
      </c>
      <c r="N14" s="9">
        <f>IF(A14="","",IFERROR((J14-K14)/J14,0))</f>
        <v/>
      </c>
      <c r="O14" s="4">
        <f>IF(A14="","",IF(M14&lt;=0,"Drop",IF(AND(L14&gt;0,N14&gt;=0.6),"Profit product",IF(N14&gt;=0.5,"Traffic product","Thin - rework"))))</f>
        <v/>
      </c>
      <c r="P14" s="7" t="n"/>
      <c r="Q14" s="7" t="n"/>
      <c r="R14" s="7" t="n"/>
      <c r="S14" s="8">
        <f>IF(A14="","",P14+Q14+R14)</f>
        <v/>
      </c>
      <c r="T14" s="7" t="n"/>
      <c r="U14" s="4">
        <f>IF(A14="","",IF(T14=0,"Set a cap",IF(S14&gt;T14,"Over cap - three batches lock too much cash; shrink the batch","OK")))</f>
        <v/>
      </c>
    </row>
    <row r="15">
      <c r="E15" s="4">
        <f>IF(A15="","",IF(D15=0,"",IF(D15&gt;2,"Stale - likely saturated","Fresh")))</f>
        <v/>
      </c>
      <c r="I15" s="7" t="n"/>
      <c r="J15" s="7" t="n"/>
      <c r="K15" s="7" t="n"/>
      <c r="L15" s="8">
        <f>IF(A15="","",I15-J15)</f>
        <v/>
      </c>
      <c r="M15" s="8">
        <f>IF(A15="","",J15-K15)</f>
        <v/>
      </c>
      <c r="N15" s="9">
        <f>IF(A15="","",IFERROR((J15-K15)/J15,0))</f>
        <v/>
      </c>
      <c r="O15" s="4">
        <f>IF(A15="","",IF(M15&lt;=0,"Drop",IF(AND(L15&gt;0,N15&gt;=0.6),"Profit product",IF(N15&gt;=0.5,"Traffic product","Thin - rework"))))</f>
        <v/>
      </c>
      <c r="P15" s="7" t="n"/>
      <c r="Q15" s="7" t="n"/>
      <c r="R15" s="7" t="n"/>
      <c r="S15" s="8">
        <f>IF(A15="","",P15+Q15+R15)</f>
        <v/>
      </c>
      <c r="T15" s="7" t="n"/>
      <c r="U15" s="4">
        <f>IF(A15="","",IF(T15=0,"Set a cap",IF(S15&gt;T15,"Over cap - three batches lock too much cash; shrink the batch","OK")))</f>
        <v/>
      </c>
    </row>
    <row r="16">
      <c r="E16" s="4">
        <f>IF(A16="","",IF(D16=0,"",IF(D16&gt;2,"Stale - likely saturated","Fresh")))</f>
        <v/>
      </c>
      <c r="I16" s="7" t="n"/>
      <c r="J16" s="7" t="n"/>
      <c r="K16" s="7" t="n"/>
      <c r="L16" s="8">
        <f>IF(A16="","",I16-J16)</f>
        <v/>
      </c>
      <c r="M16" s="8">
        <f>IF(A16="","",J16-K16)</f>
        <v/>
      </c>
      <c r="N16" s="9">
        <f>IF(A16="","",IFERROR((J16-K16)/J16,0))</f>
        <v/>
      </c>
      <c r="O16" s="4">
        <f>IF(A16="","",IF(M16&lt;=0,"Drop",IF(AND(L16&gt;0,N16&gt;=0.6),"Profit product",IF(N16&gt;=0.5,"Traffic product","Thin - rework"))))</f>
        <v/>
      </c>
      <c r="P16" s="7" t="n"/>
      <c r="Q16" s="7" t="n"/>
      <c r="R16" s="7" t="n"/>
      <c r="S16" s="8">
        <f>IF(A16="","",P16+Q16+R16)</f>
        <v/>
      </c>
      <c r="T16" s="7" t="n"/>
      <c r="U16" s="4">
        <f>IF(A16="","",IF(T16=0,"Set a cap",IF(S16&gt;T16,"Over cap - three batches lock too much cash; shrink the batch","OK")))</f>
        <v/>
      </c>
    </row>
    <row r="17">
      <c r="E17" s="4">
        <f>IF(A17="","",IF(D17=0,"",IF(D17&gt;2,"Stale - likely saturated","Fresh")))</f>
        <v/>
      </c>
      <c r="I17" s="7" t="n"/>
      <c r="J17" s="7" t="n"/>
      <c r="K17" s="7" t="n"/>
      <c r="L17" s="8">
        <f>IF(A17="","",I17-J17)</f>
        <v/>
      </c>
      <c r="M17" s="8">
        <f>IF(A17="","",J17-K17)</f>
        <v/>
      </c>
      <c r="N17" s="9">
        <f>IF(A17="","",IFERROR((J17-K17)/J17,0))</f>
        <v/>
      </c>
      <c r="O17" s="4">
        <f>IF(A17="","",IF(M17&lt;=0,"Drop",IF(AND(L17&gt;0,N17&gt;=0.6),"Profit product",IF(N17&gt;=0.5,"Traffic product","Thin - rework"))))</f>
        <v/>
      </c>
      <c r="P17" s="7" t="n"/>
      <c r="Q17" s="7" t="n"/>
      <c r="R17" s="7" t="n"/>
      <c r="S17" s="8">
        <f>IF(A17="","",P17+Q17+R17)</f>
        <v/>
      </c>
      <c r="T17" s="7" t="n"/>
      <c r="U17" s="4">
        <f>IF(A17="","",IF(T17=0,"Set a cap",IF(S17&gt;T17,"Over cap - three batches lock too much cash; shrink the batch","OK")))</f>
        <v/>
      </c>
    </row>
    <row r="18">
      <c r="E18" s="4">
        <f>IF(A18="","",IF(D18=0,"",IF(D18&gt;2,"Stale - likely saturated","Fresh")))</f>
        <v/>
      </c>
      <c r="I18" s="7" t="n"/>
      <c r="J18" s="7" t="n"/>
      <c r="K18" s="7" t="n"/>
      <c r="L18" s="8">
        <f>IF(A18="","",I18-J18)</f>
        <v/>
      </c>
      <c r="M18" s="8">
        <f>IF(A18="","",J18-K18)</f>
        <v/>
      </c>
      <c r="N18" s="9">
        <f>IF(A18="","",IFERROR((J18-K18)/J18,0))</f>
        <v/>
      </c>
      <c r="O18" s="4">
        <f>IF(A18="","",IF(M18&lt;=0,"Drop",IF(AND(L18&gt;0,N18&gt;=0.6),"Profit product",IF(N18&gt;=0.5,"Traffic product","Thin - rework"))))</f>
        <v/>
      </c>
      <c r="P18" s="7" t="n"/>
      <c r="Q18" s="7" t="n"/>
      <c r="R18" s="7" t="n"/>
      <c r="S18" s="8">
        <f>IF(A18="","",P18+Q18+R18)</f>
        <v/>
      </c>
      <c r="T18" s="7" t="n"/>
      <c r="U18" s="4">
        <f>IF(A18="","",IF(T18=0,"Set a cap",IF(S18&gt;T18,"Over cap - three batches lock too much cash; shrink the batch","OK")))</f>
        <v/>
      </c>
    </row>
    <row r="19">
      <c r="E19" s="4">
        <f>IF(A19="","",IF(D19=0,"",IF(D19&gt;2,"Stale - likely saturated","Fresh")))</f>
        <v/>
      </c>
      <c r="I19" s="7" t="n"/>
      <c r="J19" s="7" t="n"/>
      <c r="K19" s="7" t="n"/>
      <c r="L19" s="8">
        <f>IF(A19="","",I19-J19)</f>
        <v/>
      </c>
      <c r="M19" s="8">
        <f>IF(A19="","",J19-K19)</f>
        <v/>
      </c>
      <c r="N19" s="9">
        <f>IF(A19="","",IFERROR((J19-K19)/J19,0))</f>
        <v/>
      </c>
      <c r="O19" s="4">
        <f>IF(A19="","",IF(M19&lt;=0,"Drop",IF(AND(L19&gt;0,N19&gt;=0.6),"Profit product",IF(N19&gt;=0.5,"Traffic product","Thin - rework"))))</f>
        <v/>
      </c>
      <c r="P19" s="7" t="n"/>
      <c r="Q19" s="7" t="n"/>
      <c r="R19" s="7" t="n"/>
      <c r="S19" s="8">
        <f>IF(A19="","",P19+Q19+R19)</f>
        <v/>
      </c>
      <c r="T19" s="7" t="n"/>
      <c r="U19" s="4">
        <f>IF(A19="","",IF(T19=0,"Set a cap",IF(S19&gt;T19,"Over cap - three batches lock too much cash; shrink the batch","OK")))</f>
        <v/>
      </c>
    </row>
    <row r="20">
      <c r="E20" s="4">
        <f>IF(A20="","",IF(D20=0,"",IF(D20&gt;2,"Stale - likely saturated","Fresh")))</f>
        <v/>
      </c>
      <c r="I20" s="7" t="n"/>
      <c r="J20" s="7" t="n"/>
      <c r="K20" s="7" t="n"/>
      <c r="L20" s="8">
        <f>IF(A20="","",I20-J20)</f>
        <v/>
      </c>
      <c r="M20" s="8">
        <f>IF(A20="","",J20-K20)</f>
        <v/>
      </c>
      <c r="N20" s="9">
        <f>IF(A20="","",IFERROR((J20-K20)/J20,0))</f>
        <v/>
      </c>
      <c r="O20" s="4">
        <f>IF(A20="","",IF(M20&lt;=0,"Drop",IF(AND(L20&gt;0,N20&gt;=0.6),"Profit product",IF(N20&gt;=0.5,"Traffic product","Thin - rework"))))</f>
        <v/>
      </c>
      <c r="P20" s="7" t="n"/>
      <c r="Q20" s="7" t="n"/>
      <c r="R20" s="7" t="n"/>
      <c r="S20" s="8">
        <f>IF(A20="","",P20+Q20+R20)</f>
        <v/>
      </c>
      <c r="T20" s="7" t="n"/>
      <c r="U20" s="4">
        <f>IF(A20="","",IF(T20=0,"Set a cap",IF(S20&gt;T20,"Over cap - three batches lock too much cash; shrink the batch","OK")))</f>
        <v/>
      </c>
    </row>
    <row r="21">
      <c r="E21" s="4">
        <f>IF(A21="","",IF(D21=0,"",IF(D21&gt;2,"Stale - likely saturated","Fresh")))</f>
        <v/>
      </c>
      <c r="I21" s="7" t="n"/>
      <c r="J21" s="7" t="n"/>
      <c r="K21" s="7" t="n"/>
      <c r="L21" s="8">
        <f>IF(A21="","",I21-J21)</f>
        <v/>
      </c>
      <c r="M21" s="8">
        <f>IF(A21="","",J21-K21)</f>
        <v/>
      </c>
      <c r="N21" s="9">
        <f>IF(A21="","",IFERROR((J21-K21)/J21,0))</f>
        <v/>
      </c>
      <c r="O21" s="4">
        <f>IF(A21="","",IF(M21&lt;=0,"Drop",IF(AND(L21&gt;0,N21&gt;=0.6),"Profit product",IF(N21&gt;=0.5,"Traffic product","Thin - rework"))))</f>
        <v/>
      </c>
      <c r="P21" s="7" t="n"/>
      <c r="Q21" s="7" t="n"/>
      <c r="R21" s="7" t="n"/>
      <c r="S21" s="8">
        <f>IF(A21="","",P21+Q21+R21)</f>
        <v/>
      </c>
      <c r="T21" s="7" t="n"/>
      <c r="U21" s="4">
        <f>IF(A21="","",IF(T21=0,"Set a cap",IF(S21&gt;T21,"Over cap - three batches lock too much cash; shrink the batch","OK")))</f>
        <v/>
      </c>
    </row>
    <row r="22">
      <c r="E22" s="4">
        <f>IF(A22="","",IF(D22=0,"",IF(D22&gt;2,"Stale - likely saturated","Fresh")))</f>
        <v/>
      </c>
      <c r="I22" s="7" t="n"/>
      <c r="J22" s="7" t="n"/>
      <c r="K22" s="7" t="n"/>
      <c r="L22" s="8">
        <f>IF(A22="","",I22-J22)</f>
        <v/>
      </c>
      <c r="M22" s="8">
        <f>IF(A22="","",J22-K22)</f>
        <v/>
      </c>
      <c r="N22" s="9">
        <f>IF(A22="","",IFERROR((J22-K22)/J22,0))</f>
        <v/>
      </c>
      <c r="O22" s="4">
        <f>IF(A22="","",IF(M22&lt;=0,"Drop",IF(AND(L22&gt;0,N22&gt;=0.6),"Profit product",IF(N22&gt;=0.5,"Traffic product","Thin - rework"))))</f>
        <v/>
      </c>
      <c r="P22" s="7" t="n"/>
      <c r="Q22" s="7" t="n"/>
      <c r="R22" s="7" t="n"/>
      <c r="S22" s="8">
        <f>IF(A22="","",P22+Q22+R22)</f>
        <v/>
      </c>
      <c r="T22" s="7" t="n"/>
      <c r="U22" s="4">
        <f>IF(A22="","",IF(T22=0,"Set a cap",IF(S22&gt;T22,"Over cap - three batches lock too much cash; shrink the batch","OK")))</f>
        <v/>
      </c>
    </row>
    <row r="23">
      <c r="E23" s="4">
        <f>IF(A23="","",IF(D23=0,"",IF(D23&gt;2,"Stale - likely saturated","Fresh")))</f>
        <v/>
      </c>
      <c r="I23" s="7" t="n"/>
      <c r="J23" s="7" t="n"/>
      <c r="K23" s="7" t="n"/>
      <c r="L23" s="8">
        <f>IF(A23="","",I23-J23)</f>
        <v/>
      </c>
      <c r="M23" s="8">
        <f>IF(A23="","",J23-K23)</f>
        <v/>
      </c>
      <c r="N23" s="9">
        <f>IF(A23="","",IFERROR((J23-K23)/J23,0))</f>
        <v/>
      </c>
      <c r="O23" s="4">
        <f>IF(A23="","",IF(M23&lt;=0,"Drop",IF(AND(L23&gt;0,N23&gt;=0.6),"Profit product",IF(N23&gt;=0.5,"Traffic product","Thin - rework"))))</f>
        <v/>
      </c>
      <c r="P23" s="7" t="n"/>
      <c r="Q23" s="7" t="n"/>
      <c r="R23" s="7" t="n"/>
      <c r="S23" s="8">
        <f>IF(A23="","",P23+Q23+R23)</f>
        <v/>
      </c>
      <c r="T23" s="7" t="n"/>
      <c r="U23" s="4">
        <f>IF(A23="","",IF(T23=0,"Set a cap",IF(S23&gt;T23,"Over cap - three batches lock too much cash; shrink the batch","OK")))</f>
        <v/>
      </c>
    </row>
    <row r="24">
      <c r="E24" s="4">
        <f>IF(A24="","",IF(D24=0,"",IF(D24&gt;2,"Stale - likely saturated","Fresh")))</f>
        <v/>
      </c>
      <c r="I24" s="7" t="n"/>
      <c r="J24" s="7" t="n"/>
      <c r="K24" s="7" t="n"/>
      <c r="L24" s="8">
        <f>IF(A24="","",I24-J24)</f>
        <v/>
      </c>
      <c r="M24" s="8">
        <f>IF(A24="","",J24-K24)</f>
        <v/>
      </c>
      <c r="N24" s="9">
        <f>IF(A24="","",IFERROR((J24-K24)/J24,0))</f>
        <v/>
      </c>
      <c r="O24" s="4">
        <f>IF(A24="","",IF(M24&lt;=0,"Drop",IF(AND(L24&gt;0,N24&gt;=0.6),"Profit product",IF(N24&gt;=0.5,"Traffic product","Thin - rework"))))</f>
        <v/>
      </c>
      <c r="P24" s="7" t="n"/>
      <c r="Q24" s="7" t="n"/>
      <c r="R24" s="7" t="n"/>
      <c r="S24" s="8">
        <f>IF(A24="","",P24+Q24+R24)</f>
        <v/>
      </c>
      <c r="T24" s="7" t="n"/>
      <c r="U24" s="4">
        <f>IF(A24="","",IF(T24=0,"Set a cap",IF(S24&gt;T24,"Over cap - three batches lock too much cash; shrink the batch","OK")))</f>
        <v/>
      </c>
    </row>
    <row r="25">
      <c r="E25" s="4">
        <f>IF(A25="","",IF(D25=0,"",IF(D25&gt;2,"Stale - likely saturated","Fresh")))</f>
        <v/>
      </c>
      <c r="I25" s="7" t="n"/>
      <c r="J25" s="7" t="n"/>
      <c r="K25" s="7" t="n"/>
      <c r="L25" s="8">
        <f>IF(A25="","",I25-J25)</f>
        <v/>
      </c>
      <c r="M25" s="8">
        <f>IF(A25="","",J25-K25)</f>
        <v/>
      </c>
      <c r="N25" s="9">
        <f>IF(A25="","",IFERROR((J25-K25)/J25,0))</f>
        <v/>
      </c>
      <c r="O25" s="4">
        <f>IF(A25="","",IF(M25&lt;=0,"Drop",IF(AND(L25&gt;0,N25&gt;=0.6),"Profit product",IF(N25&gt;=0.5,"Traffic product","Thin - rework"))))</f>
        <v/>
      </c>
      <c r="P25" s="7" t="n"/>
      <c r="Q25" s="7" t="n"/>
      <c r="R25" s="7" t="n"/>
      <c r="S25" s="8">
        <f>IF(A25="","",P25+Q25+R25)</f>
        <v/>
      </c>
      <c r="T25" s="7" t="n"/>
      <c r="U25" s="4">
        <f>IF(A25="","",IF(T25=0,"Set a cap",IF(S25&gt;T25,"Over cap - three batches lock too much cash; shrink the batch","OK")))</f>
        <v/>
      </c>
    </row>
    <row r="26">
      <c r="E26" s="4">
        <f>IF(A26="","",IF(D26=0,"",IF(D26&gt;2,"Stale - likely saturated","Fresh")))</f>
        <v/>
      </c>
      <c r="I26" s="7" t="n"/>
      <c r="J26" s="7" t="n"/>
      <c r="K26" s="7" t="n"/>
      <c r="L26" s="8">
        <f>IF(A26="","",I26-J26)</f>
        <v/>
      </c>
      <c r="M26" s="8">
        <f>IF(A26="","",J26-K26)</f>
        <v/>
      </c>
      <c r="N26" s="9">
        <f>IF(A26="","",IFERROR((J26-K26)/J26,0))</f>
        <v/>
      </c>
      <c r="O26" s="4">
        <f>IF(A26="","",IF(M26&lt;=0,"Drop",IF(AND(L26&gt;0,N26&gt;=0.6),"Profit product",IF(N26&gt;=0.5,"Traffic product","Thin - rework"))))</f>
        <v/>
      </c>
      <c r="P26" s="7" t="n"/>
      <c r="Q26" s="7" t="n"/>
      <c r="R26" s="7" t="n"/>
      <c r="S26" s="8">
        <f>IF(A26="","",P26+Q26+R26)</f>
        <v/>
      </c>
      <c r="T26" s="7" t="n"/>
      <c r="U26" s="4">
        <f>IF(A26="","",IF(T26=0,"Set a cap",IF(S26&gt;T26,"Over cap - three batches lock too much cash; shrink the batch","OK")))</f>
        <v/>
      </c>
    </row>
    <row r="27">
      <c r="E27" s="4">
        <f>IF(A27="","",IF(D27=0,"",IF(D27&gt;2,"Stale - likely saturated","Fresh")))</f>
        <v/>
      </c>
      <c r="I27" s="7" t="n"/>
      <c r="J27" s="7" t="n"/>
      <c r="K27" s="7" t="n"/>
      <c r="L27" s="8">
        <f>IF(A27="","",I27-J27)</f>
        <v/>
      </c>
      <c r="M27" s="8">
        <f>IF(A27="","",J27-K27)</f>
        <v/>
      </c>
      <c r="N27" s="9">
        <f>IF(A27="","",IFERROR((J27-K27)/J27,0))</f>
        <v/>
      </c>
      <c r="O27" s="4">
        <f>IF(A27="","",IF(M27&lt;=0,"Drop",IF(AND(L27&gt;0,N27&gt;=0.6),"Profit product",IF(N27&gt;=0.5,"Traffic product","Thin - rework"))))</f>
        <v/>
      </c>
      <c r="P27" s="7" t="n"/>
      <c r="Q27" s="7" t="n"/>
      <c r="R27" s="7" t="n"/>
      <c r="S27" s="8">
        <f>IF(A27="","",P27+Q27+R27)</f>
        <v/>
      </c>
      <c r="T27" s="7" t="n"/>
      <c r="U27" s="4">
        <f>IF(A27="","",IF(T27=0,"Set a cap",IF(S27&gt;T27,"Over cap - three batches lock too much cash; shrink the batch","OK")))</f>
        <v/>
      </c>
    </row>
    <row r="28">
      <c r="E28" s="4">
        <f>IF(A28="","",IF(D28=0,"",IF(D28&gt;2,"Stale - likely saturated","Fresh")))</f>
        <v/>
      </c>
      <c r="I28" s="7" t="n"/>
      <c r="J28" s="7" t="n"/>
      <c r="K28" s="7" t="n"/>
      <c r="L28" s="8">
        <f>IF(A28="","",I28-J28)</f>
        <v/>
      </c>
      <c r="M28" s="8">
        <f>IF(A28="","",J28-K28)</f>
        <v/>
      </c>
      <c r="N28" s="9">
        <f>IF(A28="","",IFERROR((J28-K28)/J28,0))</f>
        <v/>
      </c>
      <c r="O28" s="4">
        <f>IF(A28="","",IF(M28&lt;=0,"Drop",IF(AND(L28&gt;0,N28&gt;=0.6),"Profit product",IF(N28&gt;=0.5,"Traffic product","Thin - rework"))))</f>
        <v/>
      </c>
      <c r="P28" s="7" t="n"/>
      <c r="Q28" s="7" t="n"/>
      <c r="R28" s="7" t="n"/>
      <c r="S28" s="8">
        <f>IF(A28="","",P28+Q28+R28)</f>
        <v/>
      </c>
      <c r="T28" s="7" t="n"/>
      <c r="U28" s="4">
        <f>IF(A28="","",IF(T28=0,"Set a cap",IF(S28&gt;T28,"Over cap - three batches lock too much cash; shrink the batch","OK")))</f>
        <v/>
      </c>
    </row>
    <row r="29">
      <c r="E29" s="4">
        <f>IF(A29="","",IF(D29=0,"",IF(D29&gt;2,"Stale - likely saturated","Fresh")))</f>
        <v/>
      </c>
      <c r="I29" s="7" t="n"/>
      <c r="J29" s="7" t="n"/>
      <c r="K29" s="7" t="n"/>
      <c r="L29" s="8">
        <f>IF(A29="","",I29-J29)</f>
        <v/>
      </c>
      <c r="M29" s="8">
        <f>IF(A29="","",J29-K29)</f>
        <v/>
      </c>
      <c r="N29" s="9">
        <f>IF(A29="","",IFERROR((J29-K29)/J29,0))</f>
        <v/>
      </c>
      <c r="O29" s="4">
        <f>IF(A29="","",IF(M29&lt;=0,"Drop",IF(AND(L29&gt;0,N29&gt;=0.6),"Profit product",IF(N29&gt;=0.5,"Traffic product","Thin - rework"))))</f>
        <v/>
      </c>
      <c r="P29" s="7" t="n"/>
      <c r="Q29" s="7" t="n"/>
      <c r="R29" s="7" t="n"/>
      <c r="S29" s="8">
        <f>IF(A29="","",P29+Q29+R29)</f>
        <v/>
      </c>
      <c r="T29" s="7" t="n"/>
      <c r="U29" s="4">
        <f>IF(A29="","",IF(T29=0,"Set a cap",IF(S29&gt;T29,"Over cap - three batches lock too much cash; shrink the batch","OK")))</f>
        <v/>
      </c>
    </row>
    <row r="30">
      <c r="E30" s="4">
        <f>IF(A30="","",IF(D30=0,"",IF(D30&gt;2,"Stale - likely saturated","Fresh")))</f>
        <v/>
      </c>
      <c r="I30" s="7" t="n"/>
      <c r="J30" s="7" t="n"/>
      <c r="K30" s="7" t="n"/>
      <c r="L30" s="8">
        <f>IF(A30="","",I30-J30)</f>
        <v/>
      </c>
      <c r="M30" s="8">
        <f>IF(A30="","",J30-K30)</f>
        <v/>
      </c>
      <c r="N30" s="9">
        <f>IF(A30="","",IFERROR((J30-K30)/J30,0))</f>
        <v/>
      </c>
      <c r="O30" s="4">
        <f>IF(A30="","",IF(M30&lt;=0,"Drop",IF(AND(L30&gt;0,N30&gt;=0.6),"Profit product",IF(N30&gt;=0.5,"Traffic product","Thin - rework"))))</f>
        <v/>
      </c>
      <c r="P30" s="7" t="n"/>
      <c r="Q30" s="7" t="n"/>
      <c r="R30" s="7" t="n"/>
      <c r="S30" s="8">
        <f>IF(A30="","",P30+Q30+R30)</f>
        <v/>
      </c>
      <c r="T30" s="7" t="n"/>
      <c r="U30" s="4">
        <f>IF(A30="","",IF(T30=0,"Set a cap",IF(S30&gt;T30,"Over cap - three batches lock too much cash; shrink the batch","OK")))</f>
        <v/>
      </c>
    </row>
    <row r="31">
      <c r="E31" s="4">
        <f>IF(A31="","",IF(D31=0,"",IF(D31&gt;2,"Stale - likely saturated","Fresh")))</f>
        <v/>
      </c>
      <c r="I31" s="7" t="n"/>
      <c r="J31" s="7" t="n"/>
      <c r="K31" s="7" t="n"/>
      <c r="L31" s="8">
        <f>IF(A31="","",I31-J31)</f>
        <v/>
      </c>
      <c r="M31" s="8">
        <f>IF(A31="","",J31-K31)</f>
        <v/>
      </c>
      <c r="N31" s="9">
        <f>IF(A31="","",IFERROR((J31-K31)/J31,0))</f>
        <v/>
      </c>
      <c r="O31" s="4">
        <f>IF(A31="","",IF(M31&lt;=0,"Drop",IF(AND(L31&gt;0,N31&gt;=0.6),"Profit product",IF(N31&gt;=0.5,"Traffic product","Thin - rework"))))</f>
        <v/>
      </c>
      <c r="P31" s="7" t="n"/>
      <c r="Q31" s="7" t="n"/>
      <c r="R31" s="7" t="n"/>
      <c r="S31" s="8">
        <f>IF(A31="","",P31+Q31+R31)</f>
        <v/>
      </c>
      <c r="T31" s="7" t="n"/>
      <c r="U31" s="4">
        <f>IF(A31="","",IF(T31=0,"Set a cap",IF(S31&gt;T31,"Over cap - three batches lock too much cash; shrink the batch","OK")))</f>
        <v/>
      </c>
    </row>
    <row r="32">
      <c r="E32" s="4">
        <f>IF(A32="","",IF(D32=0,"",IF(D32&gt;2,"Stale - likely saturated","Fresh")))</f>
        <v/>
      </c>
      <c r="I32" s="7" t="n"/>
      <c r="J32" s="7" t="n"/>
      <c r="K32" s="7" t="n"/>
      <c r="L32" s="8">
        <f>IF(A32="","",I32-J32)</f>
        <v/>
      </c>
      <c r="M32" s="8">
        <f>IF(A32="","",J32-K32)</f>
        <v/>
      </c>
      <c r="N32" s="9">
        <f>IF(A32="","",IFERROR((J32-K32)/J32,0))</f>
        <v/>
      </c>
      <c r="O32" s="4">
        <f>IF(A32="","",IF(M32&lt;=0,"Drop",IF(AND(L32&gt;0,N32&gt;=0.6),"Profit product",IF(N32&gt;=0.5,"Traffic product","Thin - rework"))))</f>
        <v/>
      </c>
      <c r="P32" s="7" t="n"/>
      <c r="Q32" s="7" t="n"/>
      <c r="R32" s="7" t="n"/>
      <c r="S32" s="8">
        <f>IF(A32="","",P32+Q32+R32)</f>
        <v/>
      </c>
      <c r="T32" s="7" t="n"/>
      <c r="U32" s="4">
        <f>IF(A32="","",IF(T32=0,"Set a cap",IF(S32&gt;T32,"Over cap - three batches lock too much cash; shrink the batch","OK")))</f>
        <v/>
      </c>
    </row>
    <row r="33">
      <c r="E33" s="4">
        <f>IF(A33="","",IF(D33=0,"",IF(D33&gt;2,"Stale - likely saturated","Fresh")))</f>
        <v/>
      </c>
      <c r="I33" s="7" t="n"/>
      <c r="J33" s="7" t="n"/>
      <c r="K33" s="7" t="n"/>
      <c r="L33" s="8">
        <f>IF(A33="","",I33-J33)</f>
        <v/>
      </c>
      <c r="M33" s="8">
        <f>IF(A33="","",J33-K33)</f>
        <v/>
      </c>
      <c r="N33" s="9">
        <f>IF(A33="","",IFERROR((J33-K33)/J33,0))</f>
        <v/>
      </c>
      <c r="O33" s="4">
        <f>IF(A33="","",IF(M33&lt;=0,"Drop",IF(AND(L33&gt;0,N33&gt;=0.6),"Profit product",IF(N33&gt;=0.5,"Traffic product","Thin - rework"))))</f>
        <v/>
      </c>
      <c r="P33" s="7" t="n"/>
      <c r="Q33" s="7" t="n"/>
      <c r="R33" s="7" t="n"/>
      <c r="S33" s="8">
        <f>IF(A33="","",P33+Q33+R33)</f>
        <v/>
      </c>
      <c r="T33" s="7" t="n"/>
      <c r="U33" s="4">
        <f>IF(A33="","",IF(T33=0,"Set a cap",IF(S33&gt;T33,"Over cap - three batches lock too much cash; shrink the batch","OK")))</f>
        <v/>
      </c>
    </row>
    <row r="34">
      <c r="E34" s="4">
        <f>IF(A34="","",IF(D34=0,"",IF(D34&gt;2,"Stale - likely saturated","Fresh")))</f>
        <v/>
      </c>
      <c r="I34" s="7" t="n"/>
      <c r="J34" s="7" t="n"/>
      <c r="K34" s="7" t="n"/>
      <c r="L34" s="8">
        <f>IF(A34="","",I34-J34)</f>
        <v/>
      </c>
      <c r="M34" s="8">
        <f>IF(A34="","",J34-K34)</f>
        <v/>
      </c>
      <c r="N34" s="9">
        <f>IF(A34="","",IFERROR((J34-K34)/J34,0))</f>
        <v/>
      </c>
      <c r="O34" s="4">
        <f>IF(A34="","",IF(M34&lt;=0,"Drop",IF(AND(L34&gt;0,N34&gt;=0.6),"Profit product",IF(N34&gt;=0.5,"Traffic product","Thin - rework"))))</f>
        <v/>
      </c>
      <c r="P34" s="7" t="n"/>
      <c r="Q34" s="7" t="n"/>
      <c r="R34" s="7" t="n"/>
      <c r="S34" s="8">
        <f>IF(A34="","",P34+Q34+R34)</f>
        <v/>
      </c>
      <c r="T34" s="7" t="n"/>
      <c r="U34" s="4">
        <f>IF(A34="","",IF(T34=0,"Set a cap",IF(S34&gt;T34,"Over cap - three batches lock too much cash; shrink the batch","OK")))</f>
        <v/>
      </c>
    </row>
    <row r="35">
      <c r="E35" s="4">
        <f>IF(A35="","",IF(D35=0,"",IF(D35&gt;2,"Stale - likely saturated","Fresh")))</f>
        <v/>
      </c>
      <c r="I35" s="7" t="n"/>
      <c r="J35" s="7" t="n"/>
      <c r="K35" s="7" t="n"/>
      <c r="L35" s="8">
        <f>IF(A35="","",I35-J35)</f>
        <v/>
      </c>
      <c r="M35" s="8">
        <f>IF(A35="","",J35-K35)</f>
        <v/>
      </c>
      <c r="N35" s="9">
        <f>IF(A35="","",IFERROR((J35-K35)/J35,0))</f>
        <v/>
      </c>
      <c r="O35" s="4">
        <f>IF(A35="","",IF(M35&lt;=0,"Drop",IF(AND(L35&gt;0,N35&gt;=0.6),"Profit product",IF(N35&gt;=0.5,"Traffic product","Thin - rework"))))</f>
        <v/>
      </c>
      <c r="P35" s="7" t="n"/>
      <c r="Q35" s="7" t="n"/>
      <c r="R35" s="7" t="n"/>
      <c r="S35" s="8">
        <f>IF(A35="","",P35+Q35+R35)</f>
        <v/>
      </c>
      <c r="T35" s="7" t="n"/>
      <c r="U35" s="4">
        <f>IF(A35="","",IF(T35=0,"Set a cap",IF(S35&gt;T35,"Over cap - three batches lock too much cash; shrink the batch","OK")))</f>
        <v/>
      </c>
    </row>
    <row r="36">
      <c r="E36" s="4">
        <f>IF(A36="","",IF(D36=0,"",IF(D36&gt;2,"Stale - likely saturated","Fresh")))</f>
        <v/>
      </c>
      <c r="I36" s="7" t="n"/>
      <c r="J36" s="7" t="n"/>
      <c r="K36" s="7" t="n"/>
      <c r="L36" s="8">
        <f>IF(A36="","",I36-J36)</f>
        <v/>
      </c>
      <c r="M36" s="8">
        <f>IF(A36="","",J36-K36)</f>
        <v/>
      </c>
      <c r="N36" s="9">
        <f>IF(A36="","",IFERROR((J36-K36)/J36,0))</f>
        <v/>
      </c>
      <c r="O36" s="4">
        <f>IF(A36="","",IF(M36&lt;=0,"Drop",IF(AND(L36&gt;0,N36&gt;=0.6),"Profit product",IF(N36&gt;=0.5,"Traffic product","Thin - rework"))))</f>
        <v/>
      </c>
      <c r="P36" s="7" t="n"/>
      <c r="Q36" s="7" t="n"/>
      <c r="R36" s="7" t="n"/>
      <c r="S36" s="8">
        <f>IF(A36="","",P36+Q36+R36)</f>
        <v/>
      </c>
      <c r="T36" s="7" t="n"/>
      <c r="U36" s="4">
        <f>IF(A36="","",IF(T36=0,"Set a cap",IF(S36&gt;T36,"Over cap - three batches lock too much cash; shrink the batch","OK")))</f>
        <v/>
      </c>
    </row>
    <row r="37">
      <c r="E37" s="4">
        <f>IF(A37="","",IF(D37=0,"",IF(D37&gt;2,"Stale - likely saturated","Fresh")))</f>
        <v/>
      </c>
      <c r="I37" s="7" t="n"/>
      <c r="J37" s="7" t="n"/>
      <c r="K37" s="7" t="n"/>
      <c r="L37" s="8">
        <f>IF(A37="","",I37-J37)</f>
        <v/>
      </c>
      <c r="M37" s="8">
        <f>IF(A37="","",J37-K37)</f>
        <v/>
      </c>
      <c r="N37" s="9">
        <f>IF(A37="","",IFERROR((J37-K37)/J37,0))</f>
        <v/>
      </c>
      <c r="O37" s="4">
        <f>IF(A37="","",IF(M37&lt;=0,"Drop",IF(AND(L37&gt;0,N37&gt;=0.6),"Profit product",IF(N37&gt;=0.5,"Traffic product","Thin - rework"))))</f>
        <v/>
      </c>
      <c r="P37" s="7" t="n"/>
      <c r="Q37" s="7" t="n"/>
      <c r="R37" s="7" t="n"/>
      <c r="S37" s="8">
        <f>IF(A37="","",P37+Q37+R37)</f>
        <v/>
      </c>
      <c r="T37" s="7" t="n"/>
      <c r="U37" s="4">
        <f>IF(A37="","",IF(T37=0,"Set a cap",IF(S37&gt;T37,"Over cap - three batches lock too much cash; shrink the batch","OK")))</f>
        <v/>
      </c>
    </row>
    <row r="38">
      <c r="E38" s="4">
        <f>IF(A38="","",IF(D38=0,"",IF(D38&gt;2,"Stale - likely saturated","Fresh")))</f>
        <v/>
      </c>
      <c r="I38" s="7" t="n"/>
      <c r="J38" s="7" t="n"/>
      <c r="K38" s="7" t="n"/>
      <c r="L38" s="8">
        <f>IF(A38="","",I38-J38)</f>
        <v/>
      </c>
      <c r="M38" s="8">
        <f>IF(A38="","",J38-K38)</f>
        <v/>
      </c>
      <c r="N38" s="9">
        <f>IF(A38="","",IFERROR((J38-K38)/J38,0))</f>
        <v/>
      </c>
      <c r="O38" s="4">
        <f>IF(A38="","",IF(M38&lt;=0,"Drop",IF(AND(L38&gt;0,N38&gt;=0.6),"Profit product",IF(N38&gt;=0.5,"Traffic product","Thin - rework"))))</f>
        <v/>
      </c>
      <c r="P38" s="7" t="n"/>
      <c r="Q38" s="7" t="n"/>
      <c r="R38" s="7" t="n"/>
      <c r="S38" s="8">
        <f>IF(A38="","",P38+Q38+R38)</f>
        <v/>
      </c>
      <c r="T38" s="7" t="n"/>
      <c r="U38" s="4">
        <f>IF(A38="","",IF(T38=0,"Set a cap",IF(S38&gt;T38,"Over cap - three batches lock too much cash; shrink the batch","OK")))</f>
        <v/>
      </c>
    </row>
    <row r="39">
      <c r="E39" s="4">
        <f>IF(A39="","",IF(D39=0,"",IF(D39&gt;2,"Stale - likely saturated","Fresh")))</f>
        <v/>
      </c>
      <c r="I39" s="7" t="n"/>
      <c r="J39" s="7" t="n"/>
      <c r="K39" s="7" t="n"/>
      <c r="L39" s="8">
        <f>IF(A39="","",I39-J39)</f>
        <v/>
      </c>
      <c r="M39" s="8">
        <f>IF(A39="","",J39-K39)</f>
        <v/>
      </c>
      <c r="N39" s="9">
        <f>IF(A39="","",IFERROR((J39-K39)/J39,0))</f>
        <v/>
      </c>
      <c r="O39" s="4">
        <f>IF(A39="","",IF(M39&lt;=0,"Drop",IF(AND(L39&gt;0,N39&gt;=0.6),"Profit product",IF(N39&gt;=0.5,"Traffic product","Thin - rework"))))</f>
        <v/>
      </c>
      <c r="P39" s="7" t="n"/>
      <c r="Q39" s="7" t="n"/>
      <c r="R39" s="7" t="n"/>
      <c r="S39" s="8">
        <f>IF(A39="","",P39+Q39+R39)</f>
        <v/>
      </c>
      <c r="T39" s="7" t="n"/>
      <c r="U39" s="4">
        <f>IF(A39="","",IF(T39=0,"Set a cap",IF(S39&gt;T39,"Over cap - three batches lock too much cash; shrink the batch","OK")))</f>
        <v/>
      </c>
    </row>
    <row r="40">
      <c r="E40" s="4">
        <f>IF(A40="","",IF(D40=0,"",IF(D40&gt;2,"Stale - likely saturated","Fresh")))</f>
        <v/>
      </c>
      <c r="I40" s="7" t="n"/>
      <c r="J40" s="7" t="n"/>
      <c r="K40" s="7" t="n"/>
      <c r="L40" s="8">
        <f>IF(A40="","",I40-J40)</f>
        <v/>
      </c>
      <c r="M40" s="8">
        <f>IF(A40="","",J40-K40)</f>
        <v/>
      </c>
      <c r="N40" s="9">
        <f>IF(A40="","",IFERROR((J40-K40)/J40,0))</f>
        <v/>
      </c>
      <c r="O40" s="4">
        <f>IF(A40="","",IF(M40&lt;=0,"Drop",IF(AND(L40&gt;0,N40&gt;=0.6),"Profit product",IF(N40&gt;=0.5,"Traffic product","Thin - rework"))))</f>
        <v/>
      </c>
      <c r="P40" s="7" t="n"/>
      <c r="Q40" s="7" t="n"/>
      <c r="R40" s="7" t="n"/>
      <c r="S40" s="8">
        <f>IF(A40="","",P40+Q40+R40)</f>
        <v/>
      </c>
      <c r="T40" s="7" t="n"/>
      <c r="U40" s="4">
        <f>IF(A40="","",IF(T40=0,"Set a cap",IF(S40&gt;T40,"Over cap - three batches lock too much cash; shrink the batch","OK")))</f>
        <v/>
      </c>
    </row>
    <row r="41">
      <c r="E41" s="4">
        <f>IF(A41="","",IF(D41=0,"",IF(D41&gt;2,"Stale - likely saturated","Fresh")))</f>
        <v/>
      </c>
      <c r="I41" s="7" t="n"/>
      <c r="J41" s="7" t="n"/>
      <c r="K41" s="7" t="n"/>
      <c r="L41" s="8">
        <f>IF(A41="","",I41-J41)</f>
        <v/>
      </c>
      <c r="M41" s="8">
        <f>IF(A41="","",J41-K41)</f>
        <v/>
      </c>
      <c r="N41" s="9">
        <f>IF(A41="","",IFERROR((J41-K41)/J41,0))</f>
        <v/>
      </c>
      <c r="O41" s="4">
        <f>IF(A41="","",IF(M41&lt;=0,"Drop",IF(AND(L41&gt;0,N41&gt;=0.6),"Profit product",IF(N41&gt;=0.5,"Traffic product","Thin - rework"))))</f>
        <v/>
      </c>
      <c r="P41" s="7" t="n"/>
      <c r="Q41" s="7" t="n"/>
      <c r="R41" s="7" t="n"/>
      <c r="S41" s="8">
        <f>IF(A41="","",P41+Q41+R41)</f>
        <v/>
      </c>
      <c r="T41" s="7" t="n"/>
      <c r="U41" s="4">
        <f>IF(A41="","",IF(T41=0,"Set a cap",IF(S41&gt;T41,"Over cap - three batches lock too much cash; shrink the batch","OK")))</f>
        <v/>
      </c>
    </row>
    <row r="42">
      <c r="E42" s="4">
        <f>IF(A42="","",IF(D42=0,"",IF(D42&gt;2,"Stale - likely saturated","Fresh")))</f>
        <v/>
      </c>
      <c r="I42" s="7" t="n"/>
      <c r="J42" s="7" t="n"/>
      <c r="K42" s="7" t="n"/>
      <c r="L42" s="8">
        <f>IF(A42="","",I42-J42)</f>
        <v/>
      </c>
      <c r="M42" s="8">
        <f>IF(A42="","",J42-K42)</f>
        <v/>
      </c>
      <c r="N42" s="9">
        <f>IF(A42="","",IFERROR((J42-K42)/J42,0))</f>
        <v/>
      </c>
      <c r="O42" s="4">
        <f>IF(A42="","",IF(M42&lt;=0,"Drop",IF(AND(L42&gt;0,N42&gt;=0.6),"Profit product",IF(N42&gt;=0.5,"Traffic product","Thin - rework"))))</f>
        <v/>
      </c>
      <c r="P42" s="7" t="n"/>
      <c r="Q42" s="7" t="n"/>
      <c r="R42" s="7" t="n"/>
      <c r="S42" s="8">
        <f>IF(A42="","",P42+Q42+R42)</f>
        <v/>
      </c>
      <c r="T42" s="7" t="n"/>
      <c r="U42" s="4">
        <f>IF(A42="","",IF(T42=0,"Set a cap",IF(S42&gt;T42,"Over cap - three batches lock too much cash; shrink the batch","OK")))</f>
        <v/>
      </c>
    </row>
    <row r="43">
      <c r="E43" s="4">
        <f>IF(A43="","",IF(D43=0,"",IF(D43&gt;2,"Stale - likely saturated","Fresh")))</f>
        <v/>
      </c>
      <c r="I43" s="7" t="n"/>
      <c r="J43" s="7" t="n"/>
      <c r="K43" s="7" t="n"/>
      <c r="L43" s="8">
        <f>IF(A43="","",I43-J43)</f>
        <v/>
      </c>
      <c r="M43" s="8">
        <f>IF(A43="","",J43-K43)</f>
        <v/>
      </c>
      <c r="N43" s="9">
        <f>IF(A43="","",IFERROR((J43-K43)/J43,0))</f>
        <v/>
      </c>
      <c r="O43" s="4">
        <f>IF(A43="","",IF(M43&lt;=0,"Drop",IF(AND(L43&gt;0,N43&gt;=0.6),"Profit product",IF(N43&gt;=0.5,"Traffic product","Thin - rework"))))</f>
        <v/>
      </c>
      <c r="P43" s="7" t="n"/>
      <c r="Q43" s="7" t="n"/>
      <c r="R43" s="7" t="n"/>
      <c r="S43" s="8">
        <f>IF(A43="","",P43+Q43+R43)</f>
        <v/>
      </c>
      <c r="T43" s="7" t="n"/>
      <c r="U43" s="4">
        <f>IF(A43="","",IF(T43=0,"Set a cap",IF(S43&gt;T43,"Over cap - three batches lock too much cash; shrink the batch","OK")))</f>
        <v/>
      </c>
    </row>
    <row r="44">
      <c r="E44" s="4">
        <f>IF(A44="","",IF(D44=0,"",IF(D44&gt;2,"Stale - likely saturated","Fresh")))</f>
        <v/>
      </c>
      <c r="I44" s="7" t="n"/>
      <c r="J44" s="7" t="n"/>
      <c r="K44" s="7" t="n"/>
      <c r="L44" s="8">
        <f>IF(A44="","",I44-J44)</f>
        <v/>
      </c>
      <c r="M44" s="8">
        <f>IF(A44="","",J44-K44)</f>
        <v/>
      </c>
      <c r="N44" s="9">
        <f>IF(A44="","",IFERROR((J44-K44)/J44,0))</f>
        <v/>
      </c>
      <c r="O44" s="4">
        <f>IF(A44="","",IF(M44&lt;=0,"Drop",IF(AND(L44&gt;0,N44&gt;=0.6),"Profit product",IF(N44&gt;=0.5,"Traffic product","Thin - rework"))))</f>
        <v/>
      </c>
      <c r="P44" s="7" t="n"/>
      <c r="Q44" s="7" t="n"/>
      <c r="R44" s="7" t="n"/>
      <c r="S44" s="8">
        <f>IF(A44="","",P44+Q44+R44)</f>
        <v/>
      </c>
      <c r="T44" s="7" t="n"/>
      <c r="U44" s="4">
        <f>IF(A44="","",IF(T44=0,"Set a cap",IF(S44&gt;T44,"Over cap - three batches lock too much cash; shrink the batch","OK")))</f>
        <v/>
      </c>
    </row>
    <row r="45">
      <c r="E45" s="4">
        <f>IF(A45="","",IF(D45=0,"",IF(D45&gt;2,"Stale - likely saturated","Fresh")))</f>
        <v/>
      </c>
      <c r="I45" s="7" t="n"/>
      <c r="J45" s="7" t="n"/>
      <c r="K45" s="7" t="n"/>
      <c r="L45" s="8">
        <f>IF(A45="","",I45-J45)</f>
        <v/>
      </c>
      <c r="M45" s="8">
        <f>IF(A45="","",J45-K45)</f>
        <v/>
      </c>
      <c r="N45" s="9">
        <f>IF(A45="","",IFERROR((J45-K45)/J45,0))</f>
        <v/>
      </c>
      <c r="O45" s="4">
        <f>IF(A45="","",IF(M45&lt;=0,"Drop",IF(AND(L45&gt;0,N45&gt;=0.6),"Profit product",IF(N45&gt;=0.5,"Traffic product","Thin - rework"))))</f>
        <v/>
      </c>
      <c r="P45" s="7" t="n"/>
      <c r="Q45" s="7" t="n"/>
      <c r="R45" s="7" t="n"/>
      <c r="S45" s="8">
        <f>IF(A45="","",P45+Q45+R45)</f>
        <v/>
      </c>
      <c r="T45" s="7" t="n"/>
      <c r="U45" s="4">
        <f>IF(A45="","",IF(T45=0,"Set a cap",IF(S45&gt;T45,"Over cap - three batches lock too much cash; shrink the batch","OK")))</f>
        <v/>
      </c>
    </row>
    <row r="46">
      <c r="E46" s="4">
        <f>IF(A46="","",IF(D46=0,"",IF(D46&gt;2,"Stale - likely saturated","Fresh")))</f>
        <v/>
      </c>
      <c r="I46" s="7" t="n"/>
      <c r="J46" s="7" t="n"/>
      <c r="K46" s="7" t="n"/>
      <c r="L46" s="8">
        <f>IF(A46="","",I46-J46)</f>
        <v/>
      </c>
      <c r="M46" s="8">
        <f>IF(A46="","",J46-K46)</f>
        <v/>
      </c>
      <c r="N46" s="9">
        <f>IF(A46="","",IFERROR((J46-K46)/J46,0))</f>
        <v/>
      </c>
      <c r="O46" s="4">
        <f>IF(A46="","",IF(M46&lt;=0,"Drop",IF(AND(L46&gt;0,N46&gt;=0.6),"Profit product",IF(N46&gt;=0.5,"Traffic product","Thin - rework"))))</f>
        <v/>
      </c>
      <c r="P46" s="7" t="n"/>
      <c r="Q46" s="7" t="n"/>
      <c r="R46" s="7" t="n"/>
      <c r="S46" s="8">
        <f>IF(A46="","",P46+Q46+R46)</f>
        <v/>
      </c>
      <c r="T46" s="7" t="n"/>
      <c r="U46" s="4">
        <f>IF(A46="","",IF(T46=0,"Set a cap",IF(S46&gt;T46,"Over cap - three batches lock too much cash; shrink the batch","OK")))</f>
        <v/>
      </c>
    </row>
    <row r="47">
      <c r="E47" s="4">
        <f>IF(A47="","",IF(D47=0,"",IF(D47&gt;2,"Stale - likely saturated","Fresh")))</f>
        <v/>
      </c>
      <c r="I47" s="7" t="n"/>
      <c r="J47" s="7" t="n"/>
      <c r="K47" s="7" t="n"/>
      <c r="L47" s="8">
        <f>IF(A47="","",I47-J47)</f>
        <v/>
      </c>
      <c r="M47" s="8">
        <f>IF(A47="","",J47-K47)</f>
        <v/>
      </c>
      <c r="N47" s="9">
        <f>IF(A47="","",IFERROR((J47-K47)/J47,0))</f>
        <v/>
      </c>
      <c r="O47" s="4">
        <f>IF(A47="","",IF(M47&lt;=0,"Drop",IF(AND(L47&gt;0,N47&gt;=0.6),"Profit product",IF(N47&gt;=0.5,"Traffic product","Thin - rework"))))</f>
        <v/>
      </c>
      <c r="P47" s="7" t="n"/>
      <c r="Q47" s="7" t="n"/>
      <c r="R47" s="7" t="n"/>
      <c r="S47" s="8">
        <f>IF(A47="","",P47+Q47+R47)</f>
        <v/>
      </c>
      <c r="T47" s="7" t="n"/>
      <c r="U47" s="4">
        <f>IF(A47="","",IF(T47=0,"Set a cap",IF(S47&gt;T47,"Over cap - three batches lock too much cash; shrink the batch","OK")))</f>
        <v/>
      </c>
    </row>
    <row r="48">
      <c r="E48" s="4">
        <f>IF(A48="","",IF(D48=0,"",IF(D48&gt;2,"Stale - likely saturated","Fresh")))</f>
        <v/>
      </c>
      <c r="I48" s="7" t="n"/>
      <c r="J48" s="7" t="n"/>
      <c r="K48" s="7" t="n"/>
      <c r="L48" s="8">
        <f>IF(A48="","",I48-J48)</f>
        <v/>
      </c>
      <c r="M48" s="8">
        <f>IF(A48="","",J48-K48)</f>
        <v/>
      </c>
      <c r="N48" s="9">
        <f>IF(A48="","",IFERROR((J48-K48)/J48,0))</f>
        <v/>
      </c>
      <c r="O48" s="4">
        <f>IF(A48="","",IF(M48&lt;=0,"Drop",IF(AND(L48&gt;0,N48&gt;=0.6),"Profit product",IF(N48&gt;=0.5,"Traffic product","Thin - rework"))))</f>
        <v/>
      </c>
      <c r="P48" s="7" t="n"/>
      <c r="Q48" s="7" t="n"/>
      <c r="R48" s="7" t="n"/>
      <c r="S48" s="8">
        <f>IF(A48="","",P48+Q48+R48)</f>
        <v/>
      </c>
      <c r="T48" s="7" t="n"/>
      <c r="U48" s="4">
        <f>IF(A48="","",IF(T48=0,"Set a cap",IF(S48&gt;T48,"Over cap - three batches lock too much cash; shrink the batch","OK")))</f>
        <v/>
      </c>
    </row>
    <row r="49">
      <c r="E49" s="4">
        <f>IF(A49="","",IF(D49=0,"",IF(D49&gt;2,"Stale - likely saturated","Fresh")))</f>
        <v/>
      </c>
      <c r="I49" s="7" t="n"/>
      <c r="J49" s="7" t="n"/>
      <c r="K49" s="7" t="n"/>
      <c r="L49" s="8">
        <f>IF(A49="","",I49-J49)</f>
        <v/>
      </c>
      <c r="M49" s="8">
        <f>IF(A49="","",J49-K49)</f>
        <v/>
      </c>
      <c r="N49" s="9">
        <f>IF(A49="","",IFERROR((J49-K49)/J49,0))</f>
        <v/>
      </c>
      <c r="O49" s="4">
        <f>IF(A49="","",IF(M49&lt;=0,"Drop",IF(AND(L49&gt;0,N49&gt;=0.6),"Profit product",IF(N49&gt;=0.5,"Traffic product","Thin - rework"))))</f>
        <v/>
      </c>
      <c r="P49" s="7" t="n"/>
      <c r="Q49" s="7" t="n"/>
      <c r="R49" s="7" t="n"/>
      <c r="S49" s="8">
        <f>IF(A49="","",P49+Q49+R49)</f>
        <v/>
      </c>
      <c r="T49" s="7" t="n"/>
      <c r="U49" s="4">
        <f>IF(A49="","",IF(T49=0,"Set a cap",IF(S49&gt;T49,"Over cap - three batches lock too much cash; shrink the batch","OK")))</f>
        <v/>
      </c>
    </row>
    <row r="50">
      <c r="E50" s="4">
        <f>IF(A50="","",IF(D50=0,"",IF(D50&gt;2,"Stale - likely saturated","Fresh")))</f>
        <v/>
      </c>
      <c r="I50" s="7" t="n"/>
      <c r="J50" s="7" t="n"/>
      <c r="K50" s="7" t="n"/>
      <c r="L50" s="8">
        <f>IF(A50="","",I50-J50)</f>
        <v/>
      </c>
      <c r="M50" s="8">
        <f>IF(A50="","",J50-K50)</f>
        <v/>
      </c>
      <c r="N50" s="9">
        <f>IF(A50="","",IFERROR((J50-K50)/J50,0))</f>
        <v/>
      </c>
      <c r="O50" s="4">
        <f>IF(A50="","",IF(M50&lt;=0,"Drop",IF(AND(L50&gt;0,N50&gt;=0.6),"Profit product",IF(N50&gt;=0.5,"Traffic product","Thin - rework"))))</f>
        <v/>
      </c>
      <c r="P50" s="7" t="n"/>
      <c r="Q50" s="7" t="n"/>
      <c r="R50" s="7" t="n"/>
      <c r="S50" s="8">
        <f>IF(A50="","",P50+Q50+R50)</f>
        <v/>
      </c>
      <c r="T50" s="7" t="n"/>
      <c r="U50" s="4">
        <f>IF(A50="","",IF(T50=0,"Set a cap",IF(S50&gt;T50,"Over cap - three batches lock too much cash; shrink the batch","OK")))</f>
        <v/>
      </c>
    </row>
    <row r="51">
      <c r="E51" s="4">
        <f>IF(A51="","",IF(D51=0,"",IF(D51&gt;2,"Stale - likely saturated","Fresh")))</f>
        <v/>
      </c>
      <c r="I51" s="7" t="n"/>
      <c r="J51" s="7" t="n"/>
      <c r="K51" s="7" t="n"/>
      <c r="L51" s="8">
        <f>IF(A51="","",I51-J51)</f>
        <v/>
      </c>
      <c r="M51" s="8">
        <f>IF(A51="","",J51-K51)</f>
        <v/>
      </c>
      <c r="N51" s="9">
        <f>IF(A51="","",IFERROR((J51-K51)/J51,0))</f>
        <v/>
      </c>
      <c r="O51" s="4">
        <f>IF(A51="","",IF(M51&lt;=0,"Drop",IF(AND(L51&gt;0,N51&gt;=0.6),"Profit product",IF(N51&gt;=0.5,"Traffic product","Thin - rework"))))</f>
        <v/>
      </c>
      <c r="P51" s="7" t="n"/>
      <c r="Q51" s="7" t="n"/>
      <c r="R51" s="7" t="n"/>
      <c r="S51" s="8">
        <f>IF(A51="","",P51+Q51+R51)</f>
        <v/>
      </c>
      <c r="T51" s="7" t="n"/>
      <c r="U51" s="4">
        <f>IF(A51="","",IF(T51=0,"Set a cap",IF(S51&gt;T51,"Over cap - three batches lock too much cash; shrink the batch","OK")))</f>
        <v/>
      </c>
    </row>
    <row r="52">
      <c r="E52" s="4">
        <f>IF(A52="","",IF(D52=0,"",IF(D52&gt;2,"Stale - likely saturated","Fresh")))</f>
        <v/>
      </c>
      <c r="I52" s="7" t="n"/>
      <c r="J52" s="7" t="n"/>
      <c r="K52" s="7" t="n"/>
      <c r="L52" s="8">
        <f>IF(A52="","",I52-J52)</f>
        <v/>
      </c>
      <c r="M52" s="8">
        <f>IF(A52="","",J52-K52)</f>
        <v/>
      </c>
      <c r="N52" s="9">
        <f>IF(A52="","",IFERROR((J52-K52)/J52,0))</f>
        <v/>
      </c>
      <c r="O52" s="4">
        <f>IF(A52="","",IF(M52&lt;=0,"Drop",IF(AND(L52&gt;0,N52&gt;=0.6),"Profit product",IF(N52&gt;=0.5,"Traffic product","Thin - rework"))))</f>
        <v/>
      </c>
      <c r="P52" s="7" t="n"/>
      <c r="Q52" s="7" t="n"/>
      <c r="R52" s="7" t="n"/>
      <c r="S52" s="8">
        <f>IF(A52="","",P52+Q52+R52)</f>
        <v/>
      </c>
      <c r="T52" s="7" t="n"/>
      <c r="U52" s="4">
        <f>IF(A52="","",IF(T52=0,"Set a cap",IF(S52&gt;T52,"Over cap - three batches lock too much cash; shrink the batch","OK")))</f>
        <v/>
      </c>
    </row>
    <row r="53">
      <c r="E53" s="4">
        <f>IF(A53="","",IF(D53=0,"",IF(D53&gt;2,"Stale - likely saturated","Fresh")))</f>
        <v/>
      </c>
      <c r="I53" s="7" t="n"/>
      <c r="J53" s="7" t="n"/>
      <c r="K53" s="7" t="n"/>
      <c r="L53" s="8">
        <f>IF(A53="","",I53-J53)</f>
        <v/>
      </c>
      <c r="M53" s="8">
        <f>IF(A53="","",J53-K53)</f>
        <v/>
      </c>
      <c r="N53" s="9">
        <f>IF(A53="","",IFERROR((J53-K53)/J53,0))</f>
        <v/>
      </c>
      <c r="O53" s="4">
        <f>IF(A53="","",IF(M53&lt;=0,"Drop",IF(AND(L53&gt;0,N53&gt;=0.6),"Profit product",IF(N53&gt;=0.5,"Traffic product","Thin - rework"))))</f>
        <v/>
      </c>
      <c r="P53" s="7" t="n"/>
      <c r="Q53" s="7" t="n"/>
      <c r="R53" s="7" t="n"/>
      <c r="S53" s="8">
        <f>IF(A53="","",P53+Q53+R53)</f>
        <v/>
      </c>
      <c r="T53" s="7" t="n"/>
      <c r="U53" s="4">
        <f>IF(A53="","",IF(T53=0,"Set a cap",IF(S53&gt;T53,"Over cap - three batches lock too much cash; shrink the batch","OK")))</f>
        <v/>
      </c>
    </row>
    <row r="54">
      <c r="E54" s="4">
        <f>IF(A54="","",IF(D54=0,"",IF(D54&gt;2,"Stale - likely saturated","Fresh")))</f>
        <v/>
      </c>
      <c r="I54" s="7" t="n"/>
      <c r="J54" s="7" t="n"/>
      <c r="K54" s="7" t="n"/>
      <c r="L54" s="8">
        <f>IF(A54="","",I54-J54)</f>
        <v/>
      </c>
      <c r="M54" s="8">
        <f>IF(A54="","",J54-K54)</f>
        <v/>
      </c>
      <c r="N54" s="9">
        <f>IF(A54="","",IFERROR((J54-K54)/J54,0))</f>
        <v/>
      </c>
      <c r="O54" s="4">
        <f>IF(A54="","",IF(M54&lt;=0,"Drop",IF(AND(L54&gt;0,N54&gt;=0.6),"Profit product",IF(N54&gt;=0.5,"Traffic product","Thin - rework"))))</f>
        <v/>
      </c>
      <c r="P54" s="7" t="n"/>
      <c r="Q54" s="7" t="n"/>
      <c r="R54" s="7" t="n"/>
      <c r="S54" s="8">
        <f>IF(A54="","",P54+Q54+R54)</f>
        <v/>
      </c>
      <c r="T54" s="7" t="n"/>
      <c r="U54" s="4">
        <f>IF(A54="","",IF(T54=0,"Set a cap",IF(S54&gt;T54,"Over cap - three batches lock too much cash; shrink the batch","OK")))</f>
        <v/>
      </c>
    </row>
    <row r="55">
      <c r="E55" s="4">
        <f>IF(A55="","",IF(D55=0,"",IF(D55&gt;2,"Stale - likely saturated","Fresh")))</f>
        <v/>
      </c>
      <c r="I55" s="7" t="n"/>
      <c r="J55" s="7" t="n"/>
      <c r="K55" s="7" t="n"/>
      <c r="L55" s="8">
        <f>IF(A55="","",I55-J55)</f>
        <v/>
      </c>
      <c r="M55" s="8">
        <f>IF(A55="","",J55-K55)</f>
        <v/>
      </c>
      <c r="N55" s="9">
        <f>IF(A55="","",IFERROR((J55-K55)/J55,0))</f>
        <v/>
      </c>
      <c r="O55" s="4">
        <f>IF(A55="","",IF(M55&lt;=0,"Drop",IF(AND(L55&gt;0,N55&gt;=0.6),"Profit product",IF(N55&gt;=0.5,"Traffic product","Thin - rework"))))</f>
        <v/>
      </c>
      <c r="P55" s="7" t="n"/>
      <c r="Q55" s="7" t="n"/>
      <c r="R55" s="7" t="n"/>
      <c r="S55" s="8">
        <f>IF(A55="","",P55+Q55+R55)</f>
        <v/>
      </c>
      <c r="T55" s="7" t="n"/>
      <c r="U55" s="4">
        <f>IF(A55="","",IF(T55=0,"Set a cap",IF(S55&gt;T55,"Over cap - three batches lock too much cash; shrink the batch","OK")))</f>
        <v/>
      </c>
    </row>
    <row r="56">
      <c r="E56" s="4">
        <f>IF(A56="","",IF(D56=0,"",IF(D56&gt;2,"Stale - likely saturated","Fresh")))</f>
        <v/>
      </c>
      <c r="I56" s="7" t="n"/>
      <c r="J56" s="7" t="n"/>
      <c r="K56" s="7" t="n"/>
      <c r="L56" s="8">
        <f>IF(A56="","",I56-J56)</f>
        <v/>
      </c>
      <c r="M56" s="8">
        <f>IF(A56="","",J56-K56)</f>
        <v/>
      </c>
      <c r="N56" s="9">
        <f>IF(A56="","",IFERROR((J56-K56)/J56,0))</f>
        <v/>
      </c>
      <c r="O56" s="4">
        <f>IF(A56="","",IF(M56&lt;=0,"Drop",IF(AND(L56&gt;0,N56&gt;=0.6),"Profit product",IF(N56&gt;=0.5,"Traffic product","Thin - rework"))))</f>
        <v/>
      </c>
      <c r="P56" s="7" t="n"/>
      <c r="Q56" s="7" t="n"/>
      <c r="R56" s="7" t="n"/>
      <c r="S56" s="8">
        <f>IF(A56="","",P56+Q56+R56)</f>
        <v/>
      </c>
      <c r="T56" s="7" t="n"/>
      <c r="U56" s="4">
        <f>IF(A56="","",IF(T56=0,"Set a cap",IF(S56&gt;T56,"Over cap - three batches lock too much cash; shrink the batch","OK")))</f>
        <v/>
      </c>
    </row>
    <row r="57">
      <c r="E57" s="4">
        <f>IF(A57="","",IF(D57=0,"",IF(D57&gt;2,"Stale - likely saturated","Fresh")))</f>
        <v/>
      </c>
      <c r="I57" s="7" t="n"/>
      <c r="J57" s="7" t="n"/>
      <c r="K57" s="7" t="n"/>
      <c r="L57" s="8">
        <f>IF(A57="","",I57-J57)</f>
        <v/>
      </c>
      <c r="M57" s="8">
        <f>IF(A57="","",J57-K57)</f>
        <v/>
      </c>
      <c r="N57" s="9">
        <f>IF(A57="","",IFERROR((J57-K57)/J57,0))</f>
        <v/>
      </c>
      <c r="O57" s="4">
        <f>IF(A57="","",IF(M57&lt;=0,"Drop",IF(AND(L57&gt;0,N57&gt;=0.6),"Profit product",IF(N57&gt;=0.5,"Traffic product","Thin - rework"))))</f>
        <v/>
      </c>
      <c r="P57" s="7" t="n"/>
      <c r="Q57" s="7" t="n"/>
      <c r="R57" s="7" t="n"/>
      <c r="S57" s="8">
        <f>IF(A57="","",P57+Q57+R57)</f>
        <v/>
      </c>
      <c r="T57" s="7" t="n"/>
      <c r="U57" s="4">
        <f>IF(A57="","",IF(T57=0,"Set a cap",IF(S57&gt;T57,"Over cap - three batches lock too much cash; shrink the batch","OK")))</f>
        <v/>
      </c>
    </row>
    <row r="58">
      <c r="E58" s="4">
        <f>IF(A58="","",IF(D58=0,"",IF(D58&gt;2,"Stale - likely saturated","Fresh")))</f>
        <v/>
      </c>
      <c r="I58" s="7" t="n"/>
      <c r="J58" s="7" t="n"/>
      <c r="K58" s="7" t="n"/>
      <c r="L58" s="8">
        <f>IF(A58="","",I58-J58)</f>
        <v/>
      </c>
      <c r="M58" s="8">
        <f>IF(A58="","",J58-K58)</f>
        <v/>
      </c>
      <c r="N58" s="9">
        <f>IF(A58="","",IFERROR((J58-K58)/J58,0))</f>
        <v/>
      </c>
      <c r="O58" s="4">
        <f>IF(A58="","",IF(M58&lt;=0,"Drop",IF(AND(L58&gt;0,N58&gt;=0.6),"Profit product",IF(N58&gt;=0.5,"Traffic product","Thin - rework"))))</f>
        <v/>
      </c>
      <c r="P58" s="7" t="n"/>
      <c r="Q58" s="7" t="n"/>
      <c r="R58" s="7" t="n"/>
      <c r="S58" s="8">
        <f>IF(A58="","",P58+Q58+R58)</f>
        <v/>
      </c>
      <c r="T58" s="7" t="n"/>
      <c r="U58" s="4">
        <f>IF(A58="","",IF(T58=0,"Set a cap",IF(S58&gt;T58,"Over cap - three batches lock too much cash; shrink the batch","OK")))</f>
        <v/>
      </c>
    </row>
    <row r="59">
      <c r="E59" s="4">
        <f>IF(A59="","",IF(D59=0,"",IF(D59&gt;2,"Stale - likely saturated","Fresh")))</f>
        <v/>
      </c>
      <c r="I59" s="7" t="n"/>
      <c r="J59" s="7" t="n"/>
      <c r="K59" s="7" t="n"/>
      <c r="L59" s="8">
        <f>IF(A59="","",I59-J59)</f>
        <v/>
      </c>
      <c r="M59" s="8">
        <f>IF(A59="","",J59-K59)</f>
        <v/>
      </c>
      <c r="N59" s="9">
        <f>IF(A59="","",IFERROR((J59-K59)/J59,0))</f>
        <v/>
      </c>
      <c r="O59" s="4">
        <f>IF(A59="","",IF(M59&lt;=0,"Drop",IF(AND(L59&gt;0,N59&gt;=0.6),"Profit product",IF(N59&gt;=0.5,"Traffic product","Thin - rework"))))</f>
        <v/>
      </c>
      <c r="P59" s="7" t="n"/>
      <c r="Q59" s="7" t="n"/>
      <c r="R59" s="7" t="n"/>
      <c r="S59" s="8">
        <f>IF(A59="","",P59+Q59+R59)</f>
        <v/>
      </c>
      <c r="T59" s="7" t="n"/>
      <c r="U59" s="4">
        <f>IF(A59="","",IF(T59=0,"Set a cap",IF(S59&gt;T59,"Over cap - three batches lock too much cash; shrink the batch","OK")))</f>
        <v/>
      </c>
    </row>
    <row r="60">
      <c r="E60" s="4">
        <f>IF(A60="","",IF(D60=0,"",IF(D60&gt;2,"Stale - likely saturated","Fresh")))</f>
        <v/>
      </c>
      <c r="I60" s="7" t="n"/>
      <c r="J60" s="7" t="n"/>
      <c r="K60" s="7" t="n"/>
      <c r="L60" s="8">
        <f>IF(A60="","",I60-J60)</f>
        <v/>
      </c>
      <c r="M60" s="8">
        <f>IF(A60="","",J60-K60)</f>
        <v/>
      </c>
      <c r="N60" s="9">
        <f>IF(A60="","",IFERROR((J60-K60)/J60,0))</f>
        <v/>
      </c>
      <c r="O60" s="4">
        <f>IF(A60="","",IF(M60&lt;=0,"Drop",IF(AND(L60&gt;0,N60&gt;=0.6),"Profit product",IF(N60&gt;=0.5,"Traffic product","Thin - rework"))))</f>
        <v/>
      </c>
      <c r="P60" s="7" t="n"/>
      <c r="Q60" s="7" t="n"/>
      <c r="R60" s="7" t="n"/>
      <c r="S60" s="8">
        <f>IF(A60="","",P60+Q60+R60)</f>
        <v/>
      </c>
      <c r="T60" s="7" t="n"/>
      <c r="U60" s="4">
        <f>IF(A60="","",IF(T60=0,"Set a cap",IF(S60&gt;T60,"Over cap - three batches lock too much cash; shrink the batch","OK")))</f>
        <v/>
      </c>
    </row>
    <row r="61">
      <c r="E61" s="4">
        <f>IF(A61="","",IF(D61=0,"",IF(D61&gt;2,"Stale - likely saturated","Fresh")))</f>
        <v/>
      </c>
      <c r="I61" s="7" t="n"/>
      <c r="J61" s="7" t="n"/>
      <c r="K61" s="7" t="n"/>
      <c r="L61" s="8">
        <f>IF(A61="","",I61-J61)</f>
        <v/>
      </c>
      <c r="M61" s="8">
        <f>IF(A61="","",J61-K61)</f>
        <v/>
      </c>
      <c r="N61" s="9">
        <f>IF(A61="","",IFERROR((J61-K61)/J61,0))</f>
        <v/>
      </c>
      <c r="O61" s="4">
        <f>IF(A61="","",IF(M61&lt;=0,"Drop",IF(AND(L61&gt;0,N61&gt;=0.6),"Profit product",IF(N61&gt;=0.5,"Traffic product","Thin - rework"))))</f>
        <v/>
      </c>
      <c r="P61" s="7" t="n"/>
      <c r="Q61" s="7" t="n"/>
      <c r="R61" s="7" t="n"/>
      <c r="S61" s="8">
        <f>IF(A61="","",P61+Q61+R61)</f>
        <v/>
      </c>
      <c r="T61" s="7" t="n"/>
      <c r="U61" s="4">
        <f>IF(A61="","",IF(T61=0,"Set a cap",IF(S61&gt;T61,"Over cap - three batches lock too much cash; shrink the batch","OK")))</f>
        <v/>
      </c>
    </row>
    <row r="62">
      <c r="E62" s="4">
        <f>IF(A62="","",IF(D62=0,"",IF(D62&gt;2,"Stale - likely saturated","Fresh")))</f>
        <v/>
      </c>
      <c r="I62" s="7" t="n"/>
      <c r="J62" s="7" t="n"/>
      <c r="K62" s="7" t="n"/>
      <c r="L62" s="8">
        <f>IF(A62="","",I62-J62)</f>
        <v/>
      </c>
      <c r="M62" s="8">
        <f>IF(A62="","",J62-K62)</f>
        <v/>
      </c>
      <c r="N62" s="9">
        <f>IF(A62="","",IFERROR((J62-K62)/J62,0))</f>
        <v/>
      </c>
      <c r="O62" s="4">
        <f>IF(A62="","",IF(M62&lt;=0,"Drop",IF(AND(L62&gt;0,N62&gt;=0.6),"Profit product",IF(N62&gt;=0.5,"Traffic product","Thin - rework"))))</f>
        <v/>
      </c>
      <c r="P62" s="7" t="n"/>
      <c r="Q62" s="7" t="n"/>
      <c r="R62" s="7" t="n"/>
      <c r="S62" s="8">
        <f>IF(A62="","",P62+Q62+R62)</f>
        <v/>
      </c>
      <c r="T62" s="7" t="n"/>
      <c r="U62" s="4">
        <f>IF(A62="","",IF(T62=0,"Set a cap",IF(S62&gt;T62,"Over cap - three batches lock too much cash; shrink the batch","OK")))</f>
        <v/>
      </c>
    </row>
    <row r="63">
      <c r="E63" s="4">
        <f>IF(A63="","",IF(D63=0,"",IF(D63&gt;2,"Stale - likely saturated","Fresh")))</f>
        <v/>
      </c>
      <c r="I63" s="7" t="n"/>
      <c r="J63" s="7" t="n"/>
      <c r="K63" s="7" t="n"/>
      <c r="L63" s="8">
        <f>IF(A63="","",I63-J63)</f>
        <v/>
      </c>
      <c r="M63" s="8">
        <f>IF(A63="","",J63-K63)</f>
        <v/>
      </c>
      <c r="N63" s="9">
        <f>IF(A63="","",IFERROR((J63-K63)/J63,0))</f>
        <v/>
      </c>
      <c r="O63" s="4">
        <f>IF(A63="","",IF(M63&lt;=0,"Drop",IF(AND(L63&gt;0,N63&gt;=0.6),"Profit product",IF(N63&gt;=0.5,"Traffic product","Thin - rework"))))</f>
        <v/>
      </c>
      <c r="P63" s="7" t="n"/>
      <c r="Q63" s="7" t="n"/>
      <c r="R63" s="7" t="n"/>
      <c r="S63" s="8">
        <f>IF(A63="","",P63+Q63+R63)</f>
        <v/>
      </c>
      <c r="T63" s="7" t="n"/>
      <c r="U63" s="4">
        <f>IF(A63="","",IF(T63=0,"Set a cap",IF(S63&gt;T63,"Over cap - three batches lock too much cash; shrink the batch","OK")))</f>
        <v/>
      </c>
    </row>
    <row r="64">
      <c r="E64" s="4">
        <f>IF(A64="","",IF(D64=0,"",IF(D64&gt;2,"Stale - likely saturated","Fresh")))</f>
        <v/>
      </c>
      <c r="I64" s="7" t="n"/>
      <c r="J64" s="7" t="n"/>
      <c r="K64" s="7" t="n"/>
      <c r="L64" s="8">
        <f>IF(A64="","",I64-J64)</f>
        <v/>
      </c>
      <c r="M64" s="8">
        <f>IF(A64="","",J64-K64)</f>
        <v/>
      </c>
      <c r="N64" s="9">
        <f>IF(A64="","",IFERROR((J64-K64)/J64,0))</f>
        <v/>
      </c>
      <c r="O64" s="4">
        <f>IF(A64="","",IF(M64&lt;=0,"Drop",IF(AND(L64&gt;0,N64&gt;=0.6),"Profit product",IF(N64&gt;=0.5,"Traffic product","Thin - rework"))))</f>
        <v/>
      </c>
      <c r="P64" s="7" t="n"/>
      <c r="Q64" s="7" t="n"/>
      <c r="R64" s="7" t="n"/>
      <c r="S64" s="8">
        <f>IF(A64="","",P64+Q64+R64)</f>
        <v/>
      </c>
      <c r="T64" s="7" t="n"/>
      <c r="U64" s="4">
        <f>IF(A64="","",IF(T64=0,"Set a cap",IF(S64&gt;T64,"Over cap - three batches lock too much cash; shrink the batch","OK")))</f>
        <v/>
      </c>
    </row>
    <row r="65">
      <c r="E65" s="4">
        <f>IF(A65="","",IF(D65=0,"",IF(D65&gt;2,"Stale - likely saturated","Fresh")))</f>
        <v/>
      </c>
      <c r="I65" s="7" t="n"/>
      <c r="J65" s="7" t="n"/>
      <c r="K65" s="7" t="n"/>
      <c r="L65" s="8">
        <f>IF(A65="","",I65-J65)</f>
        <v/>
      </c>
      <c r="M65" s="8">
        <f>IF(A65="","",J65-K65)</f>
        <v/>
      </c>
      <c r="N65" s="9">
        <f>IF(A65="","",IFERROR((J65-K65)/J65,0))</f>
        <v/>
      </c>
      <c r="O65" s="4">
        <f>IF(A65="","",IF(M65&lt;=0,"Drop",IF(AND(L65&gt;0,N65&gt;=0.6),"Profit product",IF(N65&gt;=0.5,"Traffic product","Thin - rework"))))</f>
        <v/>
      </c>
      <c r="P65" s="7" t="n"/>
      <c r="Q65" s="7" t="n"/>
      <c r="R65" s="7" t="n"/>
      <c r="S65" s="8">
        <f>IF(A65="","",P65+Q65+R65)</f>
        <v/>
      </c>
      <c r="T65" s="7" t="n"/>
      <c r="U65" s="4">
        <f>IF(A65="","",IF(T65=0,"Set a cap",IF(S65&gt;T65,"Over cap - three batches lock too much cash; shrink the batch","OK")))</f>
        <v/>
      </c>
    </row>
    <row r="66">
      <c r="E66" s="4">
        <f>IF(A66="","",IF(D66=0,"",IF(D66&gt;2,"Stale - likely saturated","Fresh")))</f>
        <v/>
      </c>
      <c r="I66" s="7" t="n"/>
      <c r="J66" s="7" t="n"/>
      <c r="K66" s="7" t="n"/>
      <c r="L66" s="8">
        <f>IF(A66="","",I66-J66)</f>
        <v/>
      </c>
      <c r="M66" s="8">
        <f>IF(A66="","",J66-K66)</f>
        <v/>
      </c>
      <c r="N66" s="9">
        <f>IF(A66="","",IFERROR((J66-K66)/J66,0))</f>
        <v/>
      </c>
      <c r="O66" s="4">
        <f>IF(A66="","",IF(M66&lt;=0,"Drop",IF(AND(L66&gt;0,N66&gt;=0.6),"Profit product",IF(N66&gt;=0.5,"Traffic product","Thin - rework"))))</f>
        <v/>
      </c>
      <c r="P66" s="7" t="n"/>
      <c r="Q66" s="7" t="n"/>
      <c r="R66" s="7" t="n"/>
      <c r="S66" s="8">
        <f>IF(A66="","",P66+Q66+R66)</f>
        <v/>
      </c>
      <c r="T66" s="7" t="n"/>
      <c r="U66" s="4">
        <f>IF(A66="","",IF(T66=0,"Set a cap",IF(S66&gt;T66,"Over cap - three batches lock too much cash; shrink the batch","OK")))</f>
        <v/>
      </c>
    </row>
    <row r="67">
      <c r="E67" s="4">
        <f>IF(A67="","",IF(D67=0,"",IF(D67&gt;2,"Stale - likely saturated","Fresh")))</f>
        <v/>
      </c>
      <c r="I67" s="7" t="n"/>
      <c r="J67" s="7" t="n"/>
      <c r="K67" s="7" t="n"/>
      <c r="L67" s="8">
        <f>IF(A67="","",I67-J67)</f>
        <v/>
      </c>
      <c r="M67" s="8">
        <f>IF(A67="","",J67-K67)</f>
        <v/>
      </c>
      <c r="N67" s="9">
        <f>IF(A67="","",IFERROR((J67-K67)/J67,0))</f>
        <v/>
      </c>
      <c r="O67" s="4">
        <f>IF(A67="","",IF(M67&lt;=0,"Drop",IF(AND(L67&gt;0,N67&gt;=0.6),"Profit product",IF(N67&gt;=0.5,"Traffic product","Thin - rework"))))</f>
        <v/>
      </c>
      <c r="P67" s="7" t="n"/>
      <c r="Q67" s="7" t="n"/>
      <c r="R67" s="7" t="n"/>
      <c r="S67" s="8">
        <f>IF(A67="","",P67+Q67+R67)</f>
        <v/>
      </c>
      <c r="T67" s="7" t="n"/>
      <c r="U67" s="4">
        <f>IF(A67="","",IF(T67=0,"Set a cap",IF(S67&gt;T67,"Over cap - three batches lock too much cash; shrink the batch","OK")))</f>
        <v/>
      </c>
    </row>
    <row r="68">
      <c r="E68" s="4">
        <f>IF(A68="","",IF(D68=0,"",IF(D68&gt;2,"Stale - likely saturated","Fresh")))</f>
        <v/>
      </c>
      <c r="I68" s="7" t="n"/>
      <c r="J68" s="7" t="n"/>
      <c r="K68" s="7" t="n"/>
      <c r="L68" s="8">
        <f>IF(A68="","",I68-J68)</f>
        <v/>
      </c>
      <c r="M68" s="8">
        <f>IF(A68="","",J68-K68)</f>
        <v/>
      </c>
      <c r="N68" s="9">
        <f>IF(A68="","",IFERROR((J68-K68)/J68,0))</f>
        <v/>
      </c>
      <c r="O68" s="4">
        <f>IF(A68="","",IF(M68&lt;=0,"Drop",IF(AND(L68&gt;0,N68&gt;=0.6),"Profit product",IF(N68&gt;=0.5,"Traffic product","Thin - rework"))))</f>
        <v/>
      </c>
      <c r="P68" s="7" t="n"/>
      <c r="Q68" s="7" t="n"/>
      <c r="R68" s="7" t="n"/>
      <c r="S68" s="8">
        <f>IF(A68="","",P68+Q68+R68)</f>
        <v/>
      </c>
      <c r="T68" s="7" t="n"/>
      <c r="U68" s="4">
        <f>IF(A68="","",IF(T68=0,"Set a cap",IF(S68&gt;T68,"Over cap - three batches lock too much cash; shrink the batch","OK")))</f>
        <v/>
      </c>
    </row>
    <row r="69">
      <c r="E69" s="4">
        <f>IF(A69="","",IF(D69=0,"",IF(D69&gt;2,"Stale - likely saturated","Fresh")))</f>
        <v/>
      </c>
      <c r="I69" s="7" t="n"/>
      <c r="J69" s="7" t="n"/>
      <c r="K69" s="7" t="n"/>
      <c r="L69" s="8">
        <f>IF(A69="","",I69-J69)</f>
        <v/>
      </c>
      <c r="M69" s="8">
        <f>IF(A69="","",J69-K69)</f>
        <v/>
      </c>
      <c r="N69" s="9">
        <f>IF(A69="","",IFERROR((J69-K69)/J69,0))</f>
        <v/>
      </c>
      <c r="O69" s="4">
        <f>IF(A69="","",IF(M69&lt;=0,"Drop",IF(AND(L69&gt;0,N69&gt;=0.6),"Profit product",IF(N69&gt;=0.5,"Traffic product","Thin - rework"))))</f>
        <v/>
      </c>
      <c r="P69" s="7" t="n"/>
      <c r="Q69" s="7" t="n"/>
      <c r="R69" s="7" t="n"/>
      <c r="S69" s="8">
        <f>IF(A69="","",P69+Q69+R69)</f>
        <v/>
      </c>
      <c r="T69" s="7" t="n"/>
      <c r="U69" s="4">
        <f>IF(A69="","",IF(T69=0,"Set a cap",IF(S69&gt;T69,"Over cap - three batches lock too much cash; shrink the batch","OK")))</f>
        <v/>
      </c>
    </row>
    <row r="70">
      <c r="E70" s="4">
        <f>IF(A70="","",IF(D70=0,"",IF(D70&gt;2,"Stale - likely saturated","Fresh")))</f>
        <v/>
      </c>
      <c r="I70" s="7" t="n"/>
      <c r="J70" s="7" t="n"/>
      <c r="K70" s="7" t="n"/>
      <c r="L70" s="8">
        <f>IF(A70="","",I70-J70)</f>
        <v/>
      </c>
      <c r="M70" s="8">
        <f>IF(A70="","",J70-K70)</f>
        <v/>
      </c>
      <c r="N70" s="9">
        <f>IF(A70="","",IFERROR((J70-K70)/J70,0))</f>
        <v/>
      </c>
      <c r="O70" s="4">
        <f>IF(A70="","",IF(M70&lt;=0,"Drop",IF(AND(L70&gt;0,N70&gt;=0.6),"Profit product",IF(N70&gt;=0.5,"Traffic product","Thin - rework"))))</f>
        <v/>
      </c>
      <c r="P70" s="7" t="n"/>
      <c r="Q70" s="7" t="n"/>
      <c r="R70" s="7" t="n"/>
      <c r="S70" s="8">
        <f>IF(A70="","",P70+Q70+R70)</f>
        <v/>
      </c>
      <c r="T70" s="7" t="n"/>
      <c r="U70" s="4">
        <f>IF(A70="","",IF(T70=0,"Set a cap",IF(S70&gt;T70,"Over cap - three batches lock too much cash; shrink the batch","OK")))</f>
        <v/>
      </c>
    </row>
    <row r="71">
      <c r="E71" s="4">
        <f>IF(A71="","",IF(D71=0,"",IF(D71&gt;2,"Stale - likely saturated","Fresh")))</f>
        <v/>
      </c>
      <c r="I71" s="7" t="n"/>
      <c r="J71" s="7" t="n"/>
      <c r="K71" s="7" t="n"/>
      <c r="L71" s="8">
        <f>IF(A71="","",I71-J71)</f>
        <v/>
      </c>
      <c r="M71" s="8">
        <f>IF(A71="","",J71-K71)</f>
        <v/>
      </c>
      <c r="N71" s="9">
        <f>IF(A71="","",IFERROR((J71-K71)/J71,0))</f>
        <v/>
      </c>
      <c r="O71" s="4">
        <f>IF(A71="","",IF(M71&lt;=0,"Drop",IF(AND(L71&gt;0,N71&gt;=0.6),"Profit product",IF(N71&gt;=0.5,"Traffic product","Thin - rework"))))</f>
        <v/>
      </c>
      <c r="P71" s="7" t="n"/>
      <c r="Q71" s="7" t="n"/>
      <c r="R71" s="7" t="n"/>
      <c r="S71" s="8">
        <f>IF(A71="","",P71+Q71+R71)</f>
        <v/>
      </c>
      <c r="T71" s="7" t="n"/>
      <c r="U71" s="4">
        <f>IF(A71="","",IF(T71=0,"Set a cap",IF(S71&gt;T71,"Over cap - three batches lock too much cash; shrink the batch","OK")))</f>
        <v/>
      </c>
    </row>
    <row r="72">
      <c r="E72" s="4">
        <f>IF(A72="","",IF(D72=0,"",IF(D72&gt;2,"Stale - likely saturated","Fresh")))</f>
        <v/>
      </c>
      <c r="I72" s="7" t="n"/>
      <c r="J72" s="7" t="n"/>
      <c r="K72" s="7" t="n"/>
      <c r="L72" s="8">
        <f>IF(A72="","",I72-J72)</f>
        <v/>
      </c>
      <c r="M72" s="8">
        <f>IF(A72="","",J72-K72)</f>
        <v/>
      </c>
      <c r="N72" s="9">
        <f>IF(A72="","",IFERROR((J72-K72)/J72,0))</f>
        <v/>
      </c>
      <c r="O72" s="4">
        <f>IF(A72="","",IF(M72&lt;=0,"Drop",IF(AND(L72&gt;0,N72&gt;=0.6),"Profit product",IF(N72&gt;=0.5,"Traffic product","Thin - rework"))))</f>
        <v/>
      </c>
      <c r="P72" s="7" t="n"/>
      <c r="Q72" s="7" t="n"/>
      <c r="R72" s="7" t="n"/>
      <c r="S72" s="8">
        <f>IF(A72="","",P72+Q72+R72)</f>
        <v/>
      </c>
      <c r="T72" s="7" t="n"/>
      <c r="U72" s="4">
        <f>IF(A72="","",IF(T72=0,"Set a cap",IF(S72&gt;T72,"Over cap - three batches lock too much cash; shrink the batch","OK")))</f>
        <v/>
      </c>
    </row>
    <row r="73">
      <c r="E73" s="4">
        <f>IF(A73="","",IF(D73=0,"",IF(D73&gt;2,"Stale - likely saturated","Fresh")))</f>
        <v/>
      </c>
      <c r="I73" s="7" t="n"/>
      <c r="J73" s="7" t="n"/>
      <c r="K73" s="7" t="n"/>
      <c r="L73" s="8">
        <f>IF(A73="","",I73-J73)</f>
        <v/>
      </c>
      <c r="M73" s="8">
        <f>IF(A73="","",J73-K73)</f>
        <v/>
      </c>
      <c r="N73" s="9">
        <f>IF(A73="","",IFERROR((J73-K73)/J73,0))</f>
        <v/>
      </c>
      <c r="O73" s="4">
        <f>IF(A73="","",IF(M73&lt;=0,"Drop",IF(AND(L73&gt;0,N73&gt;=0.6),"Profit product",IF(N73&gt;=0.5,"Traffic product","Thin - rework"))))</f>
        <v/>
      </c>
      <c r="P73" s="7" t="n"/>
      <c r="Q73" s="7" t="n"/>
      <c r="R73" s="7" t="n"/>
      <c r="S73" s="8">
        <f>IF(A73="","",P73+Q73+R73)</f>
        <v/>
      </c>
      <c r="T73" s="7" t="n"/>
      <c r="U73" s="4">
        <f>IF(A73="","",IF(T73=0,"Set a cap",IF(S73&gt;T73,"Over cap - three batches lock too much cash; shrink the batch","OK")))</f>
        <v/>
      </c>
    </row>
    <row r="74">
      <c r="E74" s="4">
        <f>IF(A74="","",IF(D74=0,"",IF(D74&gt;2,"Stale - likely saturated","Fresh")))</f>
        <v/>
      </c>
      <c r="I74" s="7" t="n"/>
      <c r="J74" s="7" t="n"/>
      <c r="K74" s="7" t="n"/>
      <c r="L74" s="8">
        <f>IF(A74="","",I74-J74)</f>
        <v/>
      </c>
      <c r="M74" s="8">
        <f>IF(A74="","",J74-K74)</f>
        <v/>
      </c>
      <c r="N74" s="9">
        <f>IF(A74="","",IFERROR((J74-K74)/J74,0))</f>
        <v/>
      </c>
      <c r="O74" s="4">
        <f>IF(A74="","",IF(M74&lt;=0,"Drop",IF(AND(L74&gt;0,N74&gt;=0.6),"Profit product",IF(N74&gt;=0.5,"Traffic product","Thin - rework"))))</f>
        <v/>
      </c>
      <c r="P74" s="7" t="n"/>
      <c r="Q74" s="7" t="n"/>
      <c r="R74" s="7" t="n"/>
      <c r="S74" s="8">
        <f>IF(A74="","",P74+Q74+R74)</f>
        <v/>
      </c>
      <c r="T74" s="7" t="n"/>
      <c r="U74" s="4">
        <f>IF(A74="","",IF(T74=0,"Set a cap",IF(S74&gt;T74,"Over cap - three batches lock too much cash; shrink the batch","OK")))</f>
        <v/>
      </c>
    </row>
    <row r="75">
      <c r="E75" s="4">
        <f>IF(A75="","",IF(D75=0,"",IF(D75&gt;2,"Stale - likely saturated","Fresh")))</f>
        <v/>
      </c>
      <c r="I75" s="7" t="n"/>
      <c r="J75" s="7" t="n"/>
      <c r="K75" s="7" t="n"/>
      <c r="L75" s="8">
        <f>IF(A75="","",I75-J75)</f>
        <v/>
      </c>
      <c r="M75" s="8">
        <f>IF(A75="","",J75-K75)</f>
        <v/>
      </c>
      <c r="N75" s="9">
        <f>IF(A75="","",IFERROR((J75-K75)/J75,0))</f>
        <v/>
      </c>
      <c r="O75" s="4">
        <f>IF(A75="","",IF(M75&lt;=0,"Drop",IF(AND(L75&gt;0,N75&gt;=0.6),"Profit product",IF(N75&gt;=0.5,"Traffic product","Thin - rework"))))</f>
        <v/>
      </c>
      <c r="P75" s="7" t="n"/>
      <c r="Q75" s="7" t="n"/>
      <c r="R75" s="7" t="n"/>
      <c r="S75" s="8">
        <f>IF(A75="","",P75+Q75+R75)</f>
        <v/>
      </c>
      <c r="T75" s="7" t="n"/>
      <c r="U75" s="4">
        <f>IF(A75="","",IF(T75=0,"Set a cap",IF(S75&gt;T75,"Over cap - three batches lock too much cash; shrink the batch","OK")))</f>
        <v/>
      </c>
    </row>
    <row r="76">
      <c r="E76" s="4">
        <f>IF(A76="","",IF(D76=0,"",IF(D76&gt;2,"Stale - likely saturated","Fresh")))</f>
        <v/>
      </c>
      <c r="I76" s="7" t="n"/>
      <c r="J76" s="7" t="n"/>
      <c r="K76" s="7" t="n"/>
      <c r="L76" s="8">
        <f>IF(A76="","",I76-J76)</f>
        <v/>
      </c>
      <c r="M76" s="8">
        <f>IF(A76="","",J76-K76)</f>
        <v/>
      </c>
      <c r="N76" s="9">
        <f>IF(A76="","",IFERROR((J76-K76)/J76,0))</f>
        <v/>
      </c>
      <c r="O76" s="4">
        <f>IF(A76="","",IF(M76&lt;=0,"Drop",IF(AND(L76&gt;0,N76&gt;=0.6),"Profit product",IF(N76&gt;=0.5,"Traffic product","Thin - rework"))))</f>
        <v/>
      </c>
      <c r="P76" s="7" t="n"/>
      <c r="Q76" s="7" t="n"/>
      <c r="R76" s="7" t="n"/>
      <c r="S76" s="8">
        <f>IF(A76="","",P76+Q76+R76)</f>
        <v/>
      </c>
      <c r="T76" s="7" t="n"/>
      <c r="U76" s="4">
        <f>IF(A76="","",IF(T76=0,"Set a cap",IF(S76&gt;T76,"Over cap - three batches lock too much cash; shrink the batch","OK")))</f>
        <v/>
      </c>
    </row>
    <row r="77">
      <c r="E77" s="4">
        <f>IF(A77="","",IF(D77=0,"",IF(D77&gt;2,"Stale - likely saturated","Fresh")))</f>
        <v/>
      </c>
      <c r="I77" s="7" t="n"/>
      <c r="J77" s="7" t="n"/>
      <c r="K77" s="7" t="n"/>
      <c r="L77" s="8">
        <f>IF(A77="","",I77-J77)</f>
        <v/>
      </c>
      <c r="M77" s="8">
        <f>IF(A77="","",J77-K77)</f>
        <v/>
      </c>
      <c r="N77" s="9">
        <f>IF(A77="","",IFERROR((J77-K77)/J77,0))</f>
        <v/>
      </c>
      <c r="O77" s="4">
        <f>IF(A77="","",IF(M77&lt;=0,"Drop",IF(AND(L77&gt;0,N77&gt;=0.6),"Profit product",IF(N77&gt;=0.5,"Traffic product","Thin - rework"))))</f>
        <v/>
      </c>
      <c r="P77" s="7" t="n"/>
      <c r="Q77" s="7" t="n"/>
      <c r="R77" s="7" t="n"/>
      <c r="S77" s="8">
        <f>IF(A77="","",P77+Q77+R77)</f>
        <v/>
      </c>
      <c r="T77" s="7" t="n"/>
      <c r="U77" s="4">
        <f>IF(A77="","",IF(T77=0,"Set a cap",IF(S77&gt;T77,"Over cap - three batches lock too much cash; shrink the batch","OK")))</f>
        <v/>
      </c>
    </row>
    <row r="78">
      <c r="E78" s="4">
        <f>IF(A78="","",IF(D78=0,"",IF(D78&gt;2,"Stale - likely saturated","Fresh")))</f>
        <v/>
      </c>
      <c r="I78" s="7" t="n"/>
      <c r="J78" s="7" t="n"/>
      <c r="K78" s="7" t="n"/>
      <c r="L78" s="8">
        <f>IF(A78="","",I78-J78)</f>
        <v/>
      </c>
      <c r="M78" s="8">
        <f>IF(A78="","",J78-K78)</f>
        <v/>
      </c>
      <c r="N78" s="9">
        <f>IF(A78="","",IFERROR((J78-K78)/J78,0))</f>
        <v/>
      </c>
      <c r="O78" s="4">
        <f>IF(A78="","",IF(M78&lt;=0,"Drop",IF(AND(L78&gt;0,N78&gt;=0.6),"Profit product",IF(N78&gt;=0.5,"Traffic product","Thin - rework"))))</f>
        <v/>
      </c>
      <c r="P78" s="7" t="n"/>
      <c r="Q78" s="7" t="n"/>
      <c r="R78" s="7" t="n"/>
      <c r="S78" s="8">
        <f>IF(A78="","",P78+Q78+R78)</f>
        <v/>
      </c>
      <c r="T78" s="7" t="n"/>
      <c r="U78" s="4">
        <f>IF(A78="","",IF(T78=0,"Set a cap",IF(S78&gt;T78,"Over cap - three batches lock too much cash; shrink the batch","OK")))</f>
        <v/>
      </c>
    </row>
    <row r="79">
      <c r="E79" s="4">
        <f>IF(A79="","",IF(D79=0,"",IF(D79&gt;2,"Stale - likely saturated","Fresh")))</f>
        <v/>
      </c>
      <c r="I79" s="7" t="n"/>
      <c r="J79" s="7" t="n"/>
      <c r="K79" s="7" t="n"/>
      <c r="L79" s="8">
        <f>IF(A79="","",I79-J79)</f>
        <v/>
      </c>
      <c r="M79" s="8">
        <f>IF(A79="","",J79-K79)</f>
        <v/>
      </c>
      <c r="N79" s="9">
        <f>IF(A79="","",IFERROR((J79-K79)/J79,0))</f>
        <v/>
      </c>
      <c r="O79" s="4">
        <f>IF(A79="","",IF(M79&lt;=0,"Drop",IF(AND(L79&gt;0,N79&gt;=0.6),"Profit product",IF(N79&gt;=0.5,"Traffic product","Thin - rework"))))</f>
        <v/>
      </c>
      <c r="P79" s="7" t="n"/>
      <c r="Q79" s="7" t="n"/>
      <c r="R79" s="7" t="n"/>
      <c r="S79" s="8">
        <f>IF(A79="","",P79+Q79+R79)</f>
        <v/>
      </c>
      <c r="T79" s="7" t="n"/>
      <c r="U79" s="4">
        <f>IF(A79="","",IF(T79=0,"Set a cap",IF(S79&gt;T79,"Over cap - three batches lock too much cash; shrink the batch","OK")))</f>
        <v/>
      </c>
    </row>
    <row r="80">
      <c r="E80" s="4">
        <f>IF(A80="","",IF(D80=0,"",IF(D80&gt;2,"Stale - likely saturated","Fresh")))</f>
        <v/>
      </c>
      <c r="I80" s="7" t="n"/>
      <c r="J80" s="7" t="n"/>
      <c r="K80" s="7" t="n"/>
      <c r="L80" s="8">
        <f>IF(A80="","",I80-J80)</f>
        <v/>
      </c>
      <c r="M80" s="8">
        <f>IF(A80="","",J80-K80)</f>
        <v/>
      </c>
      <c r="N80" s="9">
        <f>IF(A80="","",IFERROR((J80-K80)/J80,0))</f>
        <v/>
      </c>
      <c r="O80" s="4">
        <f>IF(A80="","",IF(M80&lt;=0,"Drop",IF(AND(L80&gt;0,N80&gt;=0.6),"Profit product",IF(N80&gt;=0.5,"Traffic product","Thin - rework"))))</f>
        <v/>
      </c>
      <c r="P80" s="7" t="n"/>
      <c r="Q80" s="7" t="n"/>
      <c r="R80" s="7" t="n"/>
      <c r="S80" s="8">
        <f>IF(A80="","",P80+Q80+R80)</f>
        <v/>
      </c>
      <c r="T80" s="7" t="n"/>
      <c r="U80" s="4">
        <f>IF(A80="","",IF(T80=0,"Set a cap",IF(S80&gt;T80,"Over cap - three batches lock too much cash; shrink the batch","OK")))</f>
        <v/>
      </c>
    </row>
    <row r="81">
      <c r="E81" s="4">
        <f>IF(A81="","",IF(D81=0,"",IF(D81&gt;2,"Stale - likely saturated","Fresh")))</f>
        <v/>
      </c>
      <c r="I81" s="7" t="n"/>
      <c r="J81" s="7" t="n"/>
      <c r="K81" s="7" t="n"/>
      <c r="L81" s="8">
        <f>IF(A81="","",I81-J81)</f>
        <v/>
      </c>
      <c r="M81" s="8">
        <f>IF(A81="","",J81-K81)</f>
        <v/>
      </c>
      <c r="N81" s="9">
        <f>IF(A81="","",IFERROR((J81-K81)/J81,0))</f>
        <v/>
      </c>
      <c r="O81" s="4">
        <f>IF(A81="","",IF(M81&lt;=0,"Drop",IF(AND(L81&gt;0,N81&gt;=0.6),"Profit product",IF(N81&gt;=0.5,"Traffic product","Thin - rework"))))</f>
        <v/>
      </c>
      <c r="P81" s="7" t="n"/>
      <c r="Q81" s="7" t="n"/>
      <c r="R81" s="7" t="n"/>
      <c r="S81" s="8">
        <f>IF(A81="","",P81+Q81+R81)</f>
        <v/>
      </c>
      <c r="T81" s="7" t="n"/>
      <c r="U81" s="4">
        <f>IF(A81="","",IF(T81=0,"Set a cap",IF(S81&gt;T81,"Over cap - three batches lock too much cash; shrink the batch","OK")))</f>
        <v/>
      </c>
    </row>
    <row r="82">
      <c r="E82" s="4">
        <f>IF(A82="","",IF(D82=0,"",IF(D82&gt;2,"Stale - likely saturated","Fresh")))</f>
        <v/>
      </c>
      <c r="I82" s="7" t="n"/>
      <c r="J82" s="7" t="n"/>
      <c r="K82" s="7" t="n"/>
      <c r="L82" s="8">
        <f>IF(A82="","",I82-J82)</f>
        <v/>
      </c>
      <c r="M82" s="8">
        <f>IF(A82="","",J82-K82)</f>
        <v/>
      </c>
      <c r="N82" s="9">
        <f>IF(A82="","",IFERROR((J82-K82)/J82,0))</f>
        <v/>
      </c>
      <c r="O82" s="4">
        <f>IF(A82="","",IF(M82&lt;=0,"Drop",IF(AND(L82&gt;0,N82&gt;=0.6),"Profit product",IF(N82&gt;=0.5,"Traffic product","Thin - rework"))))</f>
        <v/>
      </c>
      <c r="P82" s="7" t="n"/>
      <c r="Q82" s="7" t="n"/>
      <c r="R82" s="7" t="n"/>
      <c r="S82" s="8">
        <f>IF(A82="","",P82+Q82+R82)</f>
        <v/>
      </c>
      <c r="T82" s="7" t="n"/>
      <c r="U82" s="4">
        <f>IF(A82="","",IF(T82=0,"Set a cap",IF(S82&gt;T82,"Over cap - three batches lock too much cash; shrink the batch","OK")))</f>
        <v/>
      </c>
    </row>
    <row r="83">
      <c r="E83" s="4">
        <f>IF(A83="","",IF(D83=0,"",IF(D83&gt;2,"Stale - likely saturated","Fresh")))</f>
        <v/>
      </c>
      <c r="I83" s="7" t="n"/>
      <c r="J83" s="7" t="n"/>
      <c r="K83" s="7" t="n"/>
      <c r="L83" s="8">
        <f>IF(A83="","",I83-J83)</f>
        <v/>
      </c>
      <c r="M83" s="8">
        <f>IF(A83="","",J83-K83)</f>
        <v/>
      </c>
      <c r="N83" s="9">
        <f>IF(A83="","",IFERROR((J83-K83)/J83,0))</f>
        <v/>
      </c>
      <c r="O83" s="4">
        <f>IF(A83="","",IF(M83&lt;=0,"Drop",IF(AND(L83&gt;0,N83&gt;=0.6),"Profit product",IF(N83&gt;=0.5,"Traffic product","Thin - rework"))))</f>
        <v/>
      </c>
      <c r="P83" s="7" t="n"/>
      <c r="Q83" s="7" t="n"/>
      <c r="R83" s="7" t="n"/>
      <c r="S83" s="8">
        <f>IF(A83="","",P83+Q83+R83)</f>
        <v/>
      </c>
      <c r="T83" s="7" t="n"/>
      <c r="U83" s="4">
        <f>IF(A83="","",IF(T83=0,"Set a cap",IF(S83&gt;T83,"Over cap - three batches lock too much cash; shrink the batch","OK")))</f>
        <v/>
      </c>
    </row>
    <row r="84">
      <c r="E84" s="4">
        <f>IF(A84="","",IF(D84=0,"",IF(D84&gt;2,"Stale - likely saturated","Fresh")))</f>
        <v/>
      </c>
      <c r="I84" s="7" t="n"/>
      <c r="J84" s="7" t="n"/>
      <c r="K84" s="7" t="n"/>
      <c r="L84" s="8">
        <f>IF(A84="","",I84-J84)</f>
        <v/>
      </c>
      <c r="M84" s="8">
        <f>IF(A84="","",J84-K84)</f>
        <v/>
      </c>
      <c r="N84" s="9">
        <f>IF(A84="","",IFERROR((J84-K84)/J84,0))</f>
        <v/>
      </c>
      <c r="O84" s="4">
        <f>IF(A84="","",IF(M84&lt;=0,"Drop",IF(AND(L84&gt;0,N84&gt;=0.6),"Profit product",IF(N84&gt;=0.5,"Traffic product","Thin - rework"))))</f>
        <v/>
      </c>
      <c r="P84" s="7" t="n"/>
      <c r="Q84" s="7" t="n"/>
      <c r="R84" s="7" t="n"/>
      <c r="S84" s="8">
        <f>IF(A84="","",P84+Q84+R84)</f>
        <v/>
      </c>
      <c r="T84" s="7" t="n"/>
      <c r="U84" s="4">
        <f>IF(A84="","",IF(T84=0,"Set a cap",IF(S84&gt;T84,"Over cap - three batches lock too much cash; shrink the batch","OK")))</f>
        <v/>
      </c>
    </row>
    <row r="85">
      <c r="E85" s="4">
        <f>IF(A85="","",IF(D85=0,"",IF(D85&gt;2,"Stale - likely saturated","Fresh")))</f>
        <v/>
      </c>
      <c r="I85" s="7" t="n"/>
      <c r="J85" s="7" t="n"/>
      <c r="K85" s="7" t="n"/>
      <c r="L85" s="8">
        <f>IF(A85="","",I85-J85)</f>
        <v/>
      </c>
      <c r="M85" s="8">
        <f>IF(A85="","",J85-K85)</f>
        <v/>
      </c>
      <c r="N85" s="9">
        <f>IF(A85="","",IFERROR((J85-K85)/J85,0))</f>
        <v/>
      </c>
      <c r="O85" s="4">
        <f>IF(A85="","",IF(M85&lt;=0,"Drop",IF(AND(L85&gt;0,N85&gt;=0.6),"Profit product",IF(N85&gt;=0.5,"Traffic product","Thin - rework"))))</f>
        <v/>
      </c>
      <c r="P85" s="7" t="n"/>
      <c r="Q85" s="7" t="n"/>
      <c r="R85" s="7" t="n"/>
      <c r="S85" s="8">
        <f>IF(A85="","",P85+Q85+R85)</f>
        <v/>
      </c>
      <c r="T85" s="7" t="n"/>
      <c r="U85" s="4">
        <f>IF(A85="","",IF(T85=0,"Set a cap",IF(S85&gt;T85,"Over cap - three batches lock too much cash; shrink the batch","OK")))</f>
        <v/>
      </c>
    </row>
    <row r="86">
      <c r="E86" s="4">
        <f>IF(A86="","",IF(D86=0,"",IF(D86&gt;2,"Stale - likely saturated","Fresh")))</f>
        <v/>
      </c>
      <c r="I86" s="7" t="n"/>
      <c r="J86" s="7" t="n"/>
      <c r="K86" s="7" t="n"/>
      <c r="L86" s="8">
        <f>IF(A86="","",I86-J86)</f>
        <v/>
      </c>
      <c r="M86" s="8">
        <f>IF(A86="","",J86-K86)</f>
        <v/>
      </c>
      <c r="N86" s="9">
        <f>IF(A86="","",IFERROR((J86-K86)/J86,0))</f>
        <v/>
      </c>
      <c r="O86" s="4">
        <f>IF(A86="","",IF(M86&lt;=0,"Drop",IF(AND(L86&gt;0,N86&gt;=0.6),"Profit product",IF(N86&gt;=0.5,"Traffic product","Thin - rework"))))</f>
        <v/>
      </c>
      <c r="P86" s="7" t="n"/>
      <c r="Q86" s="7" t="n"/>
      <c r="R86" s="7" t="n"/>
      <c r="S86" s="8">
        <f>IF(A86="","",P86+Q86+R86)</f>
        <v/>
      </c>
      <c r="T86" s="7" t="n"/>
      <c r="U86" s="4">
        <f>IF(A86="","",IF(T86=0,"Set a cap",IF(S86&gt;T86,"Over cap - three batches lock too much cash; shrink the batch","OK")))</f>
        <v/>
      </c>
    </row>
    <row r="87">
      <c r="E87" s="4">
        <f>IF(A87="","",IF(D87=0,"",IF(D87&gt;2,"Stale - likely saturated","Fresh")))</f>
        <v/>
      </c>
      <c r="I87" s="7" t="n"/>
      <c r="J87" s="7" t="n"/>
      <c r="K87" s="7" t="n"/>
      <c r="L87" s="8">
        <f>IF(A87="","",I87-J87)</f>
        <v/>
      </c>
      <c r="M87" s="8">
        <f>IF(A87="","",J87-K87)</f>
        <v/>
      </c>
      <c r="N87" s="9">
        <f>IF(A87="","",IFERROR((J87-K87)/J87,0))</f>
        <v/>
      </c>
      <c r="O87" s="4">
        <f>IF(A87="","",IF(M87&lt;=0,"Drop",IF(AND(L87&gt;0,N87&gt;=0.6),"Profit product",IF(N87&gt;=0.5,"Traffic product","Thin - rework"))))</f>
        <v/>
      </c>
      <c r="P87" s="7" t="n"/>
      <c r="Q87" s="7" t="n"/>
      <c r="R87" s="7" t="n"/>
      <c r="S87" s="8">
        <f>IF(A87="","",P87+Q87+R87)</f>
        <v/>
      </c>
      <c r="T87" s="7" t="n"/>
      <c r="U87" s="4">
        <f>IF(A87="","",IF(T87=0,"Set a cap",IF(S87&gt;T87,"Over cap - three batches lock too much cash; shrink the batch","OK")))</f>
        <v/>
      </c>
    </row>
    <row r="88">
      <c r="E88" s="4">
        <f>IF(A88="","",IF(D88=0,"",IF(D88&gt;2,"Stale - likely saturated","Fresh")))</f>
        <v/>
      </c>
      <c r="I88" s="7" t="n"/>
      <c r="J88" s="7" t="n"/>
      <c r="K88" s="7" t="n"/>
      <c r="L88" s="8">
        <f>IF(A88="","",I88-J88)</f>
        <v/>
      </c>
      <c r="M88" s="8">
        <f>IF(A88="","",J88-K88)</f>
        <v/>
      </c>
      <c r="N88" s="9">
        <f>IF(A88="","",IFERROR((J88-K88)/J88,0))</f>
        <v/>
      </c>
      <c r="O88" s="4">
        <f>IF(A88="","",IF(M88&lt;=0,"Drop",IF(AND(L88&gt;0,N88&gt;=0.6),"Profit product",IF(N88&gt;=0.5,"Traffic product","Thin - rework"))))</f>
        <v/>
      </c>
      <c r="P88" s="7" t="n"/>
      <c r="Q88" s="7" t="n"/>
      <c r="R88" s="7" t="n"/>
      <c r="S88" s="8">
        <f>IF(A88="","",P88+Q88+R88)</f>
        <v/>
      </c>
      <c r="T88" s="7" t="n"/>
      <c r="U88" s="4">
        <f>IF(A88="","",IF(T88=0,"Set a cap",IF(S88&gt;T88,"Over cap - three batches lock too much cash; shrink the batch","OK")))</f>
        <v/>
      </c>
    </row>
    <row r="89">
      <c r="E89" s="4">
        <f>IF(A89="","",IF(D89=0,"",IF(D89&gt;2,"Stale - likely saturated","Fresh")))</f>
        <v/>
      </c>
      <c r="I89" s="7" t="n"/>
      <c r="J89" s="7" t="n"/>
      <c r="K89" s="7" t="n"/>
      <c r="L89" s="8">
        <f>IF(A89="","",I89-J89)</f>
        <v/>
      </c>
      <c r="M89" s="8">
        <f>IF(A89="","",J89-K89)</f>
        <v/>
      </c>
      <c r="N89" s="9">
        <f>IF(A89="","",IFERROR((J89-K89)/J89,0))</f>
        <v/>
      </c>
      <c r="O89" s="4">
        <f>IF(A89="","",IF(M89&lt;=0,"Drop",IF(AND(L89&gt;0,N89&gt;=0.6),"Profit product",IF(N89&gt;=0.5,"Traffic product","Thin - rework"))))</f>
        <v/>
      </c>
      <c r="P89" s="7" t="n"/>
      <c r="Q89" s="7" t="n"/>
      <c r="R89" s="7" t="n"/>
      <c r="S89" s="8">
        <f>IF(A89="","",P89+Q89+R89)</f>
        <v/>
      </c>
      <c r="T89" s="7" t="n"/>
      <c r="U89" s="4">
        <f>IF(A89="","",IF(T89=0,"Set a cap",IF(S89&gt;T89,"Over cap - three batches lock too much cash; shrink the batch","OK")))</f>
        <v/>
      </c>
    </row>
    <row r="90">
      <c r="E90" s="4">
        <f>IF(A90="","",IF(D90=0,"",IF(D90&gt;2,"Stale - likely saturated","Fresh")))</f>
        <v/>
      </c>
      <c r="I90" s="7" t="n"/>
      <c r="J90" s="7" t="n"/>
      <c r="K90" s="7" t="n"/>
      <c r="L90" s="8">
        <f>IF(A90="","",I90-J90)</f>
        <v/>
      </c>
      <c r="M90" s="8">
        <f>IF(A90="","",J90-K90)</f>
        <v/>
      </c>
      <c r="N90" s="9">
        <f>IF(A90="","",IFERROR((J90-K90)/J90,0))</f>
        <v/>
      </c>
      <c r="O90" s="4">
        <f>IF(A90="","",IF(M90&lt;=0,"Drop",IF(AND(L90&gt;0,N90&gt;=0.6),"Profit product",IF(N90&gt;=0.5,"Traffic product","Thin - rework"))))</f>
        <v/>
      </c>
      <c r="P90" s="7" t="n"/>
      <c r="Q90" s="7" t="n"/>
      <c r="R90" s="7" t="n"/>
      <c r="S90" s="8">
        <f>IF(A90="","",P90+Q90+R90)</f>
        <v/>
      </c>
      <c r="T90" s="7" t="n"/>
      <c r="U90" s="4">
        <f>IF(A90="","",IF(T90=0,"Set a cap",IF(S90&gt;T90,"Over cap - three batches lock too much cash; shrink the batch","OK")))</f>
        <v/>
      </c>
    </row>
    <row r="91">
      <c r="E91" s="4">
        <f>IF(A91="","",IF(D91=0,"",IF(D91&gt;2,"Stale - likely saturated","Fresh")))</f>
        <v/>
      </c>
      <c r="I91" s="7" t="n"/>
      <c r="J91" s="7" t="n"/>
      <c r="K91" s="7" t="n"/>
      <c r="L91" s="8">
        <f>IF(A91="","",I91-J91)</f>
        <v/>
      </c>
      <c r="M91" s="8">
        <f>IF(A91="","",J91-K91)</f>
        <v/>
      </c>
      <c r="N91" s="9">
        <f>IF(A91="","",IFERROR((J91-K91)/J91,0))</f>
        <v/>
      </c>
      <c r="O91" s="4">
        <f>IF(A91="","",IF(M91&lt;=0,"Drop",IF(AND(L91&gt;0,N91&gt;=0.6),"Profit product",IF(N91&gt;=0.5,"Traffic product","Thin - rework"))))</f>
        <v/>
      </c>
      <c r="P91" s="7" t="n"/>
      <c r="Q91" s="7" t="n"/>
      <c r="R91" s="7" t="n"/>
      <c r="S91" s="8">
        <f>IF(A91="","",P91+Q91+R91)</f>
        <v/>
      </c>
      <c r="T91" s="7" t="n"/>
      <c r="U91" s="4">
        <f>IF(A91="","",IF(T91=0,"Set a cap",IF(S91&gt;T91,"Over cap - three batches lock too much cash; shrink the batch","OK")))</f>
        <v/>
      </c>
    </row>
    <row r="92">
      <c r="E92" s="4">
        <f>IF(A92="","",IF(D92=0,"",IF(D92&gt;2,"Stale - likely saturated","Fresh")))</f>
        <v/>
      </c>
      <c r="I92" s="7" t="n"/>
      <c r="J92" s="7" t="n"/>
      <c r="K92" s="7" t="n"/>
      <c r="L92" s="8">
        <f>IF(A92="","",I92-J92)</f>
        <v/>
      </c>
      <c r="M92" s="8">
        <f>IF(A92="","",J92-K92)</f>
        <v/>
      </c>
      <c r="N92" s="9">
        <f>IF(A92="","",IFERROR((J92-K92)/J92,0))</f>
        <v/>
      </c>
      <c r="O92" s="4">
        <f>IF(A92="","",IF(M92&lt;=0,"Drop",IF(AND(L92&gt;0,N92&gt;=0.6),"Profit product",IF(N92&gt;=0.5,"Traffic product","Thin - rework"))))</f>
        <v/>
      </c>
      <c r="P92" s="7" t="n"/>
      <c r="Q92" s="7" t="n"/>
      <c r="R92" s="7" t="n"/>
      <c r="S92" s="8">
        <f>IF(A92="","",P92+Q92+R92)</f>
        <v/>
      </c>
      <c r="T92" s="7" t="n"/>
      <c r="U92" s="4">
        <f>IF(A92="","",IF(T92=0,"Set a cap",IF(S92&gt;T92,"Over cap - three batches lock too much cash; shrink the batch","OK")))</f>
        <v/>
      </c>
    </row>
    <row r="93">
      <c r="E93" s="4">
        <f>IF(A93="","",IF(D93=0,"",IF(D93&gt;2,"Stale - likely saturated","Fresh")))</f>
        <v/>
      </c>
      <c r="I93" s="7" t="n"/>
      <c r="J93" s="7" t="n"/>
      <c r="K93" s="7" t="n"/>
      <c r="L93" s="8">
        <f>IF(A93="","",I93-J93)</f>
        <v/>
      </c>
      <c r="M93" s="8">
        <f>IF(A93="","",J93-K93)</f>
        <v/>
      </c>
      <c r="N93" s="9">
        <f>IF(A93="","",IFERROR((J93-K93)/J93,0))</f>
        <v/>
      </c>
      <c r="O93" s="4">
        <f>IF(A93="","",IF(M93&lt;=0,"Drop",IF(AND(L93&gt;0,N93&gt;=0.6),"Profit product",IF(N93&gt;=0.5,"Traffic product","Thin - rework"))))</f>
        <v/>
      </c>
      <c r="P93" s="7" t="n"/>
      <c r="Q93" s="7" t="n"/>
      <c r="R93" s="7" t="n"/>
      <c r="S93" s="8">
        <f>IF(A93="","",P93+Q93+R93)</f>
        <v/>
      </c>
      <c r="T93" s="7" t="n"/>
      <c r="U93" s="4">
        <f>IF(A93="","",IF(T93=0,"Set a cap",IF(S93&gt;T93,"Over cap - three batches lock too much cash; shrink the batch","OK")))</f>
        <v/>
      </c>
    </row>
    <row r="94">
      <c r="E94" s="4">
        <f>IF(A94="","",IF(D94=0,"",IF(D94&gt;2,"Stale - likely saturated","Fresh")))</f>
        <v/>
      </c>
      <c r="I94" s="7" t="n"/>
      <c r="J94" s="7" t="n"/>
      <c r="K94" s="7" t="n"/>
      <c r="L94" s="8">
        <f>IF(A94="","",I94-J94)</f>
        <v/>
      </c>
      <c r="M94" s="8">
        <f>IF(A94="","",J94-K94)</f>
        <v/>
      </c>
      <c r="N94" s="9">
        <f>IF(A94="","",IFERROR((J94-K94)/J94,0))</f>
        <v/>
      </c>
      <c r="O94" s="4">
        <f>IF(A94="","",IF(M94&lt;=0,"Drop",IF(AND(L94&gt;0,N94&gt;=0.6),"Profit product",IF(N94&gt;=0.5,"Traffic product","Thin - rework"))))</f>
        <v/>
      </c>
      <c r="P94" s="7" t="n"/>
      <c r="Q94" s="7" t="n"/>
      <c r="R94" s="7" t="n"/>
      <c r="S94" s="8">
        <f>IF(A94="","",P94+Q94+R94)</f>
        <v/>
      </c>
      <c r="T94" s="7" t="n"/>
      <c r="U94" s="4">
        <f>IF(A94="","",IF(T94=0,"Set a cap",IF(S94&gt;T94,"Over cap - three batches lock too much cash; shrink the batch","OK")))</f>
        <v/>
      </c>
    </row>
    <row r="95">
      <c r="E95" s="4">
        <f>IF(A95="","",IF(D95=0,"",IF(D95&gt;2,"Stale - likely saturated","Fresh")))</f>
        <v/>
      </c>
      <c r="I95" s="7" t="n"/>
      <c r="J95" s="7" t="n"/>
      <c r="K95" s="7" t="n"/>
      <c r="L95" s="8">
        <f>IF(A95="","",I95-J95)</f>
        <v/>
      </c>
      <c r="M95" s="8">
        <f>IF(A95="","",J95-K95)</f>
        <v/>
      </c>
      <c r="N95" s="9">
        <f>IF(A95="","",IFERROR((J95-K95)/J95,0))</f>
        <v/>
      </c>
      <c r="O95" s="4">
        <f>IF(A95="","",IF(M95&lt;=0,"Drop",IF(AND(L95&gt;0,N95&gt;=0.6),"Profit product",IF(N95&gt;=0.5,"Traffic product","Thin - rework"))))</f>
        <v/>
      </c>
      <c r="P95" s="7" t="n"/>
      <c r="Q95" s="7" t="n"/>
      <c r="R95" s="7" t="n"/>
      <c r="S95" s="8">
        <f>IF(A95="","",P95+Q95+R95)</f>
        <v/>
      </c>
      <c r="T95" s="7" t="n"/>
      <c r="U95" s="4">
        <f>IF(A95="","",IF(T95=0,"Set a cap",IF(S95&gt;T95,"Over cap - three batches lock too much cash; shrink the batch","OK")))</f>
        <v/>
      </c>
    </row>
    <row r="96">
      <c r="E96" s="4">
        <f>IF(A96="","",IF(D96=0,"",IF(D96&gt;2,"Stale - likely saturated","Fresh")))</f>
        <v/>
      </c>
      <c r="I96" s="7" t="n"/>
      <c r="J96" s="7" t="n"/>
      <c r="K96" s="7" t="n"/>
      <c r="L96" s="8">
        <f>IF(A96="","",I96-J96)</f>
        <v/>
      </c>
      <c r="M96" s="8">
        <f>IF(A96="","",J96-K96)</f>
        <v/>
      </c>
      <c r="N96" s="9">
        <f>IF(A96="","",IFERROR((J96-K96)/J96,0))</f>
        <v/>
      </c>
      <c r="O96" s="4">
        <f>IF(A96="","",IF(M96&lt;=0,"Drop",IF(AND(L96&gt;0,N96&gt;=0.6),"Profit product",IF(N96&gt;=0.5,"Traffic product","Thin - rework"))))</f>
        <v/>
      </c>
      <c r="P96" s="7" t="n"/>
      <c r="Q96" s="7" t="n"/>
      <c r="R96" s="7" t="n"/>
      <c r="S96" s="8">
        <f>IF(A96="","",P96+Q96+R96)</f>
        <v/>
      </c>
      <c r="T96" s="7" t="n"/>
      <c r="U96" s="4">
        <f>IF(A96="","",IF(T96=0,"Set a cap",IF(S96&gt;T96,"Over cap - three batches lock too much cash; shrink the batch","OK")))</f>
        <v/>
      </c>
    </row>
    <row r="97">
      <c r="E97" s="4">
        <f>IF(A97="","",IF(D97=0,"",IF(D97&gt;2,"Stale - likely saturated","Fresh")))</f>
        <v/>
      </c>
      <c r="I97" s="7" t="n"/>
      <c r="J97" s="7" t="n"/>
      <c r="K97" s="7" t="n"/>
      <c r="L97" s="8">
        <f>IF(A97="","",I97-J97)</f>
        <v/>
      </c>
      <c r="M97" s="8">
        <f>IF(A97="","",J97-K97)</f>
        <v/>
      </c>
      <c r="N97" s="9">
        <f>IF(A97="","",IFERROR((J97-K97)/J97,0))</f>
        <v/>
      </c>
      <c r="O97" s="4">
        <f>IF(A97="","",IF(M97&lt;=0,"Drop",IF(AND(L97&gt;0,N97&gt;=0.6),"Profit product",IF(N97&gt;=0.5,"Traffic product","Thin - rework"))))</f>
        <v/>
      </c>
      <c r="P97" s="7" t="n"/>
      <c r="Q97" s="7" t="n"/>
      <c r="R97" s="7" t="n"/>
      <c r="S97" s="8">
        <f>IF(A97="","",P97+Q97+R97)</f>
        <v/>
      </c>
      <c r="T97" s="7" t="n"/>
      <c r="U97" s="4">
        <f>IF(A97="","",IF(T97=0,"Set a cap",IF(S97&gt;T97,"Over cap - three batches lock too much cash; shrink the batch","OK")))</f>
        <v/>
      </c>
    </row>
    <row r="98">
      <c r="E98" s="4">
        <f>IF(A98="","",IF(D98=0,"",IF(D98&gt;2,"Stale - likely saturated","Fresh")))</f>
        <v/>
      </c>
      <c r="I98" s="7" t="n"/>
      <c r="J98" s="7" t="n"/>
      <c r="K98" s="7" t="n"/>
      <c r="L98" s="8">
        <f>IF(A98="","",I98-J98)</f>
        <v/>
      </c>
      <c r="M98" s="8">
        <f>IF(A98="","",J98-K98)</f>
        <v/>
      </c>
      <c r="N98" s="9">
        <f>IF(A98="","",IFERROR((J98-K98)/J98,0))</f>
        <v/>
      </c>
      <c r="O98" s="4">
        <f>IF(A98="","",IF(M98&lt;=0,"Drop",IF(AND(L98&gt;0,N98&gt;=0.6),"Profit product",IF(N98&gt;=0.5,"Traffic product","Thin - rework"))))</f>
        <v/>
      </c>
      <c r="P98" s="7" t="n"/>
      <c r="Q98" s="7" t="n"/>
      <c r="R98" s="7" t="n"/>
      <c r="S98" s="8">
        <f>IF(A98="","",P98+Q98+R98)</f>
        <v/>
      </c>
      <c r="T98" s="7" t="n"/>
      <c r="U98" s="4">
        <f>IF(A98="","",IF(T98=0,"Set a cap",IF(S98&gt;T98,"Over cap - three batches lock too much cash; shrink the batch","OK")))</f>
        <v/>
      </c>
    </row>
    <row r="99">
      <c r="E99" s="4">
        <f>IF(A99="","",IF(D99=0,"",IF(D99&gt;2,"Stale - likely saturated","Fresh")))</f>
        <v/>
      </c>
      <c r="I99" s="7" t="n"/>
      <c r="J99" s="7" t="n"/>
      <c r="K99" s="7" t="n"/>
      <c r="L99" s="8">
        <f>IF(A99="","",I99-J99)</f>
        <v/>
      </c>
      <c r="M99" s="8">
        <f>IF(A99="","",J99-K99)</f>
        <v/>
      </c>
      <c r="N99" s="9">
        <f>IF(A99="","",IFERROR((J99-K99)/J99,0))</f>
        <v/>
      </c>
      <c r="O99" s="4">
        <f>IF(A99="","",IF(M99&lt;=0,"Drop",IF(AND(L99&gt;0,N99&gt;=0.6),"Profit product",IF(N99&gt;=0.5,"Traffic product","Thin - rework"))))</f>
        <v/>
      </c>
      <c r="P99" s="7" t="n"/>
      <c r="Q99" s="7" t="n"/>
      <c r="R99" s="7" t="n"/>
      <c r="S99" s="8">
        <f>IF(A99="","",P99+Q99+R99)</f>
        <v/>
      </c>
      <c r="T99" s="7" t="n"/>
      <c r="U99" s="4">
        <f>IF(A99="","",IF(T99=0,"Set a cap",IF(S99&gt;T99,"Over cap - three batches lock too much cash; shrink the batch","OK")))</f>
        <v/>
      </c>
    </row>
    <row r="100">
      <c r="E100" s="4">
        <f>IF(A100="","",IF(D100=0,"",IF(D100&gt;2,"Stale - likely saturated","Fresh")))</f>
        <v/>
      </c>
      <c r="I100" s="7" t="n"/>
      <c r="J100" s="7" t="n"/>
      <c r="K100" s="7" t="n"/>
      <c r="L100" s="8">
        <f>IF(A100="","",I100-J100)</f>
        <v/>
      </c>
      <c r="M100" s="8">
        <f>IF(A100="","",J100-K100)</f>
        <v/>
      </c>
      <c r="N100" s="9">
        <f>IF(A100="","",IFERROR((J100-K100)/J100,0))</f>
        <v/>
      </c>
      <c r="O100" s="4">
        <f>IF(A100="","",IF(M100&lt;=0,"Drop",IF(AND(L100&gt;0,N100&gt;=0.6),"Profit product",IF(N100&gt;=0.5,"Traffic product","Thin - rework"))))</f>
        <v/>
      </c>
      <c r="P100" s="7" t="n"/>
      <c r="Q100" s="7" t="n"/>
      <c r="R100" s="7" t="n"/>
      <c r="S100" s="8">
        <f>IF(A100="","",P100+Q100+R100)</f>
        <v/>
      </c>
      <c r="T100" s="7" t="n"/>
      <c r="U100" s="4">
        <f>IF(A100="","",IF(T100=0,"Set a cap",IF(S100&gt;T100,"Over cap - three batches lock too much cash; shrink the batch","OK")))</f>
        <v/>
      </c>
    </row>
    <row r="101">
      <c r="E101" s="4">
        <f>IF(A101="","",IF(D101=0,"",IF(D101&gt;2,"Stale - likely saturated","Fresh")))</f>
        <v/>
      </c>
      <c r="I101" s="7" t="n"/>
      <c r="J101" s="7" t="n"/>
      <c r="K101" s="7" t="n"/>
      <c r="L101" s="8">
        <f>IF(A101="","",I101-J101)</f>
        <v/>
      </c>
      <c r="M101" s="8">
        <f>IF(A101="","",J101-K101)</f>
        <v/>
      </c>
      <c r="N101" s="9">
        <f>IF(A101="","",IFERROR((J101-K101)/J101,0))</f>
        <v/>
      </c>
      <c r="O101" s="4">
        <f>IF(A101="","",IF(M101&lt;=0,"Drop",IF(AND(L101&gt;0,N101&gt;=0.6),"Profit product",IF(N101&gt;=0.5,"Traffic product","Thin - rework"))))</f>
        <v/>
      </c>
      <c r="P101" s="7" t="n"/>
      <c r="Q101" s="7" t="n"/>
      <c r="R101" s="7" t="n"/>
      <c r="S101" s="8">
        <f>IF(A101="","",P101+Q101+R101)</f>
        <v/>
      </c>
      <c r="T101" s="7" t="n"/>
      <c r="U101" s="4">
        <f>IF(A101="","",IF(T101=0,"Set a cap",IF(S101&gt;T101,"Over cap - three batches lock too much cash; shrink the batch","OK")))</f>
        <v/>
      </c>
    </row>
    <row r="102">
      <c r="E102" s="4">
        <f>IF(A102="","",IF(D102=0,"",IF(D102&gt;2,"Stale - likely saturated","Fresh")))</f>
        <v/>
      </c>
      <c r="I102" s="7" t="n"/>
      <c r="J102" s="7" t="n"/>
      <c r="K102" s="7" t="n"/>
      <c r="L102" s="8">
        <f>IF(A102="","",I102-J102)</f>
        <v/>
      </c>
      <c r="M102" s="8">
        <f>IF(A102="","",J102-K102)</f>
        <v/>
      </c>
      <c r="N102" s="9">
        <f>IF(A102="","",IFERROR((J102-K102)/J102,0))</f>
        <v/>
      </c>
      <c r="O102" s="4">
        <f>IF(A102="","",IF(M102&lt;=0,"Drop",IF(AND(L102&gt;0,N102&gt;=0.6),"Profit product",IF(N102&gt;=0.5,"Traffic product","Thin - rework"))))</f>
        <v/>
      </c>
      <c r="P102" s="7" t="n"/>
      <c r="Q102" s="7" t="n"/>
      <c r="R102" s="7" t="n"/>
      <c r="S102" s="8">
        <f>IF(A102="","",P102+Q102+R102)</f>
        <v/>
      </c>
      <c r="T102" s="7" t="n"/>
      <c r="U102" s="4">
        <f>IF(A102="","",IF(T102=0,"Set a cap",IF(S102&gt;T102,"Over cap - three batches lock too much cash; shrink the batch","OK")))</f>
        <v/>
      </c>
    </row>
    <row r="103">
      <c r="E103" s="4">
        <f>IF(A103="","",IF(D103=0,"",IF(D103&gt;2,"Stale - likely saturated","Fresh")))</f>
        <v/>
      </c>
      <c r="I103" s="7" t="n"/>
      <c r="J103" s="7" t="n"/>
      <c r="K103" s="7" t="n"/>
      <c r="L103" s="8">
        <f>IF(A103="","",I103-J103)</f>
        <v/>
      </c>
      <c r="M103" s="8">
        <f>IF(A103="","",J103-K103)</f>
        <v/>
      </c>
      <c r="N103" s="9">
        <f>IF(A103="","",IFERROR((J103-K103)/J103,0))</f>
        <v/>
      </c>
      <c r="O103" s="4">
        <f>IF(A103="","",IF(M103&lt;=0,"Drop",IF(AND(L103&gt;0,N103&gt;=0.6),"Profit product",IF(N103&gt;=0.5,"Traffic product","Thin - rework"))))</f>
        <v/>
      </c>
      <c r="P103" s="7" t="n"/>
      <c r="Q103" s="7" t="n"/>
      <c r="R103" s="7" t="n"/>
      <c r="S103" s="8">
        <f>IF(A103="","",P103+Q103+R103)</f>
        <v/>
      </c>
      <c r="T103" s="7" t="n"/>
      <c r="U103" s="4">
        <f>IF(A103="","",IF(T103=0,"Set a cap",IF(S103&gt;T103,"Over cap - three batches lock too much cash; shrink the batch","OK")))</f>
        <v/>
      </c>
    </row>
    <row r="104">
      <c r="E104" s="4">
        <f>IF(A104="","",IF(D104=0,"",IF(D104&gt;2,"Stale - likely saturated","Fresh")))</f>
        <v/>
      </c>
      <c r="I104" s="7" t="n"/>
      <c r="J104" s="7" t="n"/>
      <c r="K104" s="7" t="n"/>
      <c r="L104" s="8">
        <f>IF(A104="","",I104-J104)</f>
        <v/>
      </c>
      <c r="M104" s="8">
        <f>IF(A104="","",J104-K104)</f>
        <v/>
      </c>
      <c r="N104" s="9">
        <f>IF(A104="","",IFERROR((J104-K104)/J104,0))</f>
        <v/>
      </c>
      <c r="O104" s="4">
        <f>IF(A104="","",IF(M104&lt;=0,"Drop",IF(AND(L104&gt;0,N104&gt;=0.6),"Profit product",IF(N104&gt;=0.5,"Traffic product","Thin - rework"))))</f>
        <v/>
      </c>
      <c r="P104" s="7" t="n"/>
      <c r="Q104" s="7" t="n"/>
      <c r="R104" s="7" t="n"/>
      <c r="S104" s="8">
        <f>IF(A104="","",P104+Q104+R104)</f>
        <v/>
      </c>
      <c r="T104" s="7" t="n"/>
      <c r="U104" s="4">
        <f>IF(A104="","",IF(T104=0,"Set a cap",IF(S104&gt;T104,"Over cap - three batches lock too much cash; shrink the batch","OK")))</f>
        <v/>
      </c>
    </row>
    <row r="105">
      <c r="E105" s="4">
        <f>IF(A105="","",IF(D105=0,"",IF(D105&gt;2,"Stale - likely saturated","Fresh")))</f>
        <v/>
      </c>
      <c r="I105" s="7" t="n"/>
      <c r="J105" s="7" t="n"/>
      <c r="K105" s="7" t="n"/>
      <c r="L105" s="8">
        <f>IF(A105="","",I105-J105)</f>
        <v/>
      </c>
      <c r="M105" s="8">
        <f>IF(A105="","",J105-K105)</f>
        <v/>
      </c>
      <c r="N105" s="9">
        <f>IF(A105="","",IFERROR((J105-K105)/J105,0))</f>
        <v/>
      </c>
      <c r="O105" s="4">
        <f>IF(A105="","",IF(M105&lt;=0,"Drop",IF(AND(L105&gt;0,N105&gt;=0.6),"Profit product",IF(N105&gt;=0.5,"Traffic product","Thin - rework"))))</f>
        <v/>
      </c>
      <c r="P105" s="7" t="n"/>
      <c r="Q105" s="7" t="n"/>
      <c r="R105" s="7" t="n"/>
      <c r="S105" s="8">
        <f>IF(A105="","",P105+Q105+R105)</f>
        <v/>
      </c>
      <c r="T105" s="7" t="n"/>
      <c r="U105" s="4">
        <f>IF(A105="","",IF(T105=0,"Set a cap",IF(S105&gt;T105,"Over cap - three batches lock too much cash; shrink the batch","OK")))</f>
        <v/>
      </c>
    </row>
    <row r="106">
      <c r="E106" s="4">
        <f>IF(A106="","",IF(D106=0,"",IF(D106&gt;2,"Stale - likely saturated","Fresh")))</f>
        <v/>
      </c>
      <c r="I106" s="7" t="n"/>
      <c r="J106" s="7" t="n"/>
      <c r="K106" s="7" t="n"/>
      <c r="L106" s="8">
        <f>IF(A106="","",I106-J106)</f>
        <v/>
      </c>
      <c r="M106" s="8">
        <f>IF(A106="","",J106-K106)</f>
        <v/>
      </c>
      <c r="N106" s="9">
        <f>IF(A106="","",IFERROR((J106-K106)/J106,0))</f>
        <v/>
      </c>
      <c r="O106" s="4">
        <f>IF(A106="","",IF(M106&lt;=0,"Drop",IF(AND(L106&gt;0,N106&gt;=0.6),"Profit product",IF(N106&gt;=0.5,"Traffic product","Thin - rework"))))</f>
        <v/>
      </c>
      <c r="P106" s="7" t="n"/>
      <c r="Q106" s="7" t="n"/>
      <c r="R106" s="7" t="n"/>
      <c r="S106" s="8">
        <f>IF(A106="","",P106+Q106+R106)</f>
        <v/>
      </c>
      <c r="T106" s="7" t="n"/>
      <c r="U106" s="4">
        <f>IF(A106="","",IF(T106=0,"Set a cap",IF(S106&gt;T106,"Over cap - three batches lock too much cash; shrink the batch","OK")))</f>
        <v/>
      </c>
    </row>
    <row r="107">
      <c r="E107" s="4">
        <f>IF(A107="","",IF(D107=0,"",IF(D107&gt;2,"Stale - likely saturated","Fresh")))</f>
        <v/>
      </c>
      <c r="I107" s="7" t="n"/>
      <c r="J107" s="7" t="n"/>
      <c r="K107" s="7" t="n"/>
      <c r="L107" s="8">
        <f>IF(A107="","",I107-J107)</f>
        <v/>
      </c>
      <c r="M107" s="8">
        <f>IF(A107="","",J107-K107)</f>
        <v/>
      </c>
      <c r="N107" s="9">
        <f>IF(A107="","",IFERROR((J107-K107)/J107,0))</f>
        <v/>
      </c>
      <c r="O107" s="4">
        <f>IF(A107="","",IF(M107&lt;=0,"Drop",IF(AND(L107&gt;0,N107&gt;=0.6),"Profit product",IF(N107&gt;=0.5,"Traffic product","Thin - rework"))))</f>
        <v/>
      </c>
      <c r="P107" s="7" t="n"/>
      <c r="Q107" s="7" t="n"/>
      <c r="R107" s="7" t="n"/>
      <c r="S107" s="8">
        <f>IF(A107="","",P107+Q107+R107)</f>
        <v/>
      </c>
      <c r="T107" s="7" t="n"/>
      <c r="U107" s="4">
        <f>IF(A107="","",IF(T107=0,"Set a cap",IF(S107&gt;T107,"Over cap - three batches lock too much cash; shrink the batch","OK")))</f>
        <v/>
      </c>
    </row>
    <row r="108">
      <c r="E108" s="4">
        <f>IF(A108="","",IF(D108=0,"",IF(D108&gt;2,"Stale - likely saturated","Fresh")))</f>
        <v/>
      </c>
      <c r="I108" s="7" t="n"/>
      <c r="J108" s="7" t="n"/>
      <c r="K108" s="7" t="n"/>
      <c r="L108" s="8">
        <f>IF(A108="","",I108-J108)</f>
        <v/>
      </c>
      <c r="M108" s="8">
        <f>IF(A108="","",J108-K108)</f>
        <v/>
      </c>
      <c r="N108" s="9">
        <f>IF(A108="","",IFERROR((J108-K108)/J108,0))</f>
        <v/>
      </c>
      <c r="O108" s="4">
        <f>IF(A108="","",IF(M108&lt;=0,"Drop",IF(AND(L108&gt;0,N108&gt;=0.6),"Profit product",IF(N108&gt;=0.5,"Traffic product","Thin - rework"))))</f>
        <v/>
      </c>
      <c r="P108" s="7" t="n"/>
      <c r="Q108" s="7" t="n"/>
      <c r="R108" s="7" t="n"/>
      <c r="S108" s="8">
        <f>IF(A108="","",P108+Q108+R108)</f>
        <v/>
      </c>
      <c r="T108" s="7" t="n"/>
      <c r="U108" s="4">
        <f>IF(A108="","",IF(T108=0,"Set a cap",IF(S108&gt;T108,"Over cap - three batches lock too much cash; shrink the batch","OK")))</f>
        <v/>
      </c>
    </row>
    <row r="109">
      <c r="E109" s="4">
        <f>IF(A109="","",IF(D109=0,"",IF(D109&gt;2,"Stale - likely saturated","Fresh")))</f>
        <v/>
      </c>
      <c r="I109" s="7" t="n"/>
      <c r="J109" s="7" t="n"/>
      <c r="K109" s="7" t="n"/>
      <c r="L109" s="8">
        <f>IF(A109="","",I109-J109)</f>
        <v/>
      </c>
      <c r="M109" s="8">
        <f>IF(A109="","",J109-K109)</f>
        <v/>
      </c>
      <c r="N109" s="9">
        <f>IF(A109="","",IFERROR((J109-K109)/J109,0))</f>
        <v/>
      </c>
      <c r="O109" s="4">
        <f>IF(A109="","",IF(M109&lt;=0,"Drop",IF(AND(L109&gt;0,N109&gt;=0.6),"Profit product",IF(N109&gt;=0.5,"Traffic product","Thin - rework"))))</f>
        <v/>
      </c>
      <c r="P109" s="7" t="n"/>
      <c r="Q109" s="7" t="n"/>
      <c r="R109" s="7" t="n"/>
      <c r="S109" s="8">
        <f>IF(A109="","",P109+Q109+R109)</f>
        <v/>
      </c>
      <c r="T109" s="7" t="n"/>
      <c r="U109" s="4">
        <f>IF(A109="","",IF(T109=0,"Set a cap",IF(S109&gt;T109,"Over cap - three batches lock too much cash; shrink the batch","OK")))</f>
        <v/>
      </c>
    </row>
    <row r="110">
      <c r="E110" s="4">
        <f>IF(A110="","",IF(D110=0,"",IF(D110&gt;2,"Stale - likely saturated","Fresh")))</f>
        <v/>
      </c>
      <c r="I110" s="7" t="n"/>
      <c r="J110" s="7" t="n"/>
      <c r="K110" s="7" t="n"/>
      <c r="L110" s="8">
        <f>IF(A110="","",I110-J110)</f>
        <v/>
      </c>
      <c r="M110" s="8">
        <f>IF(A110="","",J110-K110)</f>
        <v/>
      </c>
      <c r="N110" s="9">
        <f>IF(A110="","",IFERROR((J110-K110)/J110,0))</f>
        <v/>
      </c>
      <c r="O110" s="4">
        <f>IF(A110="","",IF(M110&lt;=0,"Drop",IF(AND(L110&gt;0,N110&gt;=0.6),"Profit product",IF(N110&gt;=0.5,"Traffic product","Thin - rework"))))</f>
        <v/>
      </c>
      <c r="P110" s="7" t="n"/>
      <c r="Q110" s="7" t="n"/>
      <c r="R110" s="7" t="n"/>
      <c r="S110" s="8">
        <f>IF(A110="","",P110+Q110+R110)</f>
        <v/>
      </c>
      <c r="T110" s="7" t="n"/>
      <c r="U110" s="4">
        <f>IF(A110="","",IF(T110=0,"Set a cap",IF(S110&gt;T110,"Over cap - three batches lock too much cash; shrink the batch","OK")))</f>
        <v/>
      </c>
    </row>
    <row r="111">
      <c r="E111" s="4">
        <f>IF(A111="","",IF(D111=0,"",IF(D111&gt;2,"Stale - likely saturated","Fresh")))</f>
        <v/>
      </c>
      <c r="I111" s="7" t="n"/>
      <c r="J111" s="7" t="n"/>
      <c r="K111" s="7" t="n"/>
      <c r="L111" s="8">
        <f>IF(A111="","",I111-J111)</f>
        <v/>
      </c>
      <c r="M111" s="8">
        <f>IF(A111="","",J111-K111)</f>
        <v/>
      </c>
      <c r="N111" s="9">
        <f>IF(A111="","",IFERROR((J111-K111)/J111,0))</f>
        <v/>
      </c>
      <c r="O111" s="4">
        <f>IF(A111="","",IF(M111&lt;=0,"Drop",IF(AND(L111&gt;0,N111&gt;=0.6),"Profit product",IF(N111&gt;=0.5,"Traffic product","Thin - rework"))))</f>
        <v/>
      </c>
      <c r="P111" s="7" t="n"/>
      <c r="Q111" s="7" t="n"/>
      <c r="R111" s="7" t="n"/>
      <c r="S111" s="8">
        <f>IF(A111="","",P111+Q111+R111)</f>
        <v/>
      </c>
      <c r="T111" s="7" t="n"/>
      <c r="U111" s="4">
        <f>IF(A111="","",IF(T111=0,"Set a cap",IF(S111&gt;T111,"Over cap - three batches lock too much cash; shrink the batch","OK")))</f>
        <v/>
      </c>
    </row>
    <row r="112">
      <c r="E112" s="4">
        <f>IF(A112="","",IF(D112=0,"",IF(D112&gt;2,"Stale - likely saturated","Fresh")))</f>
        <v/>
      </c>
      <c r="I112" s="7" t="n"/>
      <c r="J112" s="7" t="n"/>
      <c r="K112" s="7" t="n"/>
      <c r="L112" s="8">
        <f>IF(A112="","",I112-J112)</f>
        <v/>
      </c>
      <c r="M112" s="8">
        <f>IF(A112="","",J112-K112)</f>
        <v/>
      </c>
      <c r="N112" s="9">
        <f>IF(A112="","",IFERROR((J112-K112)/J112,0))</f>
        <v/>
      </c>
      <c r="O112" s="4">
        <f>IF(A112="","",IF(M112&lt;=0,"Drop",IF(AND(L112&gt;0,N112&gt;=0.6),"Profit product",IF(N112&gt;=0.5,"Traffic product","Thin - rework"))))</f>
        <v/>
      </c>
      <c r="P112" s="7" t="n"/>
      <c r="Q112" s="7" t="n"/>
      <c r="R112" s="7" t="n"/>
      <c r="S112" s="8">
        <f>IF(A112="","",P112+Q112+R112)</f>
        <v/>
      </c>
      <c r="T112" s="7" t="n"/>
      <c r="U112" s="4">
        <f>IF(A112="","",IF(T112=0,"Set a cap",IF(S112&gt;T112,"Over cap - three batches lock too much cash; shrink the batch","OK")))</f>
        <v/>
      </c>
    </row>
    <row r="113">
      <c r="E113" s="4">
        <f>IF(A113="","",IF(D113=0,"",IF(D113&gt;2,"Stale - likely saturated","Fresh")))</f>
        <v/>
      </c>
      <c r="I113" s="7" t="n"/>
      <c r="J113" s="7" t="n"/>
      <c r="K113" s="7" t="n"/>
      <c r="L113" s="8">
        <f>IF(A113="","",I113-J113)</f>
        <v/>
      </c>
      <c r="M113" s="8">
        <f>IF(A113="","",J113-K113)</f>
        <v/>
      </c>
      <c r="N113" s="9">
        <f>IF(A113="","",IFERROR((J113-K113)/J113,0))</f>
        <v/>
      </c>
      <c r="O113" s="4">
        <f>IF(A113="","",IF(M113&lt;=0,"Drop",IF(AND(L113&gt;0,N113&gt;=0.6),"Profit product",IF(N113&gt;=0.5,"Traffic product","Thin - rework"))))</f>
        <v/>
      </c>
      <c r="P113" s="7" t="n"/>
      <c r="Q113" s="7" t="n"/>
      <c r="R113" s="7" t="n"/>
      <c r="S113" s="8">
        <f>IF(A113="","",P113+Q113+R113)</f>
        <v/>
      </c>
      <c r="T113" s="7" t="n"/>
      <c r="U113" s="4">
        <f>IF(A113="","",IF(T113=0,"Set a cap",IF(S113&gt;T113,"Over cap - three batches lock too much cash; shrink the batch","OK")))</f>
        <v/>
      </c>
    </row>
    <row r="114">
      <c r="E114" s="4">
        <f>IF(A114="","",IF(D114=0,"",IF(D114&gt;2,"Stale - likely saturated","Fresh")))</f>
        <v/>
      </c>
      <c r="I114" s="7" t="n"/>
      <c r="J114" s="7" t="n"/>
      <c r="K114" s="7" t="n"/>
      <c r="L114" s="8">
        <f>IF(A114="","",I114-J114)</f>
        <v/>
      </c>
      <c r="M114" s="8">
        <f>IF(A114="","",J114-K114)</f>
        <v/>
      </c>
      <c r="N114" s="9">
        <f>IF(A114="","",IFERROR((J114-K114)/J114,0))</f>
        <v/>
      </c>
      <c r="O114" s="4">
        <f>IF(A114="","",IF(M114&lt;=0,"Drop",IF(AND(L114&gt;0,N114&gt;=0.6),"Profit product",IF(N114&gt;=0.5,"Traffic product","Thin - rework"))))</f>
        <v/>
      </c>
      <c r="P114" s="7" t="n"/>
      <c r="Q114" s="7" t="n"/>
      <c r="R114" s="7" t="n"/>
      <c r="S114" s="8">
        <f>IF(A114="","",P114+Q114+R114)</f>
        <v/>
      </c>
      <c r="T114" s="7" t="n"/>
      <c r="U114" s="4">
        <f>IF(A114="","",IF(T114=0,"Set a cap",IF(S114&gt;T114,"Over cap - three batches lock too much cash; shrink the batch","OK")))</f>
        <v/>
      </c>
    </row>
    <row r="115">
      <c r="E115" s="4">
        <f>IF(A115="","",IF(D115=0,"",IF(D115&gt;2,"Stale - likely saturated","Fresh")))</f>
        <v/>
      </c>
      <c r="I115" s="7" t="n"/>
      <c r="J115" s="7" t="n"/>
      <c r="K115" s="7" t="n"/>
      <c r="L115" s="8">
        <f>IF(A115="","",I115-J115)</f>
        <v/>
      </c>
      <c r="M115" s="8">
        <f>IF(A115="","",J115-K115)</f>
        <v/>
      </c>
      <c r="N115" s="9">
        <f>IF(A115="","",IFERROR((J115-K115)/J115,0))</f>
        <v/>
      </c>
      <c r="O115" s="4">
        <f>IF(A115="","",IF(M115&lt;=0,"Drop",IF(AND(L115&gt;0,N115&gt;=0.6),"Profit product",IF(N115&gt;=0.5,"Traffic product","Thin - rework"))))</f>
        <v/>
      </c>
      <c r="P115" s="7" t="n"/>
      <c r="Q115" s="7" t="n"/>
      <c r="R115" s="7" t="n"/>
      <c r="S115" s="8">
        <f>IF(A115="","",P115+Q115+R115)</f>
        <v/>
      </c>
      <c r="T115" s="7" t="n"/>
      <c r="U115" s="4">
        <f>IF(A115="","",IF(T115=0,"Set a cap",IF(S115&gt;T115,"Over cap - three batches lock too much cash; shrink the batch","OK")))</f>
        <v/>
      </c>
    </row>
    <row r="116">
      <c r="E116" s="4">
        <f>IF(A116="","",IF(D116=0,"",IF(D116&gt;2,"Stale - likely saturated","Fresh")))</f>
        <v/>
      </c>
      <c r="I116" s="7" t="n"/>
      <c r="J116" s="7" t="n"/>
      <c r="K116" s="7" t="n"/>
      <c r="L116" s="8">
        <f>IF(A116="","",I116-J116)</f>
        <v/>
      </c>
      <c r="M116" s="8">
        <f>IF(A116="","",J116-K116)</f>
        <v/>
      </c>
      <c r="N116" s="9">
        <f>IF(A116="","",IFERROR((J116-K116)/J116,0))</f>
        <v/>
      </c>
      <c r="O116" s="4">
        <f>IF(A116="","",IF(M116&lt;=0,"Drop",IF(AND(L116&gt;0,N116&gt;=0.6),"Profit product",IF(N116&gt;=0.5,"Traffic product","Thin - rework"))))</f>
        <v/>
      </c>
      <c r="P116" s="7" t="n"/>
      <c r="Q116" s="7" t="n"/>
      <c r="R116" s="7" t="n"/>
      <c r="S116" s="8">
        <f>IF(A116="","",P116+Q116+R116)</f>
        <v/>
      </c>
      <c r="T116" s="7" t="n"/>
      <c r="U116" s="4">
        <f>IF(A116="","",IF(T116=0,"Set a cap",IF(S116&gt;T116,"Over cap - three batches lock too much cash; shrink the batch","OK")))</f>
        <v/>
      </c>
    </row>
    <row r="117">
      <c r="E117" s="4">
        <f>IF(A117="","",IF(D117=0,"",IF(D117&gt;2,"Stale - likely saturated","Fresh")))</f>
        <v/>
      </c>
      <c r="I117" s="7" t="n"/>
      <c r="J117" s="7" t="n"/>
      <c r="K117" s="7" t="n"/>
      <c r="L117" s="8">
        <f>IF(A117="","",I117-J117)</f>
        <v/>
      </c>
      <c r="M117" s="8">
        <f>IF(A117="","",J117-K117)</f>
        <v/>
      </c>
      <c r="N117" s="9">
        <f>IF(A117="","",IFERROR((J117-K117)/J117,0))</f>
        <v/>
      </c>
      <c r="O117" s="4">
        <f>IF(A117="","",IF(M117&lt;=0,"Drop",IF(AND(L117&gt;0,N117&gt;=0.6),"Profit product",IF(N117&gt;=0.5,"Traffic product","Thin - rework"))))</f>
        <v/>
      </c>
      <c r="P117" s="7" t="n"/>
      <c r="Q117" s="7" t="n"/>
      <c r="R117" s="7" t="n"/>
      <c r="S117" s="8">
        <f>IF(A117="","",P117+Q117+R117)</f>
        <v/>
      </c>
      <c r="T117" s="7" t="n"/>
      <c r="U117" s="4">
        <f>IF(A117="","",IF(T117=0,"Set a cap",IF(S117&gt;T117,"Over cap - three batches lock too much cash; shrink the batch","OK")))</f>
        <v/>
      </c>
    </row>
    <row r="118">
      <c r="E118" s="4">
        <f>IF(A118="","",IF(D118=0,"",IF(D118&gt;2,"Stale - likely saturated","Fresh")))</f>
        <v/>
      </c>
      <c r="I118" s="7" t="n"/>
      <c r="J118" s="7" t="n"/>
      <c r="K118" s="7" t="n"/>
      <c r="L118" s="8">
        <f>IF(A118="","",I118-J118)</f>
        <v/>
      </c>
      <c r="M118" s="8">
        <f>IF(A118="","",J118-K118)</f>
        <v/>
      </c>
      <c r="N118" s="9">
        <f>IF(A118="","",IFERROR((J118-K118)/J118,0))</f>
        <v/>
      </c>
      <c r="O118" s="4">
        <f>IF(A118="","",IF(M118&lt;=0,"Drop",IF(AND(L118&gt;0,N118&gt;=0.6),"Profit product",IF(N118&gt;=0.5,"Traffic product","Thin - rework"))))</f>
        <v/>
      </c>
      <c r="P118" s="7" t="n"/>
      <c r="Q118" s="7" t="n"/>
      <c r="R118" s="7" t="n"/>
      <c r="S118" s="8">
        <f>IF(A118="","",P118+Q118+R118)</f>
        <v/>
      </c>
      <c r="T118" s="7" t="n"/>
      <c r="U118" s="4">
        <f>IF(A118="","",IF(T118=0,"Set a cap",IF(S118&gt;T118,"Over cap - three batches lock too much cash; shrink the batch","OK")))</f>
        <v/>
      </c>
    </row>
    <row r="119">
      <c r="E119" s="4">
        <f>IF(A119="","",IF(D119=0,"",IF(D119&gt;2,"Stale - likely saturated","Fresh")))</f>
        <v/>
      </c>
      <c r="I119" s="7" t="n"/>
      <c r="J119" s="7" t="n"/>
      <c r="K119" s="7" t="n"/>
      <c r="L119" s="8">
        <f>IF(A119="","",I119-J119)</f>
        <v/>
      </c>
      <c r="M119" s="8">
        <f>IF(A119="","",J119-K119)</f>
        <v/>
      </c>
      <c r="N119" s="9">
        <f>IF(A119="","",IFERROR((J119-K119)/J119,0))</f>
        <v/>
      </c>
      <c r="O119" s="4">
        <f>IF(A119="","",IF(M119&lt;=0,"Drop",IF(AND(L119&gt;0,N119&gt;=0.6),"Profit product",IF(N119&gt;=0.5,"Traffic product","Thin - rework"))))</f>
        <v/>
      </c>
      <c r="P119" s="7" t="n"/>
      <c r="Q119" s="7" t="n"/>
      <c r="R119" s="7" t="n"/>
      <c r="S119" s="8">
        <f>IF(A119="","",P119+Q119+R119)</f>
        <v/>
      </c>
      <c r="T119" s="7" t="n"/>
      <c r="U119" s="4">
        <f>IF(A119="","",IF(T119=0,"Set a cap",IF(S119&gt;T119,"Over cap - three batches lock too much cash; shrink the batch","OK")))</f>
        <v/>
      </c>
    </row>
    <row r="120">
      <c r="E120" s="4">
        <f>IF(A120="","",IF(D120=0,"",IF(D120&gt;2,"Stale - likely saturated","Fresh")))</f>
        <v/>
      </c>
      <c r="I120" s="7" t="n"/>
      <c r="J120" s="7" t="n"/>
      <c r="K120" s="7" t="n"/>
      <c r="L120" s="8">
        <f>IF(A120="","",I120-J120)</f>
        <v/>
      </c>
      <c r="M120" s="8">
        <f>IF(A120="","",J120-K120)</f>
        <v/>
      </c>
      <c r="N120" s="9">
        <f>IF(A120="","",IFERROR((J120-K120)/J120,0))</f>
        <v/>
      </c>
      <c r="O120" s="4">
        <f>IF(A120="","",IF(M120&lt;=0,"Drop",IF(AND(L120&gt;0,N120&gt;=0.6),"Profit product",IF(N120&gt;=0.5,"Traffic product","Thin - rework"))))</f>
        <v/>
      </c>
      <c r="P120" s="7" t="n"/>
      <c r="Q120" s="7" t="n"/>
      <c r="R120" s="7" t="n"/>
      <c r="S120" s="8">
        <f>IF(A120="","",P120+Q120+R120)</f>
        <v/>
      </c>
      <c r="T120" s="7" t="n"/>
      <c r="U120" s="4">
        <f>IF(A120="","",IF(T120=0,"Set a cap",IF(S120&gt;T120,"Over cap - three batches lock too much cash; shrink the batch","OK")))</f>
        <v/>
      </c>
    </row>
    <row r="121">
      <c r="E121" s="4">
        <f>IF(A121="","",IF(D121=0,"",IF(D121&gt;2,"Stale - likely saturated","Fresh")))</f>
        <v/>
      </c>
      <c r="I121" s="7" t="n"/>
      <c r="J121" s="7" t="n"/>
      <c r="K121" s="7" t="n"/>
      <c r="L121" s="8">
        <f>IF(A121="","",I121-J121)</f>
        <v/>
      </c>
      <c r="M121" s="8">
        <f>IF(A121="","",J121-K121)</f>
        <v/>
      </c>
      <c r="N121" s="9">
        <f>IF(A121="","",IFERROR((J121-K121)/J121,0))</f>
        <v/>
      </c>
      <c r="O121" s="4">
        <f>IF(A121="","",IF(M121&lt;=0,"Drop",IF(AND(L121&gt;0,N121&gt;=0.6),"Profit product",IF(N121&gt;=0.5,"Traffic product","Thin - rework"))))</f>
        <v/>
      </c>
      <c r="P121" s="7" t="n"/>
      <c r="Q121" s="7" t="n"/>
      <c r="R121" s="7" t="n"/>
      <c r="S121" s="8">
        <f>IF(A121="","",P121+Q121+R121)</f>
        <v/>
      </c>
      <c r="T121" s="7" t="n"/>
      <c r="U121" s="4">
        <f>IF(A121="","",IF(T121=0,"Set a cap",IF(S121&gt;T121,"Over cap - three batches lock too much cash; shrink the batch","OK")))</f>
        <v/>
      </c>
    </row>
    <row r="122">
      <c r="E122" s="4">
        <f>IF(A122="","",IF(D122=0,"",IF(D122&gt;2,"Stale - likely saturated","Fresh")))</f>
        <v/>
      </c>
      <c r="I122" s="7" t="n"/>
      <c r="J122" s="7" t="n"/>
      <c r="K122" s="7" t="n"/>
      <c r="L122" s="8">
        <f>IF(A122="","",I122-J122)</f>
        <v/>
      </c>
      <c r="M122" s="8">
        <f>IF(A122="","",J122-K122)</f>
        <v/>
      </c>
      <c r="N122" s="9">
        <f>IF(A122="","",IFERROR((J122-K122)/J122,0))</f>
        <v/>
      </c>
      <c r="O122" s="4">
        <f>IF(A122="","",IF(M122&lt;=0,"Drop",IF(AND(L122&gt;0,N122&gt;=0.6),"Profit product",IF(N122&gt;=0.5,"Traffic product","Thin - rework"))))</f>
        <v/>
      </c>
      <c r="P122" s="7" t="n"/>
      <c r="Q122" s="7" t="n"/>
      <c r="R122" s="7" t="n"/>
      <c r="S122" s="8">
        <f>IF(A122="","",P122+Q122+R122)</f>
        <v/>
      </c>
      <c r="T122" s="7" t="n"/>
      <c r="U122" s="4">
        <f>IF(A122="","",IF(T122=0,"Set a cap",IF(S122&gt;T122,"Over cap - three batches lock too much cash; shrink the batch","OK")))</f>
        <v/>
      </c>
    </row>
    <row r="123">
      <c r="E123" s="4">
        <f>IF(A123="","",IF(D123=0,"",IF(D123&gt;2,"Stale - likely saturated","Fresh")))</f>
        <v/>
      </c>
      <c r="I123" s="7" t="n"/>
      <c r="J123" s="7" t="n"/>
      <c r="K123" s="7" t="n"/>
      <c r="L123" s="8">
        <f>IF(A123="","",I123-J123)</f>
        <v/>
      </c>
      <c r="M123" s="8">
        <f>IF(A123="","",J123-K123)</f>
        <v/>
      </c>
      <c r="N123" s="9">
        <f>IF(A123="","",IFERROR((J123-K123)/J123,0))</f>
        <v/>
      </c>
      <c r="O123" s="4">
        <f>IF(A123="","",IF(M123&lt;=0,"Drop",IF(AND(L123&gt;0,N123&gt;=0.6),"Profit product",IF(N123&gt;=0.5,"Traffic product","Thin - rework"))))</f>
        <v/>
      </c>
      <c r="P123" s="7" t="n"/>
      <c r="Q123" s="7" t="n"/>
      <c r="R123" s="7" t="n"/>
      <c r="S123" s="8">
        <f>IF(A123="","",P123+Q123+R123)</f>
        <v/>
      </c>
      <c r="T123" s="7" t="n"/>
      <c r="U123" s="4">
        <f>IF(A123="","",IF(T123=0,"Set a cap",IF(S123&gt;T123,"Over cap - three batches lock too much cash; shrink the batch","OK")))</f>
        <v/>
      </c>
    </row>
    <row r="124">
      <c r="E124" s="4">
        <f>IF(A124="","",IF(D124=0,"",IF(D124&gt;2,"Stale - likely saturated","Fresh")))</f>
        <v/>
      </c>
      <c r="I124" s="7" t="n"/>
      <c r="J124" s="7" t="n"/>
      <c r="K124" s="7" t="n"/>
      <c r="L124" s="8">
        <f>IF(A124="","",I124-J124)</f>
        <v/>
      </c>
      <c r="M124" s="8">
        <f>IF(A124="","",J124-K124)</f>
        <v/>
      </c>
      <c r="N124" s="9">
        <f>IF(A124="","",IFERROR((J124-K124)/J124,0))</f>
        <v/>
      </c>
      <c r="O124" s="4">
        <f>IF(A124="","",IF(M124&lt;=0,"Drop",IF(AND(L124&gt;0,N124&gt;=0.6),"Profit product",IF(N124&gt;=0.5,"Traffic product","Thin - rework"))))</f>
        <v/>
      </c>
      <c r="P124" s="7" t="n"/>
      <c r="Q124" s="7" t="n"/>
      <c r="R124" s="7" t="n"/>
      <c r="S124" s="8">
        <f>IF(A124="","",P124+Q124+R124)</f>
        <v/>
      </c>
      <c r="T124" s="7" t="n"/>
      <c r="U124" s="4">
        <f>IF(A124="","",IF(T124=0,"Set a cap",IF(S124&gt;T124,"Over cap - three batches lock too much cash; shrink the batch","OK")))</f>
        <v/>
      </c>
    </row>
    <row r="125">
      <c r="E125" s="4">
        <f>IF(A125="","",IF(D125=0,"",IF(D125&gt;2,"Stale - likely saturated","Fresh")))</f>
        <v/>
      </c>
      <c r="I125" s="7" t="n"/>
      <c r="J125" s="7" t="n"/>
      <c r="K125" s="7" t="n"/>
      <c r="L125" s="8">
        <f>IF(A125="","",I125-J125)</f>
        <v/>
      </c>
      <c r="M125" s="8">
        <f>IF(A125="","",J125-K125)</f>
        <v/>
      </c>
      <c r="N125" s="9">
        <f>IF(A125="","",IFERROR((J125-K125)/J125,0))</f>
        <v/>
      </c>
      <c r="O125" s="4">
        <f>IF(A125="","",IF(M125&lt;=0,"Drop",IF(AND(L125&gt;0,N125&gt;=0.6),"Profit product",IF(N125&gt;=0.5,"Traffic product","Thin - rework"))))</f>
        <v/>
      </c>
      <c r="P125" s="7" t="n"/>
      <c r="Q125" s="7" t="n"/>
      <c r="R125" s="7" t="n"/>
      <c r="S125" s="8">
        <f>IF(A125="","",P125+Q125+R125)</f>
        <v/>
      </c>
      <c r="T125" s="7" t="n"/>
      <c r="U125" s="4">
        <f>IF(A125="","",IF(T125=0,"Set a cap",IF(S125&gt;T125,"Over cap - three batches lock too much cash; shrink the batch","OK")))</f>
        <v/>
      </c>
    </row>
    <row r="126">
      <c r="E126" s="4">
        <f>IF(A126="","",IF(D126=0,"",IF(D126&gt;2,"Stale - likely saturated","Fresh")))</f>
        <v/>
      </c>
      <c r="I126" s="7" t="n"/>
      <c r="J126" s="7" t="n"/>
      <c r="K126" s="7" t="n"/>
      <c r="L126" s="8">
        <f>IF(A126="","",I126-J126)</f>
        <v/>
      </c>
      <c r="M126" s="8">
        <f>IF(A126="","",J126-K126)</f>
        <v/>
      </c>
      <c r="N126" s="9">
        <f>IF(A126="","",IFERROR((J126-K126)/J126,0))</f>
        <v/>
      </c>
      <c r="O126" s="4">
        <f>IF(A126="","",IF(M126&lt;=0,"Drop",IF(AND(L126&gt;0,N126&gt;=0.6),"Profit product",IF(N126&gt;=0.5,"Traffic product","Thin - rework"))))</f>
        <v/>
      </c>
      <c r="P126" s="7" t="n"/>
      <c r="Q126" s="7" t="n"/>
      <c r="R126" s="7" t="n"/>
      <c r="S126" s="8">
        <f>IF(A126="","",P126+Q126+R126)</f>
        <v/>
      </c>
      <c r="T126" s="7" t="n"/>
      <c r="U126" s="4">
        <f>IF(A126="","",IF(T126=0,"Set a cap",IF(S126&gt;T126,"Over cap - three batches lock too much cash; shrink the batch","OK")))</f>
        <v/>
      </c>
    </row>
    <row r="127">
      <c r="E127" s="4">
        <f>IF(A127="","",IF(D127=0,"",IF(D127&gt;2,"Stale - likely saturated","Fresh")))</f>
        <v/>
      </c>
      <c r="I127" s="7" t="n"/>
      <c r="J127" s="7" t="n"/>
      <c r="K127" s="7" t="n"/>
      <c r="L127" s="8">
        <f>IF(A127="","",I127-J127)</f>
        <v/>
      </c>
      <c r="M127" s="8">
        <f>IF(A127="","",J127-K127)</f>
        <v/>
      </c>
      <c r="N127" s="9">
        <f>IF(A127="","",IFERROR((J127-K127)/J127,0))</f>
        <v/>
      </c>
      <c r="O127" s="4">
        <f>IF(A127="","",IF(M127&lt;=0,"Drop",IF(AND(L127&gt;0,N127&gt;=0.6),"Profit product",IF(N127&gt;=0.5,"Traffic product","Thin - rework"))))</f>
        <v/>
      </c>
      <c r="P127" s="7" t="n"/>
      <c r="Q127" s="7" t="n"/>
      <c r="R127" s="7" t="n"/>
      <c r="S127" s="8">
        <f>IF(A127="","",P127+Q127+R127)</f>
        <v/>
      </c>
      <c r="T127" s="7" t="n"/>
      <c r="U127" s="4">
        <f>IF(A127="","",IF(T127=0,"Set a cap",IF(S127&gt;T127,"Over cap - three batches lock too much cash; shrink the batch","OK")))</f>
        <v/>
      </c>
    </row>
    <row r="128">
      <c r="E128" s="4">
        <f>IF(A128="","",IF(D128=0,"",IF(D128&gt;2,"Stale - likely saturated","Fresh")))</f>
        <v/>
      </c>
      <c r="I128" s="7" t="n"/>
      <c r="J128" s="7" t="n"/>
      <c r="K128" s="7" t="n"/>
      <c r="L128" s="8">
        <f>IF(A128="","",I128-J128)</f>
        <v/>
      </c>
      <c r="M128" s="8">
        <f>IF(A128="","",J128-K128)</f>
        <v/>
      </c>
      <c r="N128" s="9">
        <f>IF(A128="","",IFERROR((J128-K128)/J128,0))</f>
        <v/>
      </c>
      <c r="O128" s="4">
        <f>IF(A128="","",IF(M128&lt;=0,"Drop",IF(AND(L128&gt;0,N128&gt;=0.6),"Profit product",IF(N128&gt;=0.5,"Traffic product","Thin - rework"))))</f>
        <v/>
      </c>
      <c r="P128" s="7" t="n"/>
      <c r="Q128" s="7" t="n"/>
      <c r="R128" s="7" t="n"/>
      <c r="S128" s="8">
        <f>IF(A128="","",P128+Q128+R128)</f>
        <v/>
      </c>
      <c r="T128" s="7" t="n"/>
      <c r="U128" s="4">
        <f>IF(A128="","",IF(T128=0,"Set a cap",IF(S128&gt;T128,"Over cap - three batches lock too much cash; shrink the batch","OK")))</f>
        <v/>
      </c>
    </row>
    <row r="129">
      <c r="E129" s="4">
        <f>IF(A129="","",IF(D129=0,"",IF(D129&gt;2,"Stale - likely saturated","Fresh")))</f>
        <v/>
      </c>
      <c r="I129" s="7" t="n"/>
      <c r="J129" s="7" t="n"/>
      <c r="K129" s="7" t="n"/>
      <c r="L129" s="8">
        <f>IF(A129="","",I129-J129)</f>
        <v/>
      </c>
      <c r="M129" s="8">
        <f>IF(A129="","",J129-K129)</f>
        <v/>
      </c>
      <c r="N129" s="9">
        <f>IF(A129="","",IFERROR((J129-K129)/J129,0))</f>
        <v/>
      </c>
      <c r="O129" s="4">
        <f>IF(A129="","",IF(M129&lt;=0,"Drop",IF(AND(L129&gt;0,N129&gt;=0.6),"Profit product",IF(N129&gt;=0.5,"Traffic product","Thin - rework"))))</f>
        <v/>
      </c>
      <c r="P129" s="7" t="n"/>
      <c r="Q129" s="7" t="n"/>
      <c r="R129" s="7" t="n"/>
      <c r="S129" s="8">
        <f>IF(A129="","",P129+Q129+R129)</f>
        <v/>
      </c>
      <c r="T129" s="7" t="n"/>
      <c r="U129" s="4">
        <f>IF(A129="","",IF(T129=0,"Set a cap",IF(S129&gt;T129,"Over cap - three batches lock too much cash; shrink the batch","OK")))</f>
        <v/>
      </c>
    </row>
    <row r="130">
      <c r="E130" s="4">
        <f>IF(A130="","",IF(D130=0,"",IF(D130&gt;2,"Stale - likely saturated","Fresh")))</f>
        <v/>
      </c>
      <c r="I130" s="7" t="n"/>
      <c r="J130" s="7" t="n"/>
      <c r="K130" s="7" t="n"/>
      <c r="L130" s="8">
        <f>IF(A130="","",I130-J130)</f>
        <v/>
      </c>
      <c r="M130" s="8">
        <f>IF(A130="","",J130-K130)</f>
        <v/>
      </c>
      <c r="N130" s="9">
        <f>IF(A130="","",IFERROR((J130-K130)/J130,0))</f>
        <v/>
      </c>
      <c r="O130" s="4">
        <f>IF(A130="","",IF(M130&lt;=0,"Drop",IF(AND(L130&gt;0,N130&gt;=0.6),"Profit product",IF(N130&gt;=0.5,"Traffic product","Thin - rework"))))</f>
        <v/>
      </c>
      <c r="P130" s="7" t="n"/>
      <c r="Q130" s="7" t="n"/>
      <c r="R130" s="7" t="n"/>
      <c r="S130" s="8">
        <f>IF(A130="","",P130+Q130+R130)</f>
        <v/>
      </c>
      <c r="T130" s="7" t="n"/>
      <c r="U130" s="4">
        <f>IF(A130="","",IF(T130=0,"Set a cap",IF(S130&gt;T130,"Over cap - three batches lock too much cash; shrink the batch","OK")))</f>
        <v/>
      </c>
    </row>
    <row r="131">
      <c r="E131" s="4">
        <f>IF(A131="","",IF(D131=0,"",IF(D131&gt;2,"Stale - likely saturated","Fresh")))</f>
        <v/>
      </c>
      <c r="I131" s="7" t="n"/>
      <c r="J131" s="7" t="n"/>
      <c r="K131" s="7" t="n"/>
      <c r="L131" s="8">
        <f>IF(A131="","",I131-J131)</f>
        <v/>
      </c>
      <c r="M131" s="8">
        <f>IF(A131="","",J131-K131)</f>
        <v/>
      </c>
      <c r="N131" s="9">
        <f>IF(A131="","",IFERROR((J131-K131)/J131,0))</f>
        <v/>
      </c>
      <c r="O131" s="4">
        <f>IF(A131="","",IF(M131&lt;=0,"Drop",IF(AND(L131&gt;0,N131&gt;=0.6),"Profit product",IF(N131&gt;=0.5,"Traffic product","Thin - rework"))))</f>
        <v/>
      </c>
      <c r="P131" s="7" t="n"/>
      <c r="Q131" s="7" t="n"/>
      <c r="R131" s="7" t="n"/>
      <c r="S131" s="8">
        <f>IF(A131="","",P131+Q131+R131)</f>
        <v/>
      </c>
      <c r="T131" s="7" t="n"/>
      <c r="U131" s="4">
        <f>IF(A131="","",IF(T131=0,"Set a cap",IF(S131&gt;T131,"Over cap - three batches lock too much cash; shrink the batch","OK")))</f>
        <v/>
      </c>
    </row>
    <row r="132">
      <c r="E132" s="4">
        <f>IF(A132="","",IF(D132=0,"",IF(D132&gt;2,"Stale - likely saturated","Fresh")))</f>
        <v/>
      </c>
      <c r="I132" s="7" t="n"/>
      <c r="J132" s="7" t="n"/>
      <c r="K132" s="7" t="n"/>
      <c r="L132" s="8">
        <f>IF(A132="","",I132-J132)</f>
        <v/>
      </c>
      <c r="M132" s="8">
        <f>IF(A132="","",J132-K132)</f>
        <v/>
      </c>
      <c r="N132" s="9">
        <f>IF(A132="","",IFERROR((J132-K132)/J132,0))</f>
        <v/>
      </c>
      <c r="O132" s="4">
        <f>IF(A132="","",IF(M132&lt;=0,"Drop",IF(AND(L132&gt;0,N132&gt;=0.6),"Profit product",IF(N132&gt;=0.5,"Traffic product","Thin - rework"))))</f>
        <v/>
      </c>
      <c r="P132" s="7" t="n"/>
      <c r="Q132" s="7" t="n"/>
      <c r="R132" s="7" t="n"/>
      <c r="S132" s="8">
        <f>IF(A132="","",P132+Q132+R132)</f>
        <v/>
      </c>
      <c r="T132" s="7" t="n"/>
      <c r="U132" s="4">
        <f>IF(A132="","",IF(T132=0,"Set a cap",IF(S132&gt;T132,"Over cap - three batches lock too much cash; shrink the batch","OK")))</f>
        <v/>
      </c>
    </row>
    <row r="133">
      <c r="E133" s="4">
        <f>IF(A133="","",IF(D133=0,"",IF(D133&gt;2,"Stale - likely saturated","Fresh")))</f>
        <v/>
      </c>
      <c r="I133" s="7" t="n"/>
      <c r="J133" s="7" t="n"/>
      <c r="K133" s="7" t="n"/>
      <c r="L133" s="8">
        <f>IF(A133="","",I133-J133)</f>
        <v/>
      </c>
      <c r="M133" s="8">
        <f>IF(A133="","",J133-K133)</f>
        <v/>
      </c>
      <c r="N133" s="9">
        <f>IF(A133="","",IFERROR((J133-K133)/J133,0))</f>
        <v/>
      </c>
      <c r="O133" s="4">
        <f>IF(A133="","",IF(M133&lt;=0,"Drop",IF(AND(L133&gt;0,N133&gt;=0.6),"Profit product",IF(N133&gt;=0.5,"Traffic product","Thin - rework"))))</f>
        <v/>
      </c>
      <c r="P133" s="7" t="n"/>
      <c r="Q133" s="7" t="n"/>
      <c r="R133" s="7" t="n"/>
      <c r="S133" s="8">
        <f>IF(A133="","",P133+Q133+R133)</f>
        <v/>
      </c>
      <c r="T133" s="7" t="n"/>
      <c r="U133" s="4">
        <f>IF(A133="","",IF(T133=0,"Set a cap",IF(S133&gt;T133,"Over cap - three batches lock too much cash; shrink the batch","OK")))</f>
        <v/>
      </c>
    </row>
    <row r="134">
      <c r="E134" s="4">
        <f>IF(A134="","",IF(D134=0,"",IF(D134&gt;2,"Stale - likely saturated","Fresh")))</f>
        <v/>
      </c>
      <c r="I134" s="7" t="n"/>
      <c r="J134" s="7" t="n"/>
      <c r="K134" s="7" t="n"/>
      <c r="L134" s="8">
        <f>IF(A134="","",I134-J134)</f>
        <v/>
      </c>
      <c r="M134" s="8">
        <f>IF(A134="","",J134-K134)</f>
        <v/>
      </c>
      <c r="N134" s="9">
        <f>IF(A134="","",IFERROR((J134-K134)/J134,0))</f>
        <v/>
      </c>
      <c r="O134" s="4">
        <f>IF(A134="","",IF(M134&lt;=0,"Drop",IF(AND(L134&gt;0,N134&gt;=0.6),"Profit product",IF(N134&gt;=0.5,"Traffic product","Thin - rework"))))</f>
        <v/>
      </c>
      <c r="P134" s="7" t="n"/>
      <c r="Q134" s="7" t="n"/>
      <c r="R134" s="7" t="n"/>
      <c r="S134" s="8">
        <f>IF(A134="","",P134+Q134+R134)</f>
        <v/>
      </c>
      <c r="T134" s="7" t="n"/>
      <c r="U134" s="4">
        <f>IF(A134="","",IF(T134=0,"Set a cap",IF(S134&gt;T134,"Over cap - three batches lock too much cash; shrink the batch","OK")))</f>
        <v/>
      </c>
    </row>
    <row r="135">
      <c r="E135" s="4">
        <f>IF(A135="","",IF(D135=0,"",IF(D135&gt;2,"Stale - likely saturated","Fresh")))</f>
        <v/>
      </c>
      <c r="I135" s="7" t="n"/>
      <c r="J135" s="7" t="n"/>
      <c r="K135" s="7" t="n"/>
      <c r="L135" s="8">
        <f>IF(A135="","",I135-J135)</f>
        <v/>
      </c>
      <c r="M135" s="8">
        <f>IF(A135="","",J135-K135)</f>
        <v/>
      </c>
      <c r="N135" s="9">
        <f>IF(A135="","",IFERROR((J135-K135)/J135,0))</f>
        <v/>
      </c>
      <c r="O135" s="4">
        <f>IF(A135="","",IF(M135&lt;=0,"Drop",IF(AND(L135&gt;0,N135&gt;=0.6),"Profit product",IF(N135&gt;=0.5,"Traffic product","Thin - rework"))))</f>
        <v/>
      </c>
      <c r="P135" s="7" t="n"/>
      <c r="Q135" s="7" t="n"/>
      <c r="R135" s="7" t="n"/>
      <c r="S135" s="8">
        <f>IF(A135="","",P135+Q135+R135)</f>
        <v/>
      </c>
      <c r="T135" s="7" t="n"/>
      <c r="U135" s="4">
        <f>IF(A135="","",IF(T135=0,"Set a cap",IF(S135&gt;T135,"Over cap - three batches lock too much cash; shrink the batch","OK")))</f>
        <v/>
      </c>
    </row>
    <row r="136">
      <c r="E136" s="4">
        <f>IF(A136="","",IF(D136=0,"",IF(D136&gt;2,"Stale - likely saturated","Fresh")))</f>
        <v/>
      </c>
      <c r="I136" s="7" t="n"/>
      <c r="J136" s="7" t="n"/>
      <c r="K136" s="7" t="n"/>
      <c r="L136" s="8">
        <f>IF(A136="","",I136-J136)</f>
        <v/>
      </c>
      <c r="M136" s="8">
        <f>IF(A136="","",J136-K136)</f>
        <v/>
      </c>
      <c r="N136" s="9">
        <f>IF(A136="","",IFERROR((J136-K136)/J136,0))</f>
        <v/>
      </c>
      <c r="O136" s="4">
        <f>IF(A136="","",IF(M136&lt;=0,"Drop",IF(AND(L136&gt;0,N136&gt;=0.6),"Profit product",IF(N136&gt;=0.5,"Traffic product","Thin - rework"))))</f>
        <v/>
      </c>
      <c r="P136" s="7" t="n"/>
      <c r="Q136" s="7" t="n"/>
      <c r="R136" s="7" t="n"/>
      <c r="S136" s="8">
        <f>IF(A136="","",P136+Q136+R136)</f>
        <v/>
      </c>
      <c r="T136" s="7" t="n"/>
      <c r="U136" s="4">
        <f>IF(A136="","",IF(T136=0,"Set a cap",IF(S136&gt;T136,"Over cap - three batches lock too much cash; shrink the batch","OK")))</f>
        <v/>
      </c>
    </row>
    <row r="137">
      <c r="E137" s="4">
        <f>IF(A137="","",IF(D137=0,"",IF(D137&gt;2,"Stale - likely saturated","Fresh")))</f>
        <v/>
      </c>
      <c r="I137" s="7" t="n"/>
      <c r="J137" s="7" t="n"/>
      <c r="K137" s="7" t="n"/>
      <c r="L137" s="8">
        <f>IF(A137="","",I137-J137)</f>
        <v/>
      </c>
      <c r="M137" s="8">
        <f>IF(A137="","",J137-K137)</f>
        <v/>
      </c>
      <c r="N137" s="9">
        <f>IF(A137="","",IFERROR((J137-K137)/J137,0))</f>
        <v/>
      </c>
      <c r="O137" s="4">
        <f>IF(A137="","",IF(M137&lt;=0,"Drop",IF(AND(L137&gt;0,N137&gt;=0.6),"Profit product",IF(N137&gt;=0.5,"Traffic product","Thin - rework"))))</f>
        <v/>
      </c>
      <c r="P137" s="7" t="n"/>
      <c r="Q137" s="7" t="n"/>
      <c r="R137" s="7" t="n"/>
      <c r="S137" s="8">
        <f>IF(A137="","",P137+Q137+R137)</f>
        <v/>
      </c>
      <c r="T137" s="7" t="n"/>
      <c r="U137" s="4">
        <f>IF(A137="","",IF(T137=0,"Set a cap",IF(S137&gt;T137,"Over cap - three batches lock too much cash; shrink the batch","OK")))</f>
        <v/>
      </c>
    </row>
    <row r="138">
      <c r="E138" s="4">
        <f>IF(A138="","",IF(D138=0,"",IF(D138&gt;2,"Stale - likely saturated","Fresh")))</f>
        <v/>
      </c>
      <c r="I138" s="7" t="n"/>
      <c r="J138" s="7" t="n"/>
      <c r="K138" s="7" t="n"/>
      <c r="L138" s="8">
        <f>IF(A138="","",I138-J138)</f>
        <v/>
      </c>
      <c r="M138" s="8">
        <f>IF(A138="","",J138-K138)</f>
        <v/>
      </c>
      <c r="N138" s="9">
        <f>IF(A138="","",IFERROR((J138-K138)/J138,0))</f>
        <v/>
      </c>
      <c r="O138" s="4">
        <f>IF(A138="","",IF(M138&lt;=0,"Drop",IF(AND(L138&gt;0,N138&gt;=0.6),"Profit product",IF(N138&gt;=0.5,"Traffic product","Thin - rework"))))</f>
        <v/>
      </c>
      <c r="P138" s="7" t="n"/>
      <c r="Q138" s="7" t="n"/>
      <c r="R138" s="7" t="n"/>
      <c r="S138" s="8">
        <f>IF(A138="","",P138+Q138+R138)</f>
        <v/>
      </c>
      <c r="T138" s="7" t="n"/>
      <c r="U138" s="4">
        <f>IF(A138="","",IF(T138=0,"Set a cap",IF(S138&gt;T138,"Over cap - three batches lock too much cash; shrink the batch","OK")))</f>
        <v/>
      </c>
    </row>
    <row r="139">
      <c r="E139" s="4">
        <f>IF(A139="","",IF(D139=0,"",IF(D139&gt;2,"Stale - likely saturated","Fresh")))</f>
        <v/>
      </c>
      <c r="I139" s="7" t="n"/>
      <c r="J139" s="7" t="n"/>
      <c r="K139" s="7" t="n"/>
      <c r="L139" s="8">
        <f>IF(A139="","",I139-J139)</f>
        <v/>
      </c>
      <c r="M139" s="8">
        <f>IF(A139="","",J139-K139)</f>
        <v/>
      </c>
      <c r="N139" s="9">
        <f>IF(A139="","",IFERROR((J139-K139)/J139,0))</f>
        <v/>
      </c>
      <c r="O139" s="4">
        <f>IF(A139="","",IF(M139&lt;=0,"Drop",IF(AND(L139&gt;0,N139&gt;=0.6),"Profit product",IF(N139&gt;=0.5,"Traffic product","Thin - rework"))))</f>
        <v/>
      </c>
      <c r="P139" s="7" t="n"/>
      <c r="Q139" s="7" t="n"/>
      <c r="R139" s="7" t="n"/>
      <c r="S139" s="8">
        <f>IF(A139="","",P139+Q139+R139)</f>
        <v/>
      </c>
      <c r="T139" s="7" t="n"/>
      <c r="U139" s="4">
        <f>IF(A139="","",IF(T139=0,"Set a cap",IF(S139&gt;T139,"Over cap - three batches lock too much cash; shrink the batch","OK")))</f>
        <v/>
      </c>
    </row>
    <row r="140">
      <c r="E140" s="4">
        <f>IF(A140="","",IF(D140=0,"",IF(D140&gt;2,"Stale - likely saturated","Fresh")))</f>
        <v/>
      </c>
      <c r="I140" s="7" t="n"/>
      <c r="J140" s="7" t="n"/>
      <c r="K140" s="7" t="n"/>
      <c r="L140" s="8">
        <f>IF(A140="","",I140-J140)</f>
        <v/>
      </c>
      <c r="M140" s="8">
        <f>IF(A140="","",J140-K140)</f>
        <v/>
      </c>
      <c r="N140" s="9">
        <f>IF(A140="","",IFERROR((J140-K140)/J140,0))</f>
        <v/>
      </c>
      <c r="O140" s="4">
        <f>IF(A140="","",IF(M140&lt;=0,"Drop",IF(AND(L140&gt;0,N140&gt;=0.6),"Profit product",IF(N140&gt;=0.5,"Traffic product","Thin - rework"))))</f>
        <v/>
      </c>
      <c r="P140" s="7" t="n"/>
      <c r="Q140" s="7" t="n"/>
      <c r="R140" s="7" t="n"/>
      <c r="S140" s="8">
        <f>IF(A140="","",P140+Q140+R140)</f>
        <v/>
      </c>
      <c r="T140" s="7" t="n"/>
      <c r="U140" s="4">
        <f>IF(A140="","",IF(T140=0,"Set a cap",IF(S140&gt;T140,"Over cap - three batches lock too much cash; shrink the batch","OK")))</f>
        <v/>
      </c>
    </row>
    <row r="141">
      <c r="E141" s="4">
        <f>IF(A141="","",IF(D141=0,"",IF(D141&gt;2,"Stale - likely saturated","Fresh")))</f>
        <v/>
      </c>
      <c r="I141" s="7" t="n"/>
      <c r="J141" s="7" t="n"/>
      <c r="K141" s="7" t="n"/>
      <c r="L141" s="8">
        <f>IF(A141="","",I141-J141)</f>
        <v/>
      </c>
      <c r="M141" s="8">
        <f>IF(A141="","",J141-K141)</f>
        <v/>
      </c>
      <c r="N141" s="9">
        <f>IF(A141="","",IFERROR((J141-K141)/J141,0))</f>
        <v/>
      </c>
      <c r="O141" s="4">
        <f>IF(A141="","",IF(M141&lt;=0,"Drop",IF(AND(L141&gt;0,N141&gt;=0.6),"Profit product",IF(N141&gt;=0.5,"Traffic product","Thin - rework"))))</f>
        <v/>
      </c>
      <c r="P141" s="7" t="n"/>
      <c r="Q141" s="7" t="n"/>
      <c r="R141" s="7" t="n"/>
      <c r="S141" s="8">
        <f>IF(A141="","",P141+Q141+R141)</f>
        <v/>
      </c>
      <c r="T141" s="7" t="n"/>
      <c r="U141" s="4">
        <f>IF(A141="","",IF(T141=0,"Set a cap",IF(S141&gt;T141,"Over cap - three batches lock too much cash; shrink the batch","OK")))</f>
        <v/>
      </c>
    </row>
    <row r="142">
      <c r="E142" s="4">
        <f>IF(A142="","",IF(D142=0,"",IF(D142&gt;2,"Stale - likely saturated","Fresh")))</f>
        <v/>
      </c>
      <c r="I142" s="7" t="n"/>
      <c r="J142" s="7" t="n"/>
      <c r="K142" s="7" t="n"/>
      <c r="L142" s="8">
        <f>IF(A142="","",I142-J142)</f>
        <v/>
      </c>
      <c r="M142" s="8">
        <f>IF(A142="","",J142-K142)</f>
        <v/>
      </c>
      <c r="N142" s="9">
        <f>IF(A142="","",IFERROR((J142-K142)/J142,0))</f>
        <v/>
      </c>
      <c r="O142" s="4">
        <f>IF(A142="","",IF(M142&lt;=0,"Drop",IF(AND(L142&gt;0,N142&gt;=0.6),"Profit product",IF(N142&gt;=0.5,"Traffic product","Thin - rework"))))</f>
        <v/>
      </c>
      <c r="P142" s="7" t="n"/>
      <c r="Q142" s="7" t="n"/>
      <c r="R142" s="7" t="n"/>
      <c r="S142" s="8">
        <f>IF(A142="","",P142+Q142+R142)</f>
        <v/>
      </c>
      <c r="T142" s="7" t="n"/>
      <c r="U142" s="4">
        <f>IF(A142="","",IF(T142=0,"Set a cap",IF(S142&gt;T142,"Over cap - three batches lock too much cash; shrink the batch","OK")))</f>
        <v/>
      </c>
    </row>
    <row r="143">
      <c r="E143" s="4">
        <f>IF(A143="","",IF(D143=0,"",IF(D143&gt;2,"Stale - likely saturated","Fresh")))</f>
        <v/>
      </c>
      <c r="I143" s="7" t="n"/>
      <c r="J143" s="7" t="n"/>
      <c r="K143" s="7" t="n"/>
      <c r="L143" s="8">
        <f>IF(A143="","",I143-J143)</f>
        <v/>
      </c>
      <c r="M143" s="8">
        <f>IF(A143="","",J143-K143)</f>
        <v/>
      </c>
      <c r="N143" s="9">
        <f>IF(A143="","",IFERROR((J143-K143)/J143,0))</f>
        <v/>
      </c>
      <c r="O143" s="4">
        <f>IF(A143="","",IF(M143&lt;=0,"Drop",IF(AND(L143&gt;0,N143&gt;=0.6),"Profit product",IF(N143&gt;=0.5,"Traffic product","Thin - rework"))))</f>
        <v/>
      </c>
      <c r="P143" s="7" t="n"/>
      <c r="Q143" s="7" t="n"/>
      <c r="R143" s="7" t="n"/>
      <c r="S143" s="8">
        <f>IF(A143="","",P143+Q143+R143)</f>
        <v/>
      </c>
      <c r="T143" s="7" t="n"/>
      <c r="U143" s="4">
        <f>IF(A143="","",IF(T143=0,"Set a cap",IF(S143&gt;T143,"Over cap - three batches lock too much cash; shrink the batch","OK")))</f>
        <v/>
      </c>
    </row>
    <row r="144">
      <c r="E144" s="4">
        <f>IF(A144="","",IF(D144=0,"",IF(D144&gt;2,"Stale - likely saturated","Fresh")))</f>
        <v/>
      </c>
      <c r="I144" s="7" t="n"/>
      <c r="J144" s="7" t="n"/>
      <c r="K144" s="7" t="n"/>
      <c r="L144" s="8">
        <f>IF(A144="","",I144-J144)</f>
        <v/>
      </c>
      <c r="M144" s="8">
        <f>IF(A144="","",J144-K144)</f>
        <v/>
      </c>
      <c r="N144" s="9">
        <f>IF(A144="","",IFERROR((J144-K144)/J144,0))</f>
        <v/>
      </c>
      <c r="O144" s="4">
        <f>IF(A144="","",IF(M144&lt;=0,"Drop",IF(AND(L144&gt;0,N144&gt;=0.6),"Profit product",IF(N144&gt;=0.5,"Traffic product","Thin - rework"))))</f>
        <v/>
      </c>
      <c r="P144" s="7" t="n"/>
      <c r="Q144" s="7" t="n"/>
      <c r="R144" s="7" t="n"/>
      <c r="S144" s="8">
        <f>IF(A144="","",P144+Q144+R144)</f>
        <v/>
      </c>
      <c r="T144" s="7" t="n"/>
      <c r="U144" s="4">
        <f>IF(A144="","",IF(T144=0,"Set a cap",IF(S144&gt;T144,"Over cap - three batches lock too much cash; shrink the batch","OK")))</f>
        <v/>
      </c>
    </row>
    <row r="145">
      <c r="E145" s="4">
        <f>IF(A145="","",IF(D145=0,"",IF(D145&gt;2,"Stale - likely saturated","Fresh")))</f>
        <v/>
      </c>
      <c r="I145" s="7" t="n"/>
      <c r="J145" s="7" t="n"/>
      <c r="K145" s="7" t="n"/>
      <c r="L145" s="8">
        <f>IF(A145="","",I145-J145)</f>
        <v/>
      </c>
      <c r="M145" s="8">
        <f>IF(A145="","",J145-K145)</f>
        <v/>
      </c>
      <c r="N145" s="9">
        <f>IF(A145="","",IFERROR((J145-K145)/J145,0))</f>
        <v/>
      </c>
      <c r="O145" s="4">
        <f>IF(A145="","",IF(M145&lt;=0,"Drop",IF(AND(L145&gt;0,N145&gt;=0.6),"Profit product",IF(N145&gt;=0.5,"Traffic product","Thin - rework"))))</f>
        <v/>
      </c>
      <c r="P145" s="7" t="n"/>
      <c r="Q145" s="7" t="n"/>
      <c r="R145" s="7" t="n"/>
      <c r="S145" s="8">
        <f>IF(A145="","",P145+Q145+R145)</f>
        <v/>
      </c>
      <c r="T145" s="7" t="n"/>
      <c r="U145" s="4">
        <f>IF(A145="","",IF(T145=0,"Set a cap",IF(S145&gt;T145,"Over cap - three batches lock too much cash; shrink the batch","OK")))</f>
        <v/>
      </c>
    </row>
    <row r="146">
      <c r="E146" s="4">
        <f>IF(A146="","",IF(D146=0,"",IF(D146&gt;2,"Stale - likely saturated","Fresh")))</f>
        <v/>
      </c>
      <c r="I146" s="7" t="n"/>
      <c r="J146" s="7" t="n"/>
      <c r="K146" s="7" t="n"/>
      <c r="L146" s="8">
        <f>IF(A146="","",I146-J146)</f>
        <v/>
      </c>
      <c r="M146" s="8">
        <f>IF(A146="","",J146-K146)</f>
        <v/>
      </c>
      <c r="N146" s="9">
        <f>IF(A146="","",IFERROR((J146-K146)/J146,0))</f>
        <v/>
      </c>
      <c r="O146" s="4">
        <f>IF(A146="","",IF(M146&lt;=0,"Drop",IF(AND(L146&gt;0,N146&gt;=0.6),"Profit product",IF(N146&gt;=0.5,"Traffic product","Thin - rework"))))</f>
        <v/>
      </c>
      <c r="P146" s="7" t="n"/>
      <c r="Q146" s="7" t="n"/>
      <c r="R146" s="7" t="n"/>
      <c r="S146" s="8">
        <f>IF(A146="","",P146+Q146+R146)</f>
        <v/>
      </c>
      <c r="T146" s="7" t="n"/>
      <c r="U146" s="4">
        <f>IF(A146="","",IF(T146=0,"Set a cap",IF(S146&gt;T146,"Over cap - three batches lock too much cash; shrink the batch","OK")))</f>
        <v/>
      </c>
    </row>
    <row r="147">
      <c r="E147" s="4">
        <f>IF(A147="","",IF(D147=0,"",IF(D147&gt;2,"Stale - likely saturated","Fresh")))</f>
        <v/>
      </c>
      <c r="I147" s="7" t="n"/>
      <c r="J147" s="7" t="n"/>
      <c r="K147" s="7" t="n"/>
      <c r="L147" s="8">
        <f>IF(A147="","",I147-J147)</f>
        <v/>
      </c>
      <c r="M147" s="8">
        <f>IF(A147="","",J147-K147)</f>
        <v/>
      </c>
      <c r="N147" s="9">
        <f>IF(A147="","",IFERROR((J147-K147)/J147,0))</f>
        <v/>
      </c>
      <c r="O147" s="4">
        <f>IF(A147="","",IF(M147&lt;=0,"Drop",IF(AND(L147&gt;0,N147&gt;=0.6),"Profit product",IF(N147&gt;=0.5,"Traffic product","Thin - rework"))))</f>
        <v/>
      </c>
      <c r="P147" s="7" t="n"/>
      <c r="Q147" s="7" t="n"/>
      <c r="R147" s="7" t="n"/>
      <c r="S147" s="8">
        <f>IF(A147="","",P147+Q147+R147)</f>
        <v/>
      </c>
      <c r="T147" s="7" t="n"/>
      <c r="U147" s="4">
        <f>IF(A147="","",IF(T147=0,"Set a cap",IF(S147&gt;T147,"Over cap - three batches lock too much cash; shrink the batch","OK")))</f>
        <v/>
      </c>
    </row>
    <row r="148">
      <c r="E148" s="4">
        <f>IF(A148="","",IF(D148=0,"",IF(D148&gt;2,"Stale - likely saturated","Fresh")))</f>
        <v/>
      </c>
      <c r="I148" s="7" t="n"/>
      <c r="J148" s="7" t="n"/>
      <c r="K148" s="7" t="n"/>
      <c r="L148" s="8">
        <f>IF(A148="","",I148-J148)</f>
        <v/>
      </c>
      <c r="M148" s="8">
        <f>IF(A148="","",J148-K148)</f>
        <v/>
      </c>
      <c r="N148" s="9">
        <f>IF(A148="","",IFERROR((J148-K148)/J148,0))</f>
        <v/>
      </c>
      <c r="O148" s="4">
        <f>IF(A148="","",IF(M148&lt;=0,"Drop",IF(AND(L148&gt;0,N148&gt;=0.6),"Profit product",IF(N148&gt;=0.5,"Traffic product","Thin - rework"))))</f>
        <v/>
      </c>
      <c r="P148" s="7" t="n"/>
      <c r="Q148" s="7" t="n"/>
      <c r="R148" s="7" t="n"/>
      <c r="S148" s="8">
        <f>IF(A148="","",P148+Q148+R148)</f>
        <v/>
      </c>
      <c r="T148" s="7" t="n"/>
      <c r="U148" s="4">
        <f>IF(A148="","",IF(T148=0,"Set a cap",IF(S148&gt;T148,"Over cap - three batches lock too much cash; shrink the batch","OK")))</f>
        <v/>
      </c>
    </row>
    <row r="149">
      <c r="E149" s="4">
        <f>IF(A149="","",IF(D149=0,"",IF(D149&gt;2,"Stale - likely saturated","Fresh")))</f>
        <v/>
      </c>
      <c r="I149" s="7" t="n"/>
      <c r="J149" s="7" t="n"/>
      <c r="K149" s="7" t="n"/>
      <c r="L149" s="8">
        <f>IF(A149="","",I149-J149)</f>
        <v/>
      </c>
      <c r="M149" s="8">
        <f>IF(A149="","",J149-K149)</f>
        <v/>
      </c>
      <c r="N149" s="9">
        <f>IF(A149="","",IFERROR((J149-K149)/J149,0))</f>
        <v/>
      </c>
      <c r="O149" s="4">
        <f>IF(A149="","",IF(M149&lt;=0,"Drop",IF(AND(L149&gt;0,N149&gt;=0.6),"Profit product",IF(N149&gt;=0.5,"Traffic product","Thin - rework"))))</f>
        <v/>
      </c>
      <c r="P149" s="7" t="n"/>
      <c r="Q149" s="7" t="n"/>
      <c r="R149" s="7" t="n"/>
      <c r="S149" s="8">
        <f>IF(A149="","",P149+Q149+R149)</f>
        <v/>
      </c>
      <c r="T149" s="7" t="n"/>
      <c r="U149" s="4">
        <f>IF(A149="","",IF(T149=0,"Set a cap",IF(S149&gt;T149,"Over cap - three batches lock too much cash; shrink the batch","OK")))</f>
        <v/>
      </c>
    </row>
    <row r="150">
      <c r="E150" s="4">
        <f>IF(A150="","",IF(D150=0,"",IF(D150&gt;2,"Stale - likely saturated","Fresh")))</f>
        <v/>
      </c>
      <c r="I150" s="7" t="n"/>
      <c r="J150" s="7" t="n"/>
      <c r="K150" s="7" t="n"/>
      <c r="L150" s="8">
        <f>IF(A150="","",I150-J150)</f>
        <v/>
      </c>
      <c r="M150" s="8">
        <f>IF(A150="","",J150-K150)</f>
        <v/>
      </c>
      <c r="N150" s="9">
        <f>IF(A150="","",IFERROR((J150-K150)/J150,0))</f>
        <v/>
      </c>
      <c r="O150" s="4">
        <f>IF(A150="","",IF(M150&lt;=0,"Drop",IF(AND(L150&gt;0,N150&gt;=0.6),"Profit product",IF(N150&gt;=0.5,"Traffic product","Thin - rework"))))</f>
        <v/>
      </c>
      <c r="P150" s="7" t="n"/>
      <c r="Q150" s="7" t="n"/>
      <c r="R150" s="7" t="n"/>
      <c r="S150" s="8">
        <f>IF(A150="","",P150+Q150+R150)</f>
        <v/>
      </c>
      <c r="T150" s="7" t="n"/>
      <c r="U150" s="4">
        <f>IF(A150="","",IF(T150=0,"Set a cap",IF(S150&gt;T150,"Over cap - three batches lock too much cash; shrink the batch","OK")))</f>
        <v/>
      </c>
    </row>
    <row r="151">
      <c r="E151" s="4">
        <f>IF(A151="","",IF(D151=0,"",IF(D151&gt;2,"Stale - likely saturated","Fresh")))</f>
        <v/>
      </c>
      <c r="I151" s="7" t="n"/>
      <c r="J151" s="7" t="n"/>
      <c r="K151" s="7" t="n"/>
      <c r="L151" s="8">
        <f>IF(A151="","",I151-J151)</f>
        <v/>
      </c>
      <c r="M151" s="8">
        <f>IF(A151="","",J151-K151)</f>
        <v/>
      </c>
      <c r="N151" s="9">
        <f>IF(A151="","",IFERROR((J151-K151)/J151,0))</f>
        <v/>
      </c>
      <c r="O151" s="4">
        <f>IF(A151="","",IF(M151&lt;=0,"Drop",IF(AND(L151&gt;0,N151&gt;=0.6),"Profit product",IF(N151&gt;=0.5,"Traffic product","Thin - rework"))))</f>
        <v/>
      </c>
      <c r="P151" s="7" t="n"/>
      <c r="Q151" s="7" t="n"/>
      <c r="R151" s="7" t="n"/>
      <c r="S151" s="8">
        <f>IF(A151="","",P151+Q151+R151)</f>
        <v/>
      </c>
      <c r="T151" s="7" t="n"/>
      <c r="U151" s="4">
        <f>IF(A151="","",IF(T151=0,"Set a cap",IF(S151&gt;T151,"Over cap - three batches lock too much cash; shrink the batch","OK")))</f>
        <v/>
      </c>
    </row>
    <row r="152">
      <c r="E152" s="4">
        <f>IF(A152="","",IF(D152=0,"",IF(D152&gt;2,"Stale - likely saturated","Fresh")))</f>
        <v/>
      </c>
      <c r="I152" s="7" t="n"/>
      <c r="J152" s="7" t="n"/>
      <c r="K152" s="7" t="n"/>
      <c r="L152" s="8">
        <f>IF(A152="","",I152-J152)</f>
        <v/>
      </c>
      <c r="M152" s="8">
        <f>IF(A152="","",J152-K152)</f>
        <v/>
      </c>
      <c r="N152" s="9">
        <f>IF(A152="","",IFERROR((J152-K152)/J152,0))</f>
        <v/>
      </c>
      <c r="O152" s="4">
        <f>IF(A152="","",IF(M152&lt;=0,"Drop",IF(AND(L152&gt;0,N152&gt;=0.6),"Profit product",IF(N152&gt;=0.5,"Traffic product","Thin - rework"))))</f>
        <v/>
      </c>
      <c r="P152" s="7" t="n"/>
      <c r="Q152" s="7" t="n"/>
      <c r="R152" s="7" t="n"/>
      <c r="S152" s="8">
        <f>IF(A152="","",P152+Q152+R152)</f>
        <v/>
      </c>
      <c r="T152" s="7" t="n"/>
      <c r="U152" s="4">
        <f>IF(A152="","",IF(T152=0,"Set a cap",IF(S152&gt;T152,"Over cap - three batches lock too much cash; shrink the batch","OK")))</f>
        <v/>
      </c>
    </row>
    <row r="153">
      <c r="E153" s="4">
        <f>IF(A153="","",IF(D153=0,"",IF(D153&gt;2,"Stale - likely saturated","Fresh")))</f>
        <v/>
      </c>
      <c r="I153" s="7" t="n"/>
      <c r="J153" s="7" t="n"/>
      <c r="K153" s="7" t="n"/>
      <c r="L153" s="8">
        <f>IF(A153="","",I153-J153)</f>
        <v/>
      </c>
      <c r="M153" s="8">
        <f>IF(A153="","",J153-K153)</f>
        <v/>
      </c>
      <c r="N153" s="9">
        <f>IF(A153="","",IFERROR((J153-K153)/J153,0))</f>
        <v/>
      </c>
      <c r="O153" s="4">
        <f>IF(A153="","",IF(M153&lt;=0,"Drop",IF(AND(L153&gt;0,N153&gt;=0.6),"Profit product",IF(N153&gt;=0.5,"Traffic product","Thin - rework"))))</f>
        <v/>
      </c>
      <c r="P153" s="7" t="n"/>
      <c r="Q153" s="7" t="n"/>
      <c r="R153" s="7" t="n"/>
      <c r="S153" s="8">
        <f>IF(A153="","",P153+Q153+R153)</f>
        <v/>
      </c>
      <c r="T153" s="7" t="n"/>
      <c r="U153" s="4">
        <f>IF(A153="","",IF(T153=0,"Set a cap",IF(S153&gt;T153,"Over cap - three batches lock too much cash; shrink the batch","OK")))</f>
        <v/>
      </c>
    </row>
    <row r="154">
      <c r="E154" s="4">
        <f>IF(A154="","",IF(D154=0,"",IF(D154&gt;2,"Stale - likely saturated","Fresh")))</f>
        <v/>
      </c>
      <c r="I154" s="7" t="n"/>
      <c r="J154" s="7" t="n"/>
      <c r="K154" s="7" t="n"/>
      <c r="L154" s="8">
        <f>IF(A154="","",I154-J154)</f>
        <v/>
      </c>
      <c r="M154" s="8">
        <f>IF(A154="","",J154-K154)</f>
        <v/>
      </c>
      <c r="N154" s="9">
        <f>IF(A154="","",IFERROR((J154-K154)/J154,0))</f>
        <v/>
      </c>
      <c r="O154" s="4">
        <f>IF(A154="","",IF(M154&lt;=0,"Drop",IF(AND(L154&gt;0,N154&gt;=0.6),"Profit product",IF(N154&gt;=0.5,"Traffic product","Thin - rework"))))</f>
        <v/>
      </c>
      <c r="P154" s="7" t="n"/>
      <c r="Q154" s="7" t="n"/>
      <c r="R154" s="7" t="n"/>
      <c r="S154" s="8">
        <f>IF(A154="","",P154+Q154+R154)</f>
        <v/>
      </c>
      <c r="T154" s="7" t="n"/>
      <c r="U154" s="4">
        <f>IF(A154="","",IF(T154=0,"Set a cap",IF(S154&gt;T154,"Over cap - three batches lock too much cash; shrink the batch","OK")))</f>
        <v/>
      </c>
    </row>
    <row r="155">
      <c r="E155" s="4">
        <f>IF(A155="","",IF(D155=0,"",IF(D155&gt;2,"Stale - likely saturated","Fresh")))</f>
        <v/>
      </c>
      <c r="I155" s="7" t="n"/>
      <c r="J155" s="7" t="n"/>
      <c r="K155" s="7" t="n"/>
      <c r="L155" s="8">
        <f>IF(A155="","",I155-J155)</f>
        <v/>
      </c>
      <c r="M155" s="8">
        <f>IF(A155="","",J155-K155)</f>
        <v/>
      </c>
      <c r="N155" s="9">
        <f>IF(A155="","",IFERROR((J155-K155)/J155,0))</f>
        <v/>
      </c>
      <c r="O155" s="4">
        <f>IF(A155="","",IF(M155&lt;=0,"Drop",IF(AND(L155&gt;0,N155&gt;=0.6),"Profit product",IF(N155&gt;=0.5,"Traffic product","Thin - rework"))))</f>
        <v/>
      </c>
      <c r="P155" s="7" t="n"/>
      <c r="Q155" s="7" t="n"/>
      <c r="R155" s="7" t="n"/>
      <c r="S155" s="8">
        <f>IF(A155="","",P155+Q155+R155)</f>
        <v/>
      </c>
      <c r="T155" s="7" t="n"/>
      <c r="U155" s="4">
        <f>IF(A155="","",IF(T155=0,"Set a cap",IF(S155&gt;T155,"Over cap - three batches lock too much cash; shrink the batch","OK")))</f>
        <v/>
      </c>
    </row>
    <row r="156">
      <c r="E156" s="4">
        <f>IF(A156="","",IF(D156=0,"",IF(D156&gt;2,"Stale - likely saturated","Fresh")))</f>
        <v/>
      </c>
      <c r="I156" s="7" t="n"/>
      <c r="J156" s="7" t="n"/>
      <c r="K156" s="7" t="n"/>
      <c r="L156" s="8">
        <f>IF(A156="","",I156-J156)</f>
        <v/>
      </c>
      <c r="M156" s="8">
        <f>IF(A156="","",J156-K156)</f>
        <v/>
      </c>
      <c r="N156" s="9">
        <f>IF(A156="","",IFERROR((J156-K156)/J156,0))</f>
        <v/>
      </c>
      <c r="O156" s="4">
        <f>IF(A156="","",IF(M156&lt;=0,"Drop",IF(AND(L156&gt;0,N156&gt;=0.6),"Profit product",IF(N156&gt;=0.5,"Traffic product","Thin - rework"))))</f>
        <v/>
      </c>
      <c r="P156" s="7" t="n"/>
      <c r="Q156" s="7" t="n"/>
      <c r="R156" s="7" t="n"/>
      <c r="S156" s="8">
        <f>IF(A156="","",P156+Q156+R156)</f>
        <v/>
      </c>
      <c r="T156" s="7" t="n"/>
      <c r="U156" s="4">
        <f>IF(A156="","",IF(T156=0,"Set a cap",IF(S156&gt;T156,"Over cap - three batches lock too much cash; shrink the batch","OK")))</f>
        <v/>
      </c>
    </row>
    <row r="157">
      <c r="E157" s="4">
        <f>IF(A157="","",IF(D157=0,"",IF(D157&gt;2,"Stale - likely saturated","Fresh")))</f>
        <v/>
      </c>
      <c r="I157" s="7" t="n"/>
      <c r="J157" s="7" t="n"/>
      <c r="K157" s="7" t="n"/>
      <c r="L157" s="8">
        <f>IF(A157="","",I157-J157)</f>
        <v/>
      </c>
      <c r="M157" s="8">
        <f>IF(A157="","",J157-K157)</f>
        <v/>
      </c>
      <c r="N157" s="9">
        <f>IF(A157="","",IFERROR((J157-K157)/J157,0))</f>
        <v/>
      </c>
      <c r="O157" s="4">
        <f>IF(A157="","",IF(M157&lt;=0,"Drop",IF(AND(L157&gt;0,N157&gt;=0.6),"Profit product",IF(N157&gt;=0.5,"Traffic product","Thin - rework"))))</f>
        <v/>
      </c>
      <c r="P157" s="7" t="n"/>
      <c r="Q157" s="7" t="n"/>
      <c r="R157" s="7" t="n"/>
      <c r="S157" s="8">
        <f>IF(A157="","",P157+Q157+R157)</f>
        <v/>
      </c>
      <c r="T157" s="7" t="n"/>
      <c r="U157" s="4">
        <f>IF(A157="","",IF(T157=0,"Set a cap",IF(S157&gt;T157,"Over cap - three batches lock too much cash; shrink the batch","OK")))</f>
        <v/>
      </c>
    </row>
    <row r="158">
      <c r="E158" s="4">
        <f>IF(A158="","",IF(D158=0,"",IF(D158&gt;2,"Stale - likely saturated","Fresh")))</f>
        <v/>
      </c>
      <c r="I158" s="7" t="n"/>
      <c r="J158" s="7" t="n"/>
      <c r="K158" s="7" t="n"/>
      <c r="L158" s="8">
        <f>IF(A158="","",I158-J158)</f>
        <v/>
      </c>
      <c r="M158" s="8">
        <f>IF(A158="","",J158-K158)</f>
        <v/>
      </c>
      <c r="N158" s="9">
        <f>IF(A158="","",IFERROR((J158-K158)/J158,0))</f>
        <v/>
      </c>
      <c r="O158" s="4">
        <f>IF(A158="","",IF(M158&lt;=0,"Drop",IF(AND(L158&gt;0,N158&gt;=0.6),"Profit product",IF(N158&gt;=0.5,"Traffic product","Thin - rework"))))</f>
        <v/>
      </c>
      <c r="P158" s="7" t="n"/>
      <c r="Q158" s="7" t="n"/>
      <c r="R158" s="7" t="n"/>
      <c r="S158" s="8">
        <f>IF(A158="","",P158+Q158+R158)</f>
        <v/>
      </c>
      <c r="T158" s="7" t="n"/>
      <c r="U158" s="4">
        <f>IF(A158="","",IF(T158=0,"Set a cap",IF(S158&gt;T158,"Over cap - three batches lock too much cash; shrink the batch","OK")))</f>
        <v/>
      </c>
    </row>
    <row r="159">
      <c r="E159" s="4">
        <f>IF(A159="","",IF(D159=0,"",IF(D159&gt;2,"Stale - likely saturated","Fresh")))</f>
        <v/>
      </c>
      <c r="I159" s="7" t="n"/>
      <c r="J159" s="7" t="n"/>
      <c r="K159" s="7" t="n"/>
      <c r="L159" s="8">
        <f>IF(A159="","",I159-J159)</f>
        <v/>
      </c>
      <c r="M159" s="8">
        <f>IF(A159="","",J159-K159)</f>
        <v/>
      </c>
      <c r="N159" s="9">
        <f>IF(A159="","",IFERROR((J159-K159)/J159,0))</f>
        <v/>
      </c>
      <c r="O159" s="4">
        <f>IF(A159="","",IF(M159&lt;=0,"Drop",IF(AND(L159&gt;0,N159&gt;=0.6),"Profit product",IF(N159&gt;=0.5,"Traffic product","Thin - rework"))))</f>
        <v/>
      </c>
      <c r="P159" s="7" t="n"/>
      <c r="Q159" s="7" t="n"/>
      <c r="R159" s="7" t="n"/>
      <c r="S159" s="8">
        <f>IF(A159="","",P159+Q159+R159)</f>
        <v/>
      </c>
      <c r="T159" s="7" t="n"/>
      <c r="U159" s="4">
        <f>IF(A159="","",IF(T159=0,"Set a cap",IF(S159&gt;T159,"Over cap - three batches lock too much cash; shrink the batch","OK")))</f>
        <v/>
      </c>
    </row>
    <row r="160">
      <c r="E160" s="4">
        <f>IF(A160="","",IF(D160=0,"",IF(D160&gt;2,"Stale - likely saturated","Fresh")))</f>
        <v/>
      </c>
      <c r="I160" s="7" t="n"/>
      <c r="J160" s="7" t="n"/>
      <c r="K160" s="7" t="n"/>
      <c r="L160" s="8">
        <f>IF(A160="","",I160-J160)</f>
        <v/>
      </c>
      <c r="M160" s="8">
        <f>IF(A160="","",J160-K160)</f>
        <v/>
      </c>
      <c r="N160" s="9">
        <f>IF(A160="","",IFERROR((J160-K160)/J160,0))</f>
        <v/>
      </c>
      <c r="O160" s="4">
        <f>IF(A160="","",IF(M160&lt;=0,"Drop",IF(AND(L160&gt;0,N160&gt;=0.6),"Profit product",IF(N160&gt;=0.5,"Traffic product","Thin - rework"))))</f>
        <v/>
      </c>
      <c r="P160" s="7" t="n"/>
      <c r="Q160" s="7" t="n"/>
      <c r="R160" s="7" t="n"/>
      <c r="S160" s="8">
        <f>IF(A160="","",P160+Q160+R160)</f>
        <v/>
      </c>
      <c r="T160" s="7" t="n"/>
      <c r="U160" s="4">
        <f>IF(A160="","",IF(T160=0,"Set a cap",IF(S160&gt;T160,"Over cap - three batches lock too much cash; shrink the batch","OK")))</f>
        <v/>
      </c>
    </row>
    <row r="161">
      <c r="E161" s="4">
        <f>IF(A161="","",IF(D161=0,"",IF(D161&gt;2,"Stale - likely saturated","Fresh")))</f>
        <v/>
      </c>
      <c r="I161" s="7" t="n"/>
      <c r="J161" s="7" t="n"/>
      <c r="K161" s="7" t="n"/>
      <c r="L161" s="8">
        <f>IF(A161="","",I161-J161)</f>
        <v/>
      </c>
      <c r="M161" s="8">
        <f>IF(A161="","",J161-K161)</f>
        <v/>
      </c>
      <c r="N161" s="9">
        <f>IF(A161="","",IFERROR((J161-K161)/J161,0))</f>
        <v/>
      </c>
      <c r="O161" s="4">
        <f>IF(A161="","",IF(M161&lt;=0,"Drop",IF(AND(L161&gt;0,N161&gt;=0.6),"Profit product",IF(N161&gt;=0.5,"Traffic product","Thin - rework"))))</f>
        <v/>
      </c>
      <c r="P161" s="7" t="n"/>
      <c r="Q161" s="7" t="n"/>
      <c r="R161" s="7" t="n"/>
      <c r="S161" s="8">
        <f>IF(A161="","",P161+Q161+R161)</f>
        <v/>
      </c>
      <c r="T161" s="7" t="n"/>
      <c r="U161" s="4">
        <f>IF(A161="","",IF(T161=0,"Set a cap",IF(S161&gt;T161,"Over cap - three batches lock too much cash; shrink the batch","OK")))</f>
        <v/>
      </c>
    </row>
    <row r="162">
      <c r="E162" s="4">
        <f>IF(A162="","",IF(D162=0,"",IF(D162&gt;2,"Stale - likely saturated","Fresh")))</f>
        <v/>
      </c>
      <c r="I162" s="7" t="n"/>
      <c r="J162" s="7" t="n"/>
      <c r="K162" s="7" t="n"/>
      <c r="L162" s="8">
        <f>IF(A162="","",I162-J162)</f>
        <v/>
      </c>
      <c r="M162" s="8">
        <f>IF(A162="","",J162-K162)</f>
        <v/>
      </c>
      <c r="N162" s="9">
        <f>IF(A162="","",IFERROR((J162-K162)/J162,0))</f>
        <v/>
      </c>
      <c r="O162" s="4">
        <f>IF(A162="","",IF(M162&lt;=0,"Drop",IF(AND(L162&gt;0,N162&gt;=0.6),"Profit product",IF(N162&gt;=0.5,"Traffic product","Thin - rework"))))</f>
        <v/>
      </c>
      <c r="P162" s="7" t="n"/>
      <c r="Q162" s="7" t="n"/>
      <c r="R162" s="7" t="n"/>
      <c r="S162" s="8">
        <f>IF(A162="","",P162+Q162+R162)</f>
        <v/>
      </c>
      <c r="T162" s="7" t="n"/>
      <c r="U162" s="4">
        <f>IF(A162="","",IF(T162=0,"Set a cap",IF(S162&gt;T162,"Over cap - three batches lock too much cash; shrink the batch","OK")))</f>
        <v/>
      </c>
    </row>
    <row r="163">
      <c r="E163" s="4">
        <f>IF(A163="","",IF(D163=0,"",IF(D163&gt;2,"Stale - likely saturated","Fresh")))</f>
        <v/>
      </c>
      <c r="I163" s="7" t="n"/>
      <c r="J163" s="7" t="n"/>
      <c r="K163" s="7" t="n"/>
      <c r="L163" s="8">
        <f>IF(A163="","",I163-J163)</f>
        <v/>
      </c>
      <c r="M163" s="8">
        <f>IF(A163="","",J163-K163)</f>
        <v/>
      </c>
      <c r="N163" s="9">
        <f>IF(A163="","",IFERROR((J163-K163)/J163,0))</f>
        <v/>
      </c>
      <c r="O163" s="4">
        <f>IF(A163="","",IF(M163&lt;=0,"Drop",IF(AND(L163&gt;0,N163&gt;=0.6),"Profit product",IF(N163&gt;=0.5,"Traffic product","Thin - rework"))))</f>
        <v/>
      </c>
      <c r="P163" s="7" t="n"/>
      <c r="Q163" s="7" t="n"/>
      <c r="R163" s="7" t="n"/>
      <c r="S163" s="8">
        <f>IF(A163="","",P163+Q163+R163)</f>
        <v/>
      </c>
      <c r="T163" s="7" t="n"/>
      <c r="U163" s="4">
        <f>IF(A163="","",IF(T163=0,"Set a cap",IF(S163&gt;T163,"Over cap - three batches lock too much cash; shrink the batch","OK")))</f>
        <v/>
      </c>
    </row>
    <row r="164">
      <c r="E164" s="4">
        <f>IF(A164="","",IF(D164=0,"",IF(D164&gt;2,"Stale - likely saturated","Fresh")))</f>
        <v/>
      </c>
      <c r="I164" s="7" t="n"/>
      <c r="J164" s="7" t="n"/>
      <c r="K164" s="7" t="n"/>
      <c r="L164" s="8">
        <f>IF(A164="","",I164-J164)</f>
        <v/>
      </c>
      <c r="M164" s="8">
        <f>IF(A164="","",J164-K164)</f>
        <v/>
      </c>
      <c r="N164" s="9">
        <f>IF(A164="","",IFERROR((J164-K164)/J164,0))</f>
        <v/>
      </c>
      <c r="O164" s="4">
        <f>IF(A164="","",IF(M164&lt;=0,"Drop",IF(AND(L164&gt;0,N164&gt;=0.6),"Profit product",IF(N164&gt;=0.5,"Traffic product","Thin - rework"))))</f>
        <v/>
      </c>
      <c r="P164" s="7" t="n"/>
      <c r="Q164" s="7" t="n"/>
      <c r="R164" s="7" t="n"/>
      <c r="S164" s="8">
        <f>IF(A164="","",P164+Q164+R164)</f>
        <v/>
      </c>
      <c r="T164" s="7" t="n"/>
      <c r="U164" s="4">
        <f>IF(A164="","",IF(T164=0,"Set a cap",IF(S164&gt;T164,"Over cap - three batches lock too much cash; shrink the batch","OK")))</f>
        <v/>
      </c>
    </row>
    <row r="165">
      <c r="E165" s="4">
        <f>IF(A165="","",IF(D165=0,"",IF(D165&gt;2,"Stale - likely saturated","Fresh")))</f>
        <v/>
      </c>
      <c r="I165" s="7" t="n"/>
      <c r="J165" s="7" t="n"/>
      <c r="K165" s="7" t="n"/>
      <c r="L165" s="8">
        <f>IF(A165="","",I165-J165)</f>
        <v/>
      </c>
      <c r="M165" s="8">
        <f>IF(A165="","",J165-K165)</f>
        <v/>
      </c>
      <c r="N165" s="9">
        <f>IF(A165="","",IFERROR((J165-K165)/J165,0))</f>
        <v/>
      </c>
      <c r="O165" s="4">
        <f>IF(A165="","",IF(M165&lt;=0,"Drop",IF(AND(L165&gt;0,N165&gt;=0.6),"Profit product",IF(N165&gt;=0.5,"Traffic product","Thin - rework"))))</f>
        <v/>
      </c>
      <c r="P165" s="7" t="n"/>
      <c r="Q165" s="7" t="n"/>
      <c r="R165" s="7" t="n"/>
      <c r="S165" s="8">
        <f>IF(A165="","",P165+Q165+R165)</f>
        <v/>
      </c>
      <c r="T165" s="7" t="n"/>
      <c r="U165" s="4">
        <f>IF(A165="","",IF(T165=0,"Set a cap",IF(S165&gt;T165,"Over cap - three batches lock too much cash; shrink the batch","OK")))</f>
        <v/>
      </c>
    </row>
    <row r="166">
      <c r="E166" s="4">
        <f>IF(A166="","",IF(D166=0,"",IF(D166&gt;2,"Stale - likely saturated","Fresh")))</f>
        <v/>
      </c>
      <c r="I166" s="7" t="n"/>
      <c r="J166" s="7" t="n"/>
      <c r="K166" s="7" t="n"/>
      <c r="L166" s="8">
        <f>IF(A166="","",I166-J166)</f>
        <v/>
      </c>
      <c r="M166" s="8">
        <f>IF(A166="","",J166-K166)</f>
        <v/>
      </c>
      <c r="N166" s="9">
        <f>IF(A166="","",IFERROR((J166-K166)/J166,0))</f>
        <v/>
      </c>
      <c r="O166" s="4">
        <f>IF(A166="","",IF(M166&lt;=0,"Drop",IF(AND(L166&gt;0,N166&gt;=0.6),"Profit product",IF(N166&gt;=0.5,"Traffic product","Thin - rework"))))</f>
        <v/>
      </c>
      <c r="P166" s="7" t="n"/>
      <c r="Q166" s="7" t="n"/>
      <c r="R166" s="7" t="n"/>
      <c r="S166" s="8">
        <f>IF(A166="","",P166+Q166+R166)</f>
        <v/>
      </c>
      <c r="T166" s="7" t="n"/>
      <c r="U166" s="4">
        <f>IF(A166="","",IF(T166=0,"Set a cap",IF(S166&gt;T166,"Over cap - three batches lock too much cash; shrink the batch","OK")))</f>
        <v/>
      </c>
    </row>
    <row r="167">
      <c r="E167" s="4">
        <f>IF(A167="","",IF(D167=0,"",IF(D167&gt;2,"Stale - likely saturated","Fresh")))</f>
        <v/>
      </c>
      <c r="I167" s="7" t="n"/>
      <c r="J167" s="7" t="n"/>
      <c r="K167" s="7" t="n"/>
      <c r="L167" s="8">
        <f>IF(A167="","",I167-J167)</f>
        <v/>
      </c>
      <c r="M167" s="8">
        <f>IF(A167="","",J167-K167)</f>
        <v/>
      </c>
      <c r="N167" s="9">
        <f>IF(A167="","",IFERROR((J167-K167)/J167,0))</f>
        <v/>
      </c>
      <c r="O167" s="4">
        <f>IF(A167="","",IF(M167&lt;=0,"Drop",IF(AND(L167&gt;0,N167&gt;=0.6),"Profit product",IF(N167&gt;=0.5,"Traffic product","Thin - rework"))))</f>
        <v/>
      </c>
      <c r="P167" s="7" t="n"/>
      <c r="Q167" s="7" t="n"/>
      <c r="R167" s="7" t="n"/>
      <c r="S167" s="8">
        <f>IF(A167="","",P167+Q167+R167)</f>
        <v/>
      </c>
      <c r="T167" s="7" t="n"/>
      <c r="U167" s="4">
        <f>IF(A167="","",IF(T167=0,"Set a cap",IF(S167&gt;T167,"Over cap - three batches lock too much cash; shrink the batch","OK")))</f>
        <v/>
      </c>
    </row>
    <row r="168">
      <c r="E168" s="4">
        <f>IF(A168="","",IF(D168=0,"",IF(D168&gt;2,"Stale - likely saturated","Fresh")))</f>
        <v/>
      </c>
      <c r="I168" s="7" t="n"/>
      <c r="J168" s="7" t="n"/>
      <c r="K168" s="7" t="n"/>
      <c r="L168" s="8">
        <f>IF(A168="","",I168-J168)</f>
        <v/>
      </c>
      <c r="M168" s="8">
        <f>IF(A168="","",J168-K168)</f>
        <v/>
      </c>
      <c r="N168" s="9">
        <f>IF(A168="","",IFERROR((J168-K168)/J168,0))</f>
        <v/>
      </c>
      <c r="O168" s="4">
        <f>IF(A168="","",IF(M168&lt;=0,"Drop",IF(AND(L168&gt;0,N168&gt;=0.6),"Profit product",IF(N168&gt;=0.5,"Traffic product","Thin - rework"))))</f>
        <v/>
      </c>
      <c r="P168" s="7" t="n"/>
      <c r="Q168" s="7" t="n"/>
      <c r="R168" s="7" t="n"/>
      <c r="S168" s="8">
        <f>IF(A168="","",P168+Q168+R168)</f>
        <v/>
      </c>
      <c r="T168" s="7" t="n"/>
      <c r="U168" s="4">
        <f>IF(A168="","",IF(T168=0,"Set a cap",IF(S168&gt;T168,"Over cap - three batches lock too much cash; shrink the batch","OK")))</f>
        <v/>
      </c>
    </row>
    <row r="169">
      <c r="E169" s="4">
        <f>IF(A169="","",IF(D169=0,"",IF(D169&gt;2,"Stale - likely saturated","Fresh")))</f>
        <v/>
      </c>
      <c r="I169" s="7" t="n"/>
      <c r="J169" s="7" t="n"/>
      <c r="K169" s="7" t="n"/>
      <c r="L169" s="8">
        <f>IF(A169="","",I169-J169)</f>
        <v/>
      </c>
      <c r="M169" s="8">
        <f>IF(A169="","",J169-K169)</f>
        <v/>
      </c>
      <c r="N169" s="9">
        <f>IF(A169="","",IFERROR((J169-K169)/J169,0))</f>
        <v/>
      </c>
      <c r="O169" s="4">
        <f>IF(A169="","",IF(M169&lt;=0,"Drop",IF(AND(L169&gt;0,N169&gt;=0.6),"Profit product",IF(N169&gt;=0.5,"Traffic product","Thin - rework"))))</f>
        <v/>
      </c>
      <c r="P169" s="7" t="n"/>
      <c r="Q169" s="7" t="n"/>
      <c r="R169" s="7" t="n"/>
      <c r="S169" s="8">
        <f>IF(A169="","",P169+Q169+R169)</f>
        <v/>
      </c>
      <c r="T169" s="7" t="n"/>
      <c r="U169" s="4">
        <f>IF(A169="","",IF(T169=0,"Set a cap",IF(S169&gt;T169,"Over cap - three batches lock too much cash; shrink the batch","OK")))</f>
        <v/>
      </c>
    </row>
    <row r="170">
      <c r="E170" s="4">
        <f>IF(A170="","",IF(D170=0,"",IF(D170&gt;2,"Stale - likely saturated","Fresh")))</f>
        <v/>
      </c>
      <c r="I170" s="7" t="n"/>
      <c r="J170" s="7" t="n"/>
      <c r="K170" s="7" t="n"/>
      <c r="L170" s="8">
        <f>IF(A170="","",I170-J170)</f>
        <v/>
      </c>
      <c r="M170" s="8">
        <f>IF(A170="","",J170-K170)</f>
        <v/>
      </c>
      <c r="N170" s="9">
        <f>IF(A170="","",IFERROR((J170-K170)/J170,0))</f>
        <v/>
      </c>
      <c r="O170" s="4">
        <f>IF(A170="","",IF(M170&lt;=0,"Drop",IF(AND(L170&gt;0,N170&gt;=0.6),"Profit product",IF(N170&gt;=0.5,"Traffic product","Thin - rework"))))</f>
        <v/>
      </c>
      <c r="P170" s="7" t="n"/>
      <c r="Q170" s="7" t="n"/>
      <c r="R170" s="7" t="n"/>
      <c r="S170" s="8">
        <f>IF(A170="","",P170+Q170+R170)</f>
        <v/>
      </c>
      <c r="T170" s="7" t="n"/>
      <c r="U170" s="4">
        <f>IF(A170="","",IF(T170=0,"Set a cap",IF(S170&gt;T170,"Over cap - three batches lock too much cash; shrink the batch","OK")))</f>
        <v/>
      </c>
    </row>
    <row r="171">
      <c r="E171" s="4">
        <f>IF(A171="","",IF(D171=0,"",IF(D171&gt;2,"Stale - likely saturated","Fresh")))</f>
        <v/>
      </c>
      <c r="I171" s="7" t="n"/>
      <c r="J171" s="7" t="n"/>
      <c r="K171" s="7" t="n"/>
      <c r="L171" s="8">
        <f>IF(A171="","",I171-J171)</f>
        <v/>
      </c>
      <c r="M171" s="8">
        <f>IF(A171="","",J171-K171)</f>
        <v/>
      </c>
      <c r="N171" s="9">
        <f>IF(A171="","",IFERROR((J171-K171)/J171,0))</f>
        <v/>
      </c>
      <c r="O171" s="4">
        <f>IF(A171="","",IF(M171&lt;=0,"Drop",IF(AND(L171&gt;0,N171&gt;=0.6),"Profit product",IF(N171&gt;=0.5,"Traffic product","Thin - rework"))))</f>
        <v/>
      </c>
      <c r="P171" s="7" t="n"/>
      <c r="Q171" s="7" t="n"/>
      <c r="R171" s="7" t="n"/>
      <c r="S171" s="8">
        <f>IF(A171="","",P171+Q171+R171)</f>
        <v/>
      </c>
      <c r="T171" s="7" t="n"/>
      <c r="U171" s="4">
        <f>IF(A171="","",IF(T171=0,"Set a cap",IF(S171&gt;T171,"Over cap - three batches lock too much cash; shrink the batch","OK")))</f>
        <v/>
      </c>
    </row>
    <row r="172">
      <c r="E172" s="4">
        <f>IF(A172="","",IF(D172=0,"",IF(D172&gt;2,"Stale - likely saturated","Fresh")))</f>
        <v/>
      </c>
      <c r="I172" s="7" t="n"/>
      <c r="J172" s="7" t="n"/>
      <c r="K172" s="7" t="n"/>
      <c r="L172" s="8">
        <f>IF(A172="","",I172-J172)</f>
        <v/>
      </c>
      <c r="M172" s="8">
        <f>IF(A172="","",J172-K172)</f>
        <v/>
      </c>
      <c r="N172" s="9">
        <f>IF(A172="","",IFERROR((J172-K172)/J172,0))</f>
        <v/>
      </c>
      <c r="O172" s="4">
        <f>IF(A172="","",IF(M172&lt;=0,"Drop",IF(AND(L172&gt;0,N172&gt;=0.6),"Profit product",IF(N172&gt;=0.5,"Traffic product","Thin - rework"))))</f>
        <v/>
      </c>
      <c r="P172" s="7" t="n"/>
      <c r="Q172" s="7" t="n"/>
      <c r="R172" s="7" t="n"/>
      <c r="S172" s="8">
        <f>IF(A172="","",P172+Q172+R172)</f>
        <v/>
      </c>
      <c r="T172" s="7" t="n"/>
      <c r="U172" s="4">
        <f>IF(A172="","",IF(T172=0,"Set a cap",IF(S172&gt;T172,"Over cap - three batches lock too much cash; shrink the batch","OK")))</f>
        <v/>
      </c>
    </row>
    <row r="173">
      <c r="E173" s="4">
        <f>IF(A173="","",IF(D173=0,"",IF(D173&gt;2,"Stale - likely saturated","Fresh")))</f>
        <v/>
      </c>
      <c r="I173" s="7" t="n"/>
      <c r="J173" s="7" t="n"/>
      <c r="K173" s="7" t="n"/>
      <c r="L173" s="8">
        <f>IF(A173="","",I173-J173)</f>
        <v/>
      </c>
      <c r="M173" s="8">
        <f>IF(A173="","",J173-K173)</f>
        <v/>
      </c>
      <c r="N173" s="9">
        <f>IF(A173="","",IFERROR((J173-K173)/J173,0))</f>
        <v/>
      </c>
      <c r="O173" s="4">
        <f>IF(A173="","",IF(M173&lt;=0,"Drop",IF(AND(L173&gt;0,N173&gt;=0.6),"Profit product",IF(N173&gt;=0.5,"Traffic product","Thin - rework"))))</f>
        <v/>
      </c>
      <c r="P173" s="7" t="n"/>
      <c r="Q173" s="7" t="n"/>
      <c r="R173" s="7" t="n"/>
      <c r="S173" s="8">
        <f>IF(A173="","",P173+Q173+R173)</f>
        <v/>
      </c>
      <c r="T173" s="7" t="n"/>
      <c r="U173" s="4">
        <f>IF(A173="","",IF(T173=0,"Set a cap",IF(S173&gt;T173,"Over cap - three batches lock too much cash; shrink the batch","OK")))</f>
        <v/>
      </c>
    </row>
    <row r="174">
      <c r="E174" s="4">
        <f>IF(A174="","",IF(D174=0,"",IF(D174&gt;2,"Stale - likely saturated","Fresh")))</f>
        <v/>
      </c>
      <c r="I174" s="7" t="n"/>
      <c r="J174" s="7" t="n"/>
      <c r="K174" s="7" t="n"/>
      <c r="L174" s="8">
        <f>IF(A174="","",I174-J174)</f>
        <v/>
      </c>
      <c r="M174" s="8">
        <f>IF(A174="","",J174-K174)</f>
        <v/>
      </c>
      <c r="N174" s="9">
        <f>IF(A174="","",IFERROR((J174-K174)/J174,0))</f>
        <v/>
      </c>
      <c r="O174" s="4">
        <f>IF(A174="","",IF(M174&lt;=0,"Drop",IF(AND(L174&gt;0,N174&gt;=0.6),"Profit product",IF(N174&gt;=0.5,"Traffic product","Thin - rework"))))</f>
        <v/>
      </c>
      <c r="P174" s="7" t="n"/>
      <c r="Q174" s="7" t="n"/>
      <c r="R174" s="7" t="n"/>
      <c r="S174" s="8">
        <f>IF(A174="","",P174+Q174+R174)</f>
        <v/>
      </c>
      <c r="T174" s="7" t="n"/>
      <c r="U174" s="4">
        <f>IF(A174="","",IF(T174=0,"Set a cap",IF(S174&gt;T174,"Over cap - three batches lock too much cash; shrink the batch","OK")))</f>
        <v/>
      </c>
    </row>
    <row r="175">
      <c r="E175" s="4">
        <f>IF(A175="","",IF(D175=0,"",IF(D175&gt;2,"Stale - likely saturated","Fresh")))</f>
        <v/>
      </c>
      <c r="I175" s="7" t="n"/>
      <c r="J175" s="7" t="n"/>
      <c r="K175" s="7" t="n"/>
      <c r="L175" s="8">
        <f>IF(A175="","",I175-J175)</f>
        <v/>
      </c>
      <c r="M175" s="8">
        <f>IF(A175="","",J175-K175)</f>
        <v/>
      </c>
      <c r="N175" s="9">
        <f>IF(A175="","",IFERROR((J175-K175)/J175,0))</f>
        <v/>
      </c>
      <c r="O175" s="4">
        <f>IF(A175="","",IF(M175&lt;=0,"Drop",IF(AND(L175&gt;0,N175&gt;=0.6),"Profit product",IF(N175&gt;=0.5,"Traffic product","Thin - rework"))))</f>
        <v/>
      </c>
      <c r="P175" s="7" t="n"/>
      <c r="Q175" s="7" t="n"/>
      <c r="R175" s="7" t="n"/>
      <c r="S175" s="8">
        <f>IF(A175="","",P175+Q175+R175)</f>
        <v/>
      </c>
      <c r="T175" s="7" t="n"/>
      <c r="U175" s="4">
        <f>IF(A175="","",IF(T175=0,"Set a cap",IF(S175&gt;T175,"Over cap - three batches lock too much cash; shrink the batch","OK")))</f>
        <v/>
      </c>
    </row>
    <row r="176">
      <c r="E176" s="4">
        <f>IF(A176="","",IF(D176=0,"",IF(D176&gt;2,"Stale - likely saturated","Fresh")))</f>
        <v/>
      </c>
      <c r="I176" s="7" t="n"/>
      <c r="J176" s="7" t="n"/>
      <c r="K176" s="7" t="n"/>
      <c r="L176" s="8">
        <f>IF(A176="","",I176-J176)</f>
        <v/>
      </c>
      <c r="M176" s="8">
        <f>IF(A176="","",J176-K176)</f>
        <v/>
      </c>
      <c r="N176" s="9">
        <f>IF(A176="","",IFERROR((J176-K176)/J176,0))</f>
        <v/>
      </c>
      <c r="O176" s="4">
        <f>IF(A176="","",IF(M176&lt;=0,"Drop",IF(AND(L176&gt;0,N176&gt;=0.6),"Profit product",IF(N176&gt;=0.5,"Traffic product","Thin - rework"))))</f>
        <v/>
      </c>
      <c r="P176" s="7" t="n"/>
      <c r="Q176" s="7" t="n"/>
      <c r="R176" s="7" t="n"/>
      <c r="S176" s="8">
        <f>IF(A176="","",P176+Q176+R176)</f>
        <v/>
      </c>
      <c r="T176" s="7" t="n"/>
      <c r="U176" s="4">
        <f>IF(A176="","",IF(T176=0,"Set a cap",IF(S176&gt;T176,"Over cap - three batches lock too much cash; shrink the batch","OK")))</f>
        <v/>
      </c>
    </row>
    <row r="177">
      <c r="E177" s="4">
        <f>IF(A177="","",IF(D177=0,"",IF(D177&gt;2,"Stale - likely saturated","Fresh")))</f>
        <v/>
      </c>
      <c r="I177" s="7" t="n"/>
      <c r="J177" s="7" t="n"/>
      <c r="K177" s="7" t="n"/>
      <c r="L177" s="8">
        <f>IF(A177="","",I177-J177)</f>
        <v/>
      </c>
      <c r="M177" s="8">
        <f>IF(A177="","",J177-K177)</f>
        <v/>
      </c>
      <c r="N177" s="9">
        <f>IF(A177="","",IFERROR((J177-K177)/J177,0))</f>
        <v/>
      </c>
      <c r="O177" s="4">
        <f>IF(A177="","",IF(M177&lt;=0,"Drop",IF(AND(L177&gt;0,N177&gt;=0.6),"Profit product",IF(N177&gt;=0.5,"Traffic product","Thin - rework"))))</f>
        <v/>
      </c>
      <c r="P177" s="7" t="n"/>
      <c r="Q177" s="7" t="n"/>
      <c r="R177" s="7" t="n"/>
      <c r="S177" s="8">
        <f>IF(A177="","",P177+Q177+R177)</f>
        <v/>
      </c>
      <c r="T177" s="7" t="n"/>
      <c r="U177" s="4">
        <f>IF(A177="","",IF(T177=0,"Set a cap",IF(S177&gt;T177,"Over cap - three batches lock too much cash; shrink the batch","OK")))</f>
        <v/>
      </c>
    </row>
    <row r="178">
      <c r="E178" s="4">
        <f>IF(A178="","",IF(D178=0,"",IF(D178&gt;2,"Stale - likely saturated","Fresh")))</f>
        <v/>
      </c>
      <c r="I178" s="7" t="n"/>
      <c r="J178" s="7" t="n"/>
      <c r="K178" s="7" t="n"/>
      <c r="L178" s="8">
        <f>IF(A178="","",I178-J178)</f>
        <v/>
      </c>
      <c r="M178" s="8">
        <f>IF(A178="","",J178-K178)</f>
        <v/>
      </c>
      <c r="N178" s="9">
        <f>IF(A178="","",IFERROR((J178-K178)/J178,0))</f>
        <v/>
      </c>
      <c r="O178" s="4">
        <f>IF(A178="","",IF(M178&lt;=0,"Drop",IF(AND(L178&gt;0,N178&gt;=0.6),"Profit product",IF(N178&gt;=0.5,"Traffic product","Thin - rework"))))</f>
        <v/>
      </c>
      <c r="P178" s="7" t="n"/>
      <c r="Q178" s="7" t="n"/>
      <c r="R178" s="7" t="n"/>
      <c r="S178" s="8">
        <f>IF(A178="","",P178+Q178+R178)</f>
        <v/>
      </c>
      <c r="T178" s="7" t="n"/>
      <c r="U178" s="4">
        <f>IF(A178="","",IF(T178=0,"Set a cap",IF(S178&gt;T178,"Over cap - three batches lock too much cash; shrink the batch","OK")))</f>
        <v/>
      </c>
    </row>
    <row r="179">
      <c r="E179" s="4">
        <f>IF(A179="","",IF(D179=0,"",IF(D179&gt;2,"Stale - likely saturated","Fresh")))</f>
        <v/>
      </c>
      <c r="I179" s="7" t="n"/>
      <c r="J179" s="7" t="n"/>
      <c r="K179" s="7" t="n"/>
      <c r="L179" s="8">
        <f>IF(A179="","",I179-J179)</f>
        <v/>
      </c>
      <c r="M179" s="8">
        <f>IF(A179="","",J179-K179)</f>
        <v/>
      </c>
      <c r="N179" s="9">
        <f>IF(A179="","",IFERROR((J179-K179)/J179,0))</f>
        <v/>
      </c>
      <c r="O179" s="4">
        <f>IF(A179="","",IF(M179&lt;=0,"Drop",IF(AND(L179&gt;0,N179&gt;=0.6),"Profit product",IF(N179&gt;=0.5,"Traffic product","Thin - rework"))))</f>
        <v/>
      </c>
      <c r="P179" s="7" t="n"/>
      <c r="Q179" s="7" t="n"/>
      <c r="R179" s="7" t="n"/>
      <c r="S179" s="8">
        <f>IF(A179="","",P179+Q179+R179)</f>
        <v/>
      </c>
      <c r="T179" s="7" t="n"/>
      <c r="U179" s="4">
        <f>IF(A179="","",IF(T179=0,"Set a cap",IF(S179&gt;T179,"Over cap - three batches lock too much cash; shrink the batch","OK")))</f>
        <v/>
      </c>
    </row>
    <row r="180">
      <c r="E180" s="4">
        <f>IF(A180="","",IF(D180=0,"",IF(D180&gt;2,"Stale - likely saturated","Fresh")))</f>
        <v/>
      </c>
      <c r="I180" s="7" t="n"/>
      <c r="J180" s="7" t="n"/>
      <c r="K180" s="7" t="n"/>
      <c r="L180" s="8">
        <f>IF(A180="","",I180-J180)</f>
        <v/>
      </c>
      <c r="M180" s="8">
        <f>IF(A180="","",J180-K180)</f>
        <v/>
      </c>
      <c r="N180" s="9">
        <f>IF(A180="","",IFERROR((J180-K180)/J180,0))</f>
        <v/>
      </c>
      <c r="O180" s="4">
        <f>IF(A180="","",IF(M180&lt;=0,"Drop",IF(AND(L180&gt;0,N180&gt;=0.6),"Profit product",IF(N180&gt;=0.5,"Traffic product","Thin - rework"))))</f>
        <v/>
      </c>
      <c r="P180" s="7" t="n"/>
      <c r="Q180" s="7" t="n"/>
      <c r="R180" s="7" t="n"/>
      <c r="S180" s="8">
        <f>IF(A180="","",P180+Q180+R180)</f>
        <v/>
      </c>
      <c r="T180" s="7" t="n"/>
      <c r="U180" s="4">
        <f>IF(A180="","",IF(T180=0,"Set a cap",IF(S180&gt;T180,"Over cap - three batches lock too much cash; shrink the batch","OK")))</f>
        <v/>
      </c>
    </row>
    <row r="181">
      <c r="E181" s="4">
        <f>IF(A181="","",IF(D181=0,"",IF(D181&gt;2,"Stale - likely saturated","Fresh")))</f>
        <v/>
      </c>
      <c r="I181" s="7" t="n"/>
      <c r="J181" s="7" t="n"/>
      <c r="K181" s="7" t="n"/>
      <c r="L181" s="8">
        <f>IF(A181="","",I181-J181)</f>
        <v/>
      </c>
      <c r="M181" s="8">
        <f>IF(A181="","",J181-K181)</f>
        <v/>
      </c>
      <c r="N181" s="9">
        <f>IF(A181="","",IFERROR((J181-K181)/J181,0))</f>
        <v/>
      </c>
      <c r="O181" s="4">
        <f>IF(A181="","",IF(M181&lt;=0,"Drop",IF(AND(L181&gt;0,N181&gt;=0.6),"Profit product",IF(N181&gt;=0.5,"Traffic product","Thin - rework"))))</f>
        <v/>
      </c>
      <c r="P181" s="7" t="n"/>
      <c r="Q181" s="7" t="n"/>
      <c r="R181" s="7" t="n"/>
      <c r="S181" s="8">
        <f>IF(A181="","",P181+Q181+R181)</f>
        <v/>
      </c>
      <c r="T181" s="7" t="n"/>
      <c r="U181" s="4">
        <f>IF(A181="","",IF(T181=0,"Set a cap",IF(S181&gt;T181,"Over cap - three batches lock too much cash; shrink the batch","OK")))</f>
        <v/>
      </c>
    </row>
    <row r="182">
      <c r="E182" s="4">
        <f>IF(A182="","",IF(D182=0,"",IF(D182&gt;2,"Stale - likely saturated","Fresh")))</f>
        <v/>
      </c>
      <c r="I182" s="7" t="n"/>
      <c r="J182" s="7" t="n"/>
      <c r="K182" s="7" t="n"/>
      <c r="L182" s="8">
        <f>IF(A182="","",I182-J182)</f>
        <v/>
      </c>
      <c r="M182" s="8">
        <f>IF(A182="","",J182-K182)</f>
        <v/>
      </c>
      <c r="N182" s="9">
        <f>IF(A182="","",IFERROR((J182-K182)/J182,0))</f>
        <v/>
      </c>
      <c r="O182" s="4">
        <f>IF(A182="","",IF(M182&lt;=0,"Drop",IF(AND(L182&gt;0,N182&gt;=0.6),"Profit product",IF(N182&gt;=0.5,"Traffic product","Thin - rework"))))</f>
        <v/>
      </c>
      <c r="P182" s="7" t="n"/>
      <c r="Q182" s="7" t="n"/>
      <c r="R182" s="7" t="n"/>
      <c r="S182" s="8">
        <f>IF(A182="","",P182+Q182+R182)</f>
        <v/>
      </c>
      <c r="T182" s="7" t="n"/>
      <c r="U182" s="4">
        <f>IF(A182="","",IF(T182=0,"Set a cap",IF(S182&gt;T182,"Over cap - three batches lock too much cash; shrink the batch","OK")))</f>
        <v/>
      </c>
    </row>
    <row r="183">
      <c r="E183" s="4">
        <f>IF(A183="","",IF(D183=0,"",IF(D183&gt;2,"Stale - likely saturated","Fresh")))</f>
        <v/>
      </c>
      <c r="I183" s="7" t="n"/>
      <c r="J183" s="7" t="n"/>
      <c r="K183" s="7" t="n"/>
      <c r="L183" s="8">
        <f>IF(A183="","",I183-J183)</f>
        <v/>
      </c>
      <c r="M183" s="8">
        <f>IF(A183="","",J183-K183)</f>
        <v/>
      </c>
      <c r="N183" s="9">
        <f>IF(A183="","",IFERROR((J183-K183)/J183,0))</f>
        <v/>
      </c>
      <c r="O183" s="4">
        <f>IF(A183="","",IF(M183&lt;=0,"Drop",IF(AND(L183&gt;0,N183&gt;=0.6),"Profit product",IF(N183&gt;=0.5,"Traffic product","Thin - rework"))))</f>
        <v/>
      </c>
      <c r="P183" s="7" t="n"/>
      <c r="Q183" s="7" t="n"/>
      <c r="R183" s="7" t="n"/>
      <c r="S183" s="8">
        <f>IF(A183="","",P183+Q183+R183)</f>
        <v/>
      </c>
      <c r="T183" s="7" t="n"/>
      <c r="U183" s="4">
        <f>IF(A183="","",IF(T183=0,"Set a cap",IF(S183&gt;T183,"Over cap - three batches lock too much cash; shrink the batch","OK")))</f>
        <v/>
      </c>
    </row>
    <row r="184">
      <c r="E184" s="4">
        <f>IF(A184="","",IF(D184=0,"",IF(D184&gt;2,"Stale - likely saturated","Fresh")))</f>
        <v/>
      </c>
      <c r="I184" s="7" t="n"/>
      <c r="J184" s="7" t="n"/>
      <c r="K184" s="7" t="n"/>
      <c r="L184" s="8">
        <f>IF(A184="","",I184-J184)</f>
        <v/>
      </c>
      <c r="M184" s="8">
        <f>IF(A184="","",J184-K184)</f>
        <v/>
      </c>
      <c r="N184" s="9">
        <f>IF(A184="","",IFERROR((J184-K184)/J184,0))</f>
        <v/>
      </c>
      <c r="O184" s="4">
        <f>IF(A184="","",IF(M184&lt;=0,"Drop",IF(AND(L184&gt;0,N184&gt;=0.6),"Profit product",IF(N184&gt;=0.5,"Traffic product","Thin - rework"))))</f>
        <v/>
      </c>
      <c r="P184" s="7" t="n"/>
      <c r="Q184" s="7" t="n"/>
      <c r="R184" s="7" t="n"/>
      <c r="S184" s="8">
        <f>IF(A184="","",P184+Q184+R184)</f>
        <v/>
      </c>
      <c r="T184" s="7" t="n"/>
      <c r="U184" s="4">
        <f>IF(A184="","",IF(T184=0,"Set a cap",IF(S184&gt;T184,"Over cap - three batches lock too much cash; shrink the batch","OK")))</f>
        <v/>
      </c>
    </row>
    <row r="185">
      <c r="E185" s="4">
        <f>IF(A185="","",IF(D185=0,"",IF(D185&gt;2,"Stale - likely saturated","Fresh")))</f>
        <v/>
      </c>
      <c r="I185" s="7" t="n"/>
      <c r="J185" s="7" t="n"/>
      <c r="K185" s="7" t="n"/>
      <c r="L185" s="8">
        <f>IF(A185="","",I185-J185)</f>
        <v/>
      </c>
      <c r="M185" s="8">
        <f>IF(A185="","",J185-K185)</f>
        <v/>
      </c>
      <c r="N185" s="9">
        <f>IF(A185="","",IFERROR((J185-K185)/J185,0))</f>
        <v/>
      </c>
      <c r="O185" s="4">
        <f>IF(A185="","",IF(M185&lt;=0,"Drop",IF(AND(L185&gt;0,N185&gt;=0.6),"Profit product",IF(N185&gt;=0.5,"Traffic product","Thin - rework"))))</f>
        <v/>
      </c>
      <c r="P185" s="7" t="n"/>
      <c r="Q185" s="7" t="n"/>
      <c r="R185" s="7" t="n"/>
      <c r="S185" s="8">
        <f>IF(A185="","",P185+Q185+R185)</f>
        <v/>
      </c>
      <c r="T185" s="7" t="n"/>
      <c r="U185" s="4">
        <f>IF(A185="","",IF(T185=0,"Set a cap",IF(S185&gt;T185,"Over cap - three batches lock too much cash; shrink the batch","OK")))</f>
        <v/>
      </c>
    </row>
    <row r="186">
      <c r="E186" s="4">
        <f>IF(A186="","",IF(D186=0,"",IF(D186&gt;2,"Stale - likely saturated","Fresh")))</f>
        <v/>
      </c>
      <c r="I186" s="7" t="n"/>
      <c r="J186" s="7" t="n"/>
      <c r="K186" s="7" t="n"/>
      <c r="L186" s="8">
        <f>IF(A186="","",I186-J186)</f>
        <v/>
      </c>
      <c r="M186" s="8">
        <f>IF(A186="","",J186-K186)</f>
        <v/>
      </c>
      <c r="N186" s="9">
        <f>IF(A186="","",IFERROR((J186-K186)/J186,0))</f>
        <v/>
      </c>
      <c r="O186" s="4">
        <f>IF(A186="","",IF(M186&lt;=0,"Drop",IF(AND(L186&gt;0,N186&gt;=0.6),"Profit product",IF(N186&gt;=0.5,"Traffic product","Thin - rework"))))</f>
        <v/>
      </c>
      <c r="P186" s="7" t="n"/>
      <c r="Q186" s="7" t="n"/>
      <c r="R186" s="7" t="n"/>
      <c r="S186" s="8">
        <f>IF(A186="","",P186+Q186+R186)</f>
        <v/>
      </c>
      <c r="T186" s="7" t="n"/>
      <c r="U186" s="4">
        <f>IF(A186="","",IF(T186=0,"Set a cap",IF(S186&gt;T186,"Over cap - three batches lock too much cash; shrink the batch","OK")))</f>
        <v/>
      </c>
    </row>
    <row r="187">
      <c r="E187" s="4">
        <f>IF(A187="","",IF(D187=0,"",IF(D187&gt;2,"Stale - likely saturated","Fresh")))</f>
        <v/>
      </c>
      <c r="I187" s="7" t="n"/>
      <c r="J187" s="7" t="n"/>
      <c r="K187" s="7" t="n"/>
      <c r="L187" s="8">
        <f>IF(A187="","",I187-J187)</f>
        <v/>
      </c>
      <c r="M187" s="8">
        <f>IF(A187="","",J187-K187)</f>
        <v/>
      </c>
      <c r="N187" s="9">
        <f>IF(A187="","",IFERROR((J187-K187)/J187,0))</f>
        <v/>
      </c>
      <c r="O187" s="4">
        <f>IF(A187="","",IF(M187&lt;=0,"Drop",IF(AND(L187&gt;0,N187&gt;=0.6),"Profit product",IF(N187&gt;=0.5,"Traffic product","Thin - rework"))))</f>
        <v/>
      </c>
      <c r="P187" s="7" t="n"/>
      <c r="Q187" s="7" t="n"/>
      <c r="R187" s="7" t="n"/>
      <c r="S187" s="8">
        <f>IF(A187="","",P187+Q187+R187)</f>
        <v/>
      </c>
      <c r="T187" s="7" t="n"/>
      <c r="U187" s="4">
        <f>IF(A187="","",IF(T187=0,"Set a cap",IF(S187&gt;T187,"Over cap - three batches lock too much cash; shrink the batch","OK")))</f>
        <v/>
      </c>
    </row>
    <row r="188">
      <c r="E188" s="4">
        <f>IF(A188="","",IF(D188=0,"",IF(D188&gt;2,"Stale - likely saturated","Fresh")))</f>
        <v/>
      </c>
      <c r="I188" s="7" t="n"/>
      <c r="J188" s="7" t="n"/>
      <c r="K188" s="7" t="n"/>
      <c r="L188" s="8">
        <f>IF(A188="","",I188-J188)</f>
        <v/>
      </c>
      <c r="M188" s="8">
        <f>IF(A188="","",J188-K188)</f>
        <v/>
      </c>
      <c r="N188" s="9">
        <f>IF(A188="","",IFERROR((J188-K188)/J188,0))</f>
        <v/>
      </c>
      <c r="O188" s="4">
        <f>IF(A188="","",IF(M188&lt;=0,"Drop",IF(AND(L188&gt;0,N188&gt;=0.6),"Profit product",IF(N188&gt;=0.5,"Traffic product","Thin - rework"))))</f>
        <v/>
      </c>
      <c r="P188" s="7" t="n"/>
      <c r="Q188" s="7" t="n"/>
      <c r="R188" s="7" t="n"/>
      <c r="S188" s="8">
        <f>IF(A188="","",P188+Q188+R188)</f>
        <v/>
      </c>
      <c r="T188" s="7" t="n"/>
      <c r="U188" s="4">
        <f>IF(A188="","",IF(T188=0,"Set a cap",IF(S188&gt;T188,"Over cap - three batches lock too much cash; shrink the batch","OK")))</f>
        <v/>
      </c>
    </row>
    <row r="189">
      <c r="E189" s="4">
        <f>IF(A189="","",IF(D189=0,"",IF(D189&gt;2,"Stale - likely saturated","Fresh")))</f>
        <v/>
      </c>
      <c r="I189" s="7" t="n"/>
      <c r="J189" s="7" t="n"/>
      <c r="K189" s="7" t="n"/>
      <c r="L189" s="8">
        <f>IF(A189="","",I189-J189)</f>
        <v/>
      </c>
      <c r="M189" s="8">
        <f>IF(A189="","",J189-K189)</f>
        <v/>
      </c>
      <c r="N189" s="9">
        <f>IF(A189="","",IFERROR((J189-K189)/J189,0))</f>
        <v/>
      </c>
      <c r="O189" s="4">
        <f>IF(A189="","",IF(M189&lt;=0,"Drop",IF(AND(L189&gt;0,N189&gt;=0.6),"Profit product",IF(N189&gt;=0.5,"Traffic product","Thin - rework"))))</f>
        <v/>
      </c>
      <c r="P189" s="7" t="n"/>
      <c r="Q189" s="7" t="n"/>
      <c r="R189" s="7" t="n"/>
      <c r="S189" s="8">
        <f>IF(A189="","",P189+Q189+R189)</f>
        <v/>
      </c>
      <c r="T189" s="7" t="n"/>
      <c r="U189" s="4">
        <f>IF(A189="","",IF(T189=0,"Set a cap",IF(S189&gt;T189,"Over cap - three batches lock too much cash; shrink the batch","OK")))</f>
        <v/>
      </c>
    </row>
    <row r="190">
      <c r="E190" s="4">
        <f>IF(A190="","",IF(D190=0,"",IF(D190&gt;2,"Stale - likely saturated","Fresh")))</f>
        <v/>
      </c>
      <c r="I190" s="7" t="n"/>
      <c r="J190" s="7" t="n"/>
      <c r="K190" s="7" t="n"/>
      <c r="L190" s="8">
        <f>IF(A190="","",I190-J190)</f>
        <v/>
      </c>
      <c r="M190" s="8">
        <f>IF(A190="","",J190-K190)</f>
        <v/>
      </c>
      <c r="N190" s="9">
        <f>IF(A190="","",IFERROR((J190-K190)/J190,0))</f>
        <v/>
      </c>
      <c r="O190" s="4">
        <f>IF(A190="","",IF(M190&lt;=0,"Drop",IF(AND(L190&gt;0,N190&gt;=0.6),"Profit product",IF(N190&gt;=0.5,"Traffic product","Thin - rework"))))</f>
        <v/>
      </c>
      <c r="P190" s="7" t="n"/>
      <c r="Q190" s="7" t="n"/>
      <c r="R190" s="7" t="n"/>
      <c r="S190" s="8">
        <f>IF(A190="","",P190+Q190+R190)</f>
        <v/>
      </c>
      <c r="T190" s="7" t="n"/>
      <c r="U190" s="4">
        <f>IF(A190="","",IF(T190=0,"Set a cap",IF(S190&gt;T190,"Over cap - three batches lock too much cash; shrink the batch","OK")))</f>
        <v/>
      </c>
    </row>
    <row r="191">
      <c r="E191" s="4">
        <f>IF(A191="","",IF(D191=0,"",IF(D191&gt;2,"Stale - likely saturated","Fresh")))</f>
        <v/>
      </c>
      <c r="I191" s="7" t="n"/>
      <c r="J191" s="7" t="n"/>
      <c r="K191" s="7" t="n"/>
      <c r="L191" s="8">
        <f>IF(A191="","",I191-J191)</f>
        <v/>
      </c>
      <c r="M191" s="8">
        <f>IF(A191="","",J191-K191)</f>
        <v/>
      </c>
      <c r="N191" s="9">
        <f>IF(A191="","",IFERROR((J191-K191)/J191,0))</f>
        <v/>
      </c>
      <c r="O191" s="4">
        <f>IF(A191="","",IF(M191&lt;=0,"Drop",IF(AND(L191&gt;0,N191&gt;=0.6),"Profit product",IF(N191&gt;=0.5,"Traffic product","Thin - rework"))))</f>
        <v/>
      </c>
      <c r="P191" s="7" t="n"/>
      <c r="Q191" s="7" t="n"/>
      <c r="R191" s="7" t="n"/>
      <c r="S191" s="8">
        <f>IF(A191="","",P191+Q191+R191)</f>
        <v/>
      </c>
      <c r="T191" s="7" t="n"/>
      <c r="U191" s="4">
        <f>IF(A191="","",IF(T191=0,"Set a cap",IF(S191&gt;T191,"Over cap - three batches lock too much cash; shrink the batch","OK")))</f>
        <v/>
      </c>
    </row>
    <row r="192">
      <c r="E192" s="4">
        <f>IF(A192="","",IF(D192=0,"",IF(D192&gt;2,"Stale - likely saturated","Fresh")))</f>
        <v/>
      </c>
      <c r="I192" s="7" t="n"/>
      <c r="J192" s="7" t="n"/>
      <c r="K192" s="7" t="n"/>
      <c r="L192" s="8">
        <f>IF(A192="","",I192-J192)</f>
        <v/>
      </c>
      <c r="M192" s="8">
        <f>IF(A192="","",J192-K192)</f>
        <v/>
      </c>
      <c r="N192" s="9">
        <f>IF(A192="","",IFERROR((J192-K192)/J192,0))</f>
        <v/>
      </c>
      <c r="O192" s="4">
        <f>IF(A192="","",IF(M192&lt;=0,"Drop",IF(AND(L192&gt;0,N192&gt;=0.6),"Profit product",IF(N192&gt;=0.5,"Traffic product","Thin - rework"))))</f>
        <v/>
      </c>
      <c r="P192" s="7" t="n"/>
      <c r="Q192" s="7" t="n"/>
      <c r="R192" s="7" t="n"/>
      <c r="S192" s="8">
        <f>IF(A192="","",P192+Q192+R192)</f>
        <v/>
      </c>
      <c r="T192" s="7" t="n"/>
      <c r="U192" s="4">
        <f>IF(A192="","",IF(T192=0,"Set a cap",IF(S192&gt;T192,"Over cap - three batches lock too much cash; shrink the batch","OK")))</f>
        <v/>
      </c>
    </row>
    <row r="193">
      <c r="E193" s="4">
        <f>IF(A193="","",IF(D193=0,"",IF(D193&gt;2,"Stale - likely saturated","Fresh")))</f>
        <v/>
      </c>
      <c r="I193" s="7" t="n"/>
      <c r="J193" s="7" t="n"/>
      <c r="K193" s="7" t="n"/>
      <c r="L193" s="8">
        <f>IF(A193="","",I193-J193)</f>
        <v/>
      </c>
      <c r="M193" s="8">
        <f>IF(A193="","",J193-K193)</f>
        <v/>
      </c>
      <c r="N193" s="9">
        <f>IF(A193="","",IFERROR((J193-K193)/J193,0))</f>
        <v/>
      </c>
      <c r="O193" s="4">
        <f>IF(A193="","",IF(M193&lt;=0,"Drop",IF(AND(L193&gt;0,N193&gt;=0.6),"Profit product",IF(N193&gt;=0.5,"Traffic product","Thin - rework"))))</f>
        <v/>
      </c>
      <c r="P193" s="7" t="n"/>
      <c r="Q193" s="7" t="n"/>
      <c r="R193" s="7" t="n"/>
      <c r="S193" s="8">
        <f>IF(A193="","",P193+Q193+R193)</f>
        <v/>
      </c>
      <c r="T193" s="7" t="n"/>
      <c r="U193" s="4">
        <f>IF(A193="","",IF(T193=0,"Set a cap",IF(S193&gt;T193,"Over cap - three batches lock too much cash; shrink the batch","OK")))</f>
        <v/>
      </c>
    </row>
    <row r="194">
      <c r="E194" s="4">
        <f>IF(A194="","",IF(D194=0,"",IF(D194&gt;2,"Stale - likely saturated","Fresh")))</f>
        <v/>
      </c>
      <c r="I194" s="7" t="n"/>
      <c r="J194" s="7" t="n"/>
      <c r="K194" s="7" t="n"/>
      <c r="L194" s="8">
        <f>IF(A194="","",I194-J194)</f>
        <v/>
      </c>
      <c r="M194" s="8">
        <f>IF(A194="","",J194-K194)</f>
        <v/>
      </c>
      <c r="N194" s="9">
        <f>IF(A194="","",IFERROR((J194-K194)/J194,0))</f>
        <v/>
      </c>
      <c r="O194" s="4">
        <f>IF(A194="","",IF(M194&lt;=0,"Drop",IF(AND(L194&gt;0,N194&gt;=0.6),"Profit product",IF(N194&gt;=0.5,"Traffic product","Thin - rework"))))</f>
        <v/>
      </c>
      <c r="P194" s="7" t="n"/>
      <c r="Q194" s="7" t="n"/>
      <c r="R194" s="7" t="n"/>
      <c r="S194" s="8">
        <f>IF(A194="","",P194+Q194+R194)</f>
        <v/>
      </c>
      <c r="T194" s="7" t="n"/>
      <c r="U194" s="4">
        <f>IF(A194="","",IF(T194=0,"Set a cap",IF(S194&gt;T194,"Over cap - three batches lock too much cash; shrink the batch","OK")))</f>
        <v/>
      </c>
    </row>
    <row r="195">
      <c r="E195" s="4">
        <f>IF(A195="","",IF(D195=0,"",IF(D195&gt;2,"Stale - likely saturated","Fresh")))</f>
        <v/>
      </c>
      <c r="I195" s="7" t="n"/>
      <c r="J195" s="7" t="n"/>
      <c r="K195" s="7" t="n"/>
      <c r="L195" s="8">
        <f>IF(A195="","",I195-J195)</f>
        <v/>
      </c>
      <c r="M195" s="8">
        <f>IF(A195="","",J195-K195)</f>
        <v/>
      </c>
      <c r="N195" s="9">
        <f>IF(A195="","",IFERROR((J195-K195)/J195,0))</f>
        <v/>
      </c>
      <c r="O195" s="4">
        <f>IF(A195="","",IF(M195&lt;=0,"Drop",IF(AND(L195&gt;0,N195&gt;=0.6),"Profit product",IF(N195&gt;=0.5,"Traffic product","Thin - rework"))))</f>
        <v/>
      </c>
      <c r="P195" s="7" t="n"/>
      <c r="Q195" s="7" t="n"/>
      <c r="R195" s="7" t="n"/>
      <c r="S195" s="8">
        <f>IF(A195="","",P195+Q195+R195)</f>
        <v/>
      </c>
      <c r="T195" s="7" t="n"/>
      <c r="U195" s="4">
        <f>IF(A195="","",IF(T195=0,"Set a cap",IF(S195&gt;T195,"Over cap - three batches lock too much cash; shrink the batch","OK")))</f>
        <v/>
      </c>
    </row>
    <row r="196">
      <c r="E196" s="4">
        <f>IF(A196="","",IF(D196=0,"",IF(D196&gt;2,"Stale - likely saturated","Fresh")))</f>
        <v/>
      </c>
      <c r="I196" s="7" t="n"/>
      <c r="J196" s="7" t="n"/>
      <c r="K196" s="7" t="n"/>
      <c r="L196" s="8">
        <f>IF(A196="","",I196-J196)</f>
        <v/>
      </c>
      <c r="M196" s="8">
        <f>IF(A196="","",J196-K196)</f>
        <v/>
      </c>
      <c r="N196" s="9">
        <f>IF(A196="","",IFERROR((J196-K196)/J196,0))</f>
        <v/>
      </c>
      <c r="O196" s="4">
        <f>IF(A196="","",IF(M196&lt;=0,"Drop",IF(AND(L196&gt;0,N196&gt;=0.6),"Profit product",IF(N196&gt;=0.5,"Traffic product","Thin - rework"))))</f>
        <v/>
      </c>
      <c r="P196" s="7" t="n"/>
      <c r="Q196" s="7" t="n"/>
      <c r="R196" s="7" t="n"/>
      <c r="S196" s="8">
        <f>IF(A196="","",P196+Q196+R196)</f>
        <v/>
      </c>
      <c r="T196" s="7" t="n"/>
      <c r="U196" s="4">
        <f>IF(A196="","",IF(T196=0,"Set a cap",IF(S196&gt;T196,"Over cap - three batches lock too much cash; shrink the batch","OK")))</f>
        <v/>
      </c>
    </row>
    <row r="197">
      <c r="E197" s="4">
        <f>IF(A197="","",IF(D197=0,"",IF(D197&gt;2,"Stale - likely saturated","Fresh")))</f>
        <v/>
      </c>
      <c r="I197" s="7" t="n"/>
      <c r="J197" s="7" t="n"/>
      <c r="K197" s="7" t="n"/>
      <c r="L197" s="8">
        <f>IF(A197="","",I197-J197)</f>
        <v/>
      </c>
      <c r="M197" s="8">
        <f>IF(A197="","",J197-K197)</f>
        <v/>
      </c>
      <c r="N197" s="9">
        <f>IF(A197="","",IFERROR((J197-K197)/J197,0))</f>
        <v/>
      </c>
      <c r="O197" s="4">
        <f>IF(A197="","",IF(M197&lt;=0,"Drop",IF(AND(L197&gt;0,N197&gt;=0.6),"Profit product",IF(N197&gt;=0.5,"Traffic product","Thin - rework"))))</f>
        <v/>
      </c>
      <c r="P197" s="7" t="n"/>
      <c r="Q197" s="7" t="n"/>
      <c r="R197" s="7" t="n"/>
      <c r="S197" s="8">
        <f>IF(A197="","",P197+Q197+R197)</f>
        <v/>
      </c>
      <c r="T197" s="7" t="n"/>
      <c r="U197" s="4">
        <f>IF(A197="","",IF(T197=0,"Set a cap",IF(S197&gt;T197,"Over cap - three batches lock too much cash; shrink the batch","OK")))</f>
        <v/>
      </c>
    </row>
    <row r="198">
      <c r="E198" s="4">
        <f>IF(A198="","",IF(D198=0,"",IF(D198&gt;2,"Stale - likely saturated","Fresh")))</f>
        <v/>
      </c>
      <c r="I198" s="7" t="n"/>
      <c r="J198" s="7" t="n"/>
      <c r="K198" s="7" t="n"/>
      <c r="L198" s="8">
        <f>IF(A198="","",I198-J198)</f>
        <v/>
      </c>
      <c r="M198" s="8">
        <f>IF(A198="","",J198-K198)</f>
        <v/>
      </c>
      <c r="N198" s="9">
        <f>IF(A198="","",IFERROR((J198-K198)/J198,0))</f>
        <v/>
      </c>
      <c r="O198" s="4">
        <f>IF(A198="","",IF(M198&lt;=0,"Drop",IF(AND(L198&gt;0,N198&gt;=0.6),"Profit product",IF(N198&gt;=0.5,"Traffic product","Thin - rework"))))</f>
        <v/>
      </c>
      <c r="P198" s="7" t="n"/>
      <c r="Q198" s="7" t="n"/>
      <c r="R198" s="7" t="n"/>
      <c r="S198" s="8">
        <f>IF(A198="","",P198+Q198+R198)</f>
        <v/>
      </c>
      <c r="T198" s="7" t="n"/>
      <c r="U198" s="4">
        <f>IF(A198="","",IF(T198=0,"Set a cap",IF(S198&gt;T198,"Over cap - three batches lock too much cash; shrink the batch","OK")))</f>
        <v/>
      </c>
    </row>
    <row r="199">
      <c r="E199" s="4">
        <f>IF(A199="","",IF(D199=0,"",IF(D199&gt;2,"Stale - likely saturated","Fresh")))</f>
        <v/>
      </c>
      <c r="I199" s="7" t="n"/>
      <c r="J199" s="7" t="n"/>
      <c r="K199" s="7" t="n"/>
      <c r="L199" s="8">
        <f>IF(A199="","",I199-J199)</f>
        <v/>
      </c>
      <c r="M199" s="8">
        <f>IF(A199="","",J199-K199)</f>
        <v/>
      </c>
      <c r="N199" s="9">
        <f>IF(A199="","",IFERROR((J199-K199)/J199,0))</f>
        <v/>
      </c>
      <c r="O199" s="4">
        <f>IF(A199="","",IF(M199&lt;=0,"Drop",IF(AND(L199&gt;0,N199&gt;=0.6),"Profit product",IF(N199&gt;=0.5,"Traffic product","Thin - rework"))))</f>
        <v/>
      </c>
      <c r="P199" s="7" t="n"/>
      <c r="Q199" s="7" t="n"/>
      <c r="R199" s="7" t="n"/>
      <c r="S199" s="8">
        <f>IF(A199="","",P199+Q199+R199)</f>
        <v/>
      </c>
      <c r="T199" s="7" t="n"/>
      <c r="U199" s="4">
        <f>IF(A199="","",IF(T199=0,"Set a cap",IF(S199&gt;T199,"Over cap - three batches lock too much cash; shrink the batch","OK")))</f>
        <v/>
      </c>
    </row>
    <row r="200">
      <c r="E200" s="4">
        <f>IF(A200="","",IF(D200=0,"",IF(D200&gt;2,"Stale - likely saturated","Fresh")))</f>
        <v/>
      </c>
      <c r="I200" s="7" t="n"/>
      <c r="J200" s="7" t="n"/>
      <c r="K200" s="7" t="n"/>
      <c r="L200" s="8">
        <f>IF(A200="","",I200-J200)</f>
        <v/>
      </c>
      <c r="M200" s="8">
        <f>IF(A200="","",J200-K200)</f>
        <v/>
      </c>
      <c r="N200" s="9">
        <f>IF(A200="","",IFERROR((J200-K200)/J200,0))</f>
        <v/>
      </c>
      <c r="O200" s="4">
        <f>IF(A200="","",IF(M200&lt;=0,"Drop",IF(AND(L200&gt;0,N200&gt;=0.6),"Profit product",IF(N200&gt;=0.5,"Traffic product","Thin - rework"))))</f>
        <v/>
      </c>
      <c r="P200" s="7" t="n"/>
      <c r="Q200" s="7" t="n"/>
      <c r="R200" s="7" t="n"/>
      <c r="S200" s="8">
        <f>IF(A200="","",P200+Q200+R200)</f>
        <v/>
      </c>
      <c r="T200" s="7" t="n"/>
      <c r="U200" s="4">
        <f>IF(A200="","",IF(T200=0,"Set a cap",IF(S200&gt;T200,"Over cap - three batches lock too much cash; shrink the batch","OK")))</f>
        <v/>
      </c>
    </row>
    <row r="201">
      <c r="E201" s="4">
        <f>IF(A201="","",IF(D201=0,"",IF(D201&gt;2,"Stale - likely saturated","Fresh")))</f>
        <v/>
      </c>
      <c r="I201" s="7" t="n"/>
      <c r="J201" s="7" t="n"/>
      <c r="K201" s="7" t="n"/>
      <c r="L201" s="8">
        <f>IF(A201="","",I201-J201)</f>
        <v/>
      </c>
      <c r="M201" s="8">
        <f>IF(A201="","",J201-K201)</f>
        <v/>
      </c>
      <c r="N201" s="9">
        <f>IF(A201="","",IFERROR((J201-K201)/J201,0))</f>
        <v/>
      </c>
      <c r="O201" s="4">
        <f>IF(A201="","",IF(M201&lt;=0,"Drop",IF(AND(L201&gt;0,N201&gt;=0.6),"Profit product",IF(N201&gt;=0.5,"Traffic product","Thin - rework"))))</f>
        <v/>
      </c>
      <c r="P201" s="7" t="n"/>
      <c r="Q201" s="7" t="n"/>
      <c r="R201" s="7" t="n"/>
      <c r="S201" s="8">
        <f>IF(A201="","",P201+Q201+R201)</f>
        <v/>
      </c>
      <c r="T201" s="7" t="n"/>
      <c r="U201" s="4">
        <f>IF(A201="","",IF(T201=0,"Set a cap",IF(S201&gt;T201,"Over cap - three batches lock too much cash; shrink the batch","OK")))</f>
        <v/>
      </c>
    </row>
    <row r="203">
      <c r="A203" s="5">
        <f>COUNTA(A2:A201)</f>
        <v/>
      </c>
    </row>
  </sheetData>
  <dataValidations count="1">
    <dataValidation sqref="W2:W201" showDropDown="0" showInputMessage="0" showErrorMessage="0" allowBlank="1" type="list">
      <formula1>"Test,Hold,Drop,Scale"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15.71428571428571" customWidth="1" min="15" max="15"/>
    <col width="15.71428571428571" customWidth="1" min="16" max="16"/>
    <col width="15.71428571428571" customWidth="1" min="17" max="17"/>
    <col width="15.71428571428571" customWidth="1" min="18" max="18"/>
    <col width="15.71428571428571" customWidth="1" min="19" max="19"/>
    <col width="15.71428571428571" customWidth="1" min="20" max="20"/>
    <col width="15.71428571428571" customWidth="1" min="21" max="21"/>
    <col width="15.71428571428571" customWidth="1" min="22" max="22"/>
  </cols>
  <sheetData>
    <row r="1" ht="48" customHeight="1">
      <c r="A1" s="1" t="inlineStr">
        <is>
          <t>Offer</t>
        </is>
      </c>
      <c r="B1" s="1" t="inlineStr">
        <is>
          <t>Price ($)</t>
        </is>
      </c>
      <c r="C1" s="1" t="inlineStr">
        <is>
          <t>Unit cost ($)</t>
        </is>
      </c>
      <c r="D1" s="1" t="inlineStr">
        <is>
          <t>Logistics: first + last mile ($)</t>
        </is>
      </c>
      <c r="E1" s="1" t="inlineStr">
        <is>
          <t>Warehousing / storage per unit ($)</t>
        </is>
      </c>
      <c r="F1" s="1" t="inlineStr">
        <is>
          <t>Payout / transaction fee % (CC: 6%)</t>
        </is>
      </c>
      <c r="G1" s="1" t="inlineStr">
        <is>
          <t>Payout fee fixed per order ($, CC: 0.30)</t>
        </is>
      </c>
      <c r="H1" s="1" t="inlineStr">
        <is>
          <t>Other platform fees % (referral etc.; 0 if already in the payout fee)</t>
        </is>
      </c>
      <c r="I1" s="1" t="inlineStr">
        <is>
          <t>Refund reserve % (CC: 5%)</t>
        </is>
      </c>
      <c r="J1" s="1" t="inlineStr">
        <is>
          <t>Creator commission + ads % (CC: 30%)</t>
        </is>
      </c>
      <c r="K1" s="1" t="inlineStr">
        <is>
          <t>Exchange rate to home currency (optional)</t>
        </is>
      </c>
      <c r="L1" s="2" t="inlineStr">
        <is>
          <t>Payout fee ($) ƒ</t>
        </is>
      </c>
      <c r="M1" s="2" t="inlineStr">
        <is>
          <t>Landed cost share (cost+logistics+warehousing)/price ƒ</t>
        </is>
      </c>
      <c r="N1" s="2" t="inlineStr">
        <is>
          <t>Platform fee share (payout fee/price + other) ƒ</t>
        </is>
      </c>
      <c r="O1" s="2" t="inlineStr">
        <is>
          <t>Fixed-cost share ƒ</t>
        </is>
      </c>
      <c r="P1" s="2" t="inlineStr">
        <is>
          <t>Gross margin % (max room for creators+ads) ƒ</t>
        </is>
      </c>
      <c r="Q1" s="2" t="inlineStr">
        <is>
          <t>Contribution before creators+ads ($) ƒ</t>
        </is>
      </c>
      <c r="R1" s="2" t="inlineStr">
        <is>
          <t>Company margin % ƒ</t>
        </is>
      </c>
      <c r="S1" s="2" t="inlineStr">
        <is>
          <t>Company margin ($) ƒ</t>
        </is>
      </c>
      <c r="T1" s="2" t="inlineStr">
        <is>
          <t>Company margin in home currency ƒ</t>
        </is>
      </c>
      <c r="U1" s="2" t="inlineStr">
        <is>
          <t>Break-even ad ROAS (1 ÷ gross margin) ƒ</t>
        </is>
      </c>
      <c r="V1" s="2" t="inlineStr">
        <is>
          <t>Verdict (60% cut-off = aiOS default) ƒ</t>
        </is>
      </c>
    </row>
    <row r="2">
      <c r="A2" t="inlineStr">
        <is>
          <t>CC's worked example (lecture slide; unit cost ≈$3.572 shows as $3.57)</t>
        </is>
      </c>
      <c r="B2" s="7" t="n">
        <v>29.99</v>
      </c>
      <c r="C2" s="7" t="n">
        <v>3.5718</v>
      </c>
      <c r="D2" s="7" t="n">
        <v>6</v>
      </c>
      <c r="E2" s="7" t="n">
        <v>0</v>
      </c>
      <c r="F2" s="10" t="n">
        <v>0.06</v>
      </c>
      <c r="G2" s="7" t="n">
        <v>0.3</v>
      </c>
      <c r="H2" s="10" t="n">
        <v>0</v>
      </c>
      <c r="I2" s="10" t="n">
        <v>0.05</v>
      </c>
      <c r="J2" s="10" t="n">
        <v>0.3</v>
      </c>
      <c r="K2" s="6" t="n">
        <v>7</v>
      </c>
      <c r="L2" s="8">
        <f>IF(A2="","",B2*F2+G2)</f>
        <v/>
      </c>
      <c r="M2" s="9">
        <f>IF(A2="","",IFERROR((C2+D2+E2)/B2,0))</f>
        <v/>
      </c>
      <c r="N2" s="9">
        <f>IF(A2="","",IFERROR(L2/B2,0)+H2)</f>
        <v/>
      </c>
      <c r="O2" s="9">
        <f>IF(A2="","",M2+N2)</f>
        <v/>
      </c>
      <c r="P2" s="9">
        <f>IF(A2="","",IF(B2&gt;0,1-O2-I2,0))</f>
        <v/>
      </c>
      <c r="Q2" s="8">
        <f>IF(A2="","",B2*P2)</f>
        <v/>
      </c>
      <c r="R2" s="9">
        <f>IF(A2="","",IF(B2&gt;0,P2-J2,0))</f>
        <v/>
      </c>
      <c r="S2" s="8">
        <f>IF(A2="","",B2*R2)</f>
        <v/>
      </c>
      <c r="T2" s="11">
        <f>IF(A2="","",IF(K2&gt;0,S2*K2,""))</f>
        <v/>
      </c>
      <c r="U2" s="11">
        <f>IF(A2="","",IFERROR(B2/Q2,0))</f>
        <v/>
      </c>
      <c r="V2" s="4">
        <f>IF(A2="","",IF(OR(S2&lt;=0,Q2&lt;=0),"Drop",IF(P2&gt;=0.6,"Profit product",IF(P2&gt;=0.5,"Traffic product","Thin - rework"))))</f>
        <v/>
      </c>
    </row>
    <row r="3">
      <c r="A3" t="inlineStr">
        <is>
          <t>Example: your offer</t>
        </is>
      </c>
      <c r="B3" s="7" t="n">
        <v>49.99</v>
      </c>
      <c r="C3" s="7" t="n">
        <v>8</v>
      </c>
      <c r="D3" s="7" t="n">
        <v>5</v>
      </c>
      <c r="E3" s="7" t="n">
        <v>1</v>
      </c>
      <c r="F3" s="10" t="n">
        <v>0.06</v>
      </c>
      <c r="G3" s="7" t="n">
        <v>0.3</v>
      </c>
      <c r="H3" s="10" t="n">
        <v>0.02</v>
      </c>
      <c r="I3" s="10" t="n">
        <v>0.05</v>
      </c>
      <c r="J3" s="10" t="n">
        <v>0.3</v>
      </c>
      <c r="K3" s="6" t="n"/>
      <c r="L3" s="8">
        <f>IF(A3="","",B3*F3+G3)</f>
        <v/>
      </c>
      <c r="M3" s="9">
        <f>IF(A3="","",IFERROR((C3+D3+E3)/B3,0))</f>
        <v/>
      </c>
      <c r="N3" s="9">
        <f>IF(A3="","",IFERROR(L3/B3,0)+H3)</f>
        <v/>
      </c>
      <c r="O3" s="9">
        <f>IF(A3="","",M3+N3)</f>
        <v/>
      </c>
      <c r="P3" s="9">
        <f>IF(A3="","",IF(B3&gt;0,1-O3-I3,0))</f>
        <v/>
      </c>
      <c r="Q3" s="8">
        <f>IF(A3="","",B3*P3)</f>
        <v/>
      </c>
      <c r="R3" s="9">
        <f>IF(A3="","",IF(B3&gt;0,P3-J3,0))</f>
        <v/>
      </c>
      <c r="S3" s="8">
        <f>IF(A3="","",B3*R3)</f>
        <v/>
      </c>
      <c r="T3" s="11">
        <f>IF(A3="","",IF(K3&gt;0,S3*K3,""))</f>
        <v/>
      </c>
      <c r="U3" s="11">
        <f>IF(A3="","",IFERROR(B3/Q3,0))</f>
        <v/>
      </c>
      <c r="V3" s="4">
        <f>IF(A3="","",IF(OR(S3&lt;=0,Q3&lt;=0),"Drop",IF(P3&gt;=0.6,"Profit product",IF(P3&gt;=0.5,"Traffic product","Thin - rework"))))</f>
        <v/>
      </c>
    </row>
    <row r="4">
      <c r="B4" s="7" t="n"/>
      <c r="C4" s="7" t="n"/>
      <c r="D4" s="7" t="n"/>
      <c r="E4" s="7" t="n"/>
      <c r="F4" s="10" t="n"/>
      <c r="G4" s="7" t="n"/>
      <c r="H4" s="10" t="n"/>
      <c r="I4" s="10" t="n"/>
      <c r="J4" s="10" t="n"/>
      <c r="K4" s="6" t="n"/>
      <c r="L4" s="8">
        <f>IF(A4="","",B4*F4+G4)</f>
        <v/>
      </c>
      <c r="M4" s="9">
        <f>IF(A4="","",IFERROR((C4+D4+E4)/B4,0))</f>
        <v/>
      </c>
      <c r="N4" s="9">
        <f>IF(A4="","",IFERROR(L4/B4,0)+H4)</f>
        <v/>
      </c>
      <c r="O4" s="9">
        <f>IF(A4="","",M4+N4)</f>
        <v/>
      </c>
      <c r="P4" s="9">
        <f>IF(A4="","",IF(B4&gt;0,1-O4-I4,0))</f>
        <v/>
      </c>
      <c r="Q4" s="8">
        <f>IF(A4="","",B4*P4)</f>
        <v/>
      </c>
      <c r="R4" s="9">
        <f>IF(A4="","",IF(B4&gt;0,P4-J4,0))</f>
        <v/>
      </c>
      <c r="S4" s="8">
        <f>IF(A4="","",B4*R4)</f>
        <v/>
      </c>
      <c r="T4" s="11">
        <f>IF(A4="","",IF(K4&gt;0,S4*K4,""))</f>
        <v/>
      </c>
      <c r="U4" s="11">
        <f>IF(A4="","",IFERROR(B4/Q4,0))</f>
        <v/>
      </c>
      <c r="V4" s="4">
        <f>IF(A4="","",IF(OR(S4&lt;=0,Q4&lt;=0),"Drop",IF(P4&gt;=0.6,"Profit product",IF(P4&gt;=0.5,"Traffic product","Thin - rework"))))</f>
        <v/>
      </c>
    </row>
    <row r="5">
      <c r="B5" s="7" t="n"/>
      <c r="C5" s="7" t="n"/>
      <c r="D5" s="7" t="n"/>
      <c r="E5" s="7" t="n"/>
      <c r="F5" s="10" t="n"/>
      <c r="G5" s="7" t="n"/>
      <c r="H5" s="10" t="n"/>
      <c r="I5" s="10" t="n"/>
      <c r="J5" s="10" t="n"/>
      <c r="K5" s="6" t="n"/>
      <c r="L5" s="8">
        <f>IF(A5="","",B5*F5+G5)</f>
        <v/>
      </c>
      <c r="M5" s="9">
        <f>IF(A5="","",IFERROR((C5+D5+E5)/B5,0))</f>
        <v/>
      </c>
      <c r="N5" s="9">
        <f>IF(A5="","",IFERROR(L5/B5,0)+H5)</f>
        <v/>
      </c>
      <c r="O5" s="9">
        <f>IF(A5="","",M5+N5)</f>
        <v/>
      </c>
      <c r="P5" s="9">
        <f>IF(A5="","",IF(B5&gt;0,1-O5-I5,0))</f>
        <v/>
      </c>
      <c r="Q5" s="8">
        <f>IF(A5="","",B5*P5)</f>
        <v/>
      </c>
      <c r="R5" s="9">
        <f>IF(A5="","",IF(B5&gt;0,P5-J5,0))</f>
        <v/>
      </c>
      <c r="S5" s="8">
        <f>IF(A5="","",B5*R5)</f>
        <v/>
      </c>
      <c r="T5" s="11">
        <f>IF(A5="","",IF(K5&gt;0,S5*K5,""))</f>
        <v/>
      </c>
      <c r="U5" s="11">
        <f>IF(A5="","",IFERROR(B5/Q5,0))</f>
        <v/>
      </c>
      <c r="V5" s="4">
        <f>IF(A5="","",IF(OR(S5&lt;=0,Q5&lt;=0),"Drop",IF(P5&gt;=0.6,"Profit product",IF(P5&gt;=0.5,"Traffic product","Thin - rework"))))</f>
        <v/>
      </c>
    </row>
    <row r="6">
      <c r="B6" s="7" t="n"/>
      <c r="C6" s="7" t="n"/>
      <c r="D6" s="7" t="n"/>
      <c r="E6" s="7" t="n"/>
      <c r="F6" s="10" t="n"/>
      <c r="G6" s="7" t="n"/>
      <c r="H6" s="10" t="n"/>
      <c r="I6" s="10" t="n"/>
      <c r="J6" s="10" t="n"/>
      <c r="K6" s="6" t="n"/>
      <c r="L6" s="8">
        <f>IF(A6="","",B6*F6+G6)</f>
        <v/>
      </c>
      <c r="M6" s="9">
        <f>IF(A6="","",IFERROR((C6+D6+E6)/B6,0))</f>
        <v/>
      </c>
      <c r="N6" s="9">
        <f>IF(A6="","",IFERROR(L6/B6,0)+H6)</f>
        <v/>
      </c>
      <c r="O6" s="9">
        <f>IF(A6="","",M6+N6)</f>
        <v/>
      </c>
      <c r="P6" s="9">
        <f>IF(A6="","",IF(B6&gt;0,1-O6-I6,0))</f>
        <v/>
      </c>
      <c r="Q6" s="8">
        <f>IF(A6="","",B6*P6)</f>
        <v/>
      </c>
      <c r="R6" s="9">
        <f>IF(A6="","",IF(B6&gt;0,P6-J6,0))</f>
        <v/>
      </c>
      <c r="S6" s="8">
        <f>IF(A6="","",B6*R6)</f>
        <v/>
      </c>
      <c r="T6" s="11">
        <f>IF(A6="","",IF(K6&gt;0,S6*K6,""))</f>
        <v/>
      </c>
      <c r="U6" s="11">
        <f>IF(A6="","",IFERROR(B6/Q6,0))</f>
        <v/>
      </c>
      <c r="V6" s="4">
        <f>IF(A6="","",IF(OR(S6&lt;=0,Q6&lt;=0),"Drop",IF(P6&gt;=0.6,"Profit product",IF(P6&gt;=0.5,"Traffic product","Thin - rework"))))</f>
        <v/>
      </c>
    </row>
    <row r="7">
      <c r="B7" s="7" t="n"/>
      <c r="C7" s="7" t="n"/>
      <c r="D7" s="7" t="n"/>
      <c r="E7" s="7" t="n"/>
      <c r="F7" s="10" t="n"/>
      <c r="G7" s="7" t="n"/>
      <c r="H7" s="10" t="n"/>
      <c r="I7" s="10" t="n"/>
      <c r="J7" s="10" t="n"/>
      <c r="K7" s="6" t="n"/>
      <c r="L7" s="8">
        <f>IF(A7="","",B7*F7+G7)</f>
        <v/>
      </c>
      <c r="M7" s="9">
        <f>IF(A7="","",IFERROR((C7+D7+E7)/B7,0))</f>
        <v/>
      </c>
      <c r="N7" s="9">
        <f>IF(A7="","",IFERROR(L7/B7,0)+H7)</f>
        <v/>
      </c>
      <c r="O7" s="9">
        <f>IF(A7="","",M7+N7)</f>
        <v/>
      </c>
      <c r="P7" s="9">
        <f>IF(A7="","",IF(B7&gt;0,1-O7-I7,0))</f>
        <v/>
      </c>
      <c r="Q7" s="8">
        <f>IF(A7="","",B7*P7)</f>
        <v/>
      </c>
      <c r="R7" s="9">
        <f>IF(A7="","",IF(B7&gt;0,P7-J7,0))</f>
        <v/>
      </c>
      <c r="S7" s="8">
        <f>IF(A7="","",B7*R7)</f>
        <v/>
      </c>
      <c r="T7" s="11">
        <f>IF(A7="","",IF(K7&gt;0,S7*K7,""))</f>
        <v/>
      </c>
      <c r="U7" s="11">
        <f>IF(A7="","",IFERROR(B7/Q7,0))</f>
        <v/>
      </c>
      <c r="V7" s="4">
        <f>IF(A7="","",IF(OR(S7&lt;=0,Q7&lt;=0),"Drop",IF(P7&gt;=0.6,"Profit product",IF(P7&gt;=0.5,"Traffic product","Thin - rework"))))</f>
        <v/>
      </c>
    </row>
    <row r="8">
      <c r="B8" s="7" t="n"/>
      <c r="C8" s="7" t="n"/>
      <c r="D8" s="7" t="n"/>
      <c r="E8" s="7" t="n"/>
      <c r="F8" s="10" t="n"/>
      <c r="G8" s="7" t="n"/>
      <c r="H8" s="10" t="n"/>
      <c r="I8" s="10" t="n"/>
      <c r="J8" s="10" t="n"/>
      <c r="K8" s="6" t="n"/>
      <c r="L8" s="8">
        <f>IF(A8="","",B8*F8+G8)</f>
        <v/>
      </c>
      <c r="M8" s="9">
        <f>IF(A8="","",IFERROR((C8+D8+E8)/B8,0))</f>
        <v/>
      </c>
      <c r="N8" s="9">
        <f>IF(A8="","",IFERROR(L8/B8,0)+H8)</f>
        <v/>
      </c>
      <c r="O8" s="9">
        <f>IF(A8="","",M8+N8)</f>
        <v/>
      </c>
      <c r="P8" s="9">
        <f>IF(A8="","",IF(B8&gt;0,1-O8-I8,0))</f>
        <v/>
      </c>
      <c r="Q8" s="8">
        <f>IF(A8="","",B8*P8)</f>
        <v/>
      </c>
      <c r="R8" s="9">
        <f>IF(A8="","",IF(B8&gt;0,P8-J8,0))</f>
        <v/>
      </c>
      <c r="S8" s="8">
        <f>IF(A8="","",B8*R8)</f>
        <v/>
      </c>
      <c r="T8" s="11">
        <f>IF(A8="","",IF(K8&gt;0,S8*K8,""))</f>
        <v/>
      </c>
      <c r="U8" s="11">
        <f>IF(A8="","",IFERROR(B8/Q8,0))</f>
        <v/>
      </c>
      <c r="V8" s="4">
        <f>IF(A8="","",IF(OR(S8&lt;=0,Q8&lt;=0),"Drop",IF(P8&gt;=0.6,"Profit product",IF(P8&gt;=0.5,"Traffic product","Thin - rework"))))</f>
        <v/>
      </c>
    </row>
    <row r="9">
      <c r="B9" s="7" t="n"/>
      <c r="C9" s="7" t="n"/>
      <c r="D9" s="7" t="n"/>
      <c r="E9" s="7" t="n"/>
      <c r="F9" s="10" t="n"/>
      <c r="G9" s="7" t="n"/>
      <c r="H9" s="10" t="n"/>
      <c r="I9" s="10" t="n"/>
      <c r="J9" s="10" t="n"/>
      <c r="K9" s="6" t="n"/>
      <c r="L9" s="8">
        <f>IF(A9="","",B9*F9+G9)</f>
        <v/>
      </c>
      <c r="M9" s="9">
        <f>IF(A9="","",IFERROR((C9+D9+E9)/B9,0))</f>
        <v/>
      </c>
      <c r="N9" s="9">
        <f>IF(A9="","",IFERROR(L9/B9,0)+H9)</f>
        <v/>
      </c>
      <c r="O9" s="9">
        <f>IF(A9="","",M9+N9)</f>
        <v/>
      </c>
      <c r="P9" s="9">
        <f>IF(A9="","",IF(B9&gt;0,1-O9-I9,0))</f>
        <v/>
      </c>
      <c r="Q9" s="8">
        <f>IF(A9="","",B9*P9)</f>
        <v/>
      </c>
      <c r="R9" s="9">
        <f>IF(A9="","",IF(B9&gt;0,P9-J9,0))</f>
        <v/>
      </c>
      <c r="S9" s="8">
        <f>IF(A9="","",B9*R9)</f>
        <v/>
      </c>
      <c r="T9" s="11">
        <f>IF(A9="","",IF(K9&gt;0,S9*K9,""))</f>
        <v/>
      </c>
      <c r="U9" s="11">
        <f>IF(A9="","",IFERROR(B9/Q9,0))</f>
        <v/>
      </c>
      <c r="V9" s="4">
        <f>IF(A9="","",IF(OR(S9&lt;=0,Q9&lt;=0),"Drop",IF(P9&gt;=0.6,"Profit product",IF(P9&gt;=0.5,"Traffic product","Thin - rework"))))</f>
        <v/>
      </c>
    </row>
    <row r="10">
      <c r="B10" s="7" t="n"/>
      <c r="C10" s="7" t="n"/>
      <c r="D10" s="7" t="n"/>
      <c r="E10" s="7" t="n"/>
      <c r="F10" s="10" t="n"/>
      <c r="G10" s="7" t="n"/>
      <c r="H10" s="10" t="n"/>
      <c r="I10" s="10" t="n"/>
      <c r="J10" s="10" t="n"/>
      <c r="K10" s="6" t="n"/>
      <c r="L10" s="8">
        <f>IF(A10="","",B10*F10+G10)</f>
        <v/>
      </c>
      <c r="M10" s="9">
        <f>IF(A10="","",IFERROR((C10+D10+E10)/B10,0))</f>
        <v/>
      </c>
      <c r="N10" s="9">
        <f>IF(A10="","",IFERROR(L10/B10,0)+H10)</f>
        <v/>
      </c>
      <c r="O10" s="9">
        <f>IF(A10="","",M10+N10)</f>
        <v/>
      </c>
      <c r="P10" s="9">
        <f>IF(A10="","",IF(B10&gt;0,1-O10-I10,0))</f>
        <v/>
      </c>
      <c r="Q10" s="8">
        <f>IF(A10="","",B10*P10)</f>
        <v/>
      </c>
      <c r="R10" s="9">
        <f>IF(A10="","",IF(B10&gt;0,P10-J10,0))</f>
        <v/>
      </c>
      <c r="S10" s="8">
        <f>IF(A10="","",B10*R10)</f>
        <v/>
      </c>
      <c r="T10" s="11">
        <f>IF(A10="","",IF(K10&gt;0,S10*K10,""))</f>
        <v/>
      </c>
      <c r="U10" s="11">
        <f>IF(A10="","",IFERROR(B10/Q10,0))</f>
        <v/>
      </c>
      <c r="V10" s="4">
        <f>IF(A10="","",IF(OR(S10&lt;=0,Q10&lt;=0),"Drop",IF(P10&gt;=0.6,"Profit product",IF(P10&gt;=0.5,"Traffic product","Thin - rework"))))</f>
        <v/>
      </c>
    </row>
    <row r="11">
      <c r="B11" s="7" t="n"/>
      <c r="C11" s="7" t="n"/>
      <c r="D11" s="7" t="n"/>
      <c r="E11" s="7" t="n"/>
      <c r="F11" s="10" t="n"/>
      <c r="G11" s="7" t="n"/>
      <c r="H11" s="10" t="n"/>
      <c r="I11" s="10" t="n"/>
      <c r="J11" s="10" t="n"/>
      <c r="K11" s="6" t="n"/>
      <c r="L11" s="8">
        <f>IF(A11="","",B11*F11+G11)</f>
        <v/>
      </c>
      <c r="M11" s="9">
        <f>IF(A11="","",IFERROR((C11+D11+E11)/B11,0))</f>
        <v/>
      </c>
      <c r="N11" s="9">
        <f>IF(A11="","",IFERROR(L11/B11,0)+H11)</f>
        <v/>
      </c>
      <c r="O11" s="9">
        <f>IF(A11="","",M11+N11)</f>
        <v/>
      </c>
      <c r="P11" s="9">
        <f>IF(A11="","",IF(B11&gt;0,1-O11-I11,0))</f>
        <v/>
      </c>
      <c r="Q11" s="8">
        <f>IF(A11="","",B11*P11)</f>
        <v/>
      </c>
      <c r="R11" s="9">
        <f>IF(A11="","",IF(B11&gt;0,P11-J11,0))</f>
        <v/>
      </c>
      <c r="S11" s="8">
        <f>IF(A11="","",B11*R11)</f>
        <v/>
      </c>
      <c r="T11" s="11">
        <f>IF(A11="","",IF(K11&gt;0,S11*K11,""))</f>
        <v/>
      </c>
      <c r="U11" s="11">
        <f>IF(A11="","",IFERROR(B11/Q11,0))</f>
        <v/>
      </c>
      <c r="V11" s="4">
        <f>IF(A11="","",IF(OR(S11&lt;=0,Q11&lt;=0),"Drop",IF(P11&gt;=0.6,"Profit product",IF(P11&gt;=0.5,"Traffic product","Thin - rework"))))</f>
        <v/>
      </c>
    </row>
    <row r="12">
      <c r="B12" s="7" t="n"/>
      <c r="C12" s="7" t="n"/>
      <c r="D12" s="7" t="n"/>
      <c r="E12" s="7" t="n"/>
      <c r="F12" s="10" t="n"/>
      <c r="G12" s="7" t="n"/>
      <c r="H12" s="10" t="n"/>
      <c r="I12" s="10" t="n"/>
      <c r="J12" s="10" t="n"/>
      <c r="K12" s="6" t="n"/>
      <c r="L12" s="8">
        <f>IF(A12="","",B12*F12+G12)</f>
        <v/>
      </c>
      <c r="M12" s="9">
        <f>IF(A12="","",IFERROR((C12+D12+E12)/B12,0))</f>
        <v/>
      </c>
      <c r="N12" s="9">
        <f>IF(A12="","",IFERROR(L12/B12,0)+H12)</f>
        <v/>
      </c>
      <c r="O12" s="9">
        <f>IF(A12="","",M12+N12)</f>
        <v/>
      </c>
      <c r="P12" s="9">
        <f>IF(A12="","",IF(B12&gt;0,1-O12-I12,0))</f>
        <v/>
      </c>
      <c r="Q12" s="8">
        <f>IF(A12="","",B12*P12)</f>
        <v/>
      </c>
      <c r="R12" s="9">
        <f>IF(A12="","",IF(B12&gt;0,P12-J12,0))</f>
        <v/>
      </c>
      <c r="S12" s="8">
        <f>IF(A12="","",B12*R12)</f>
        <v/>
      </c>
      <c r="T12" s="11">
        <f>IF(A12="","",IF(K12&gt;0,S12*K12,""))</f>
        <v/>
      </c>
      <c r="U12" s="11">
        <f>IF(A12="","",IFERROR(B12/Q12,0))</f>
        <v/>
      </c>
      <c r="V12" s="4">
        <f>IF(A12="","",IF(OR(S12&lt;=0,Q12&lt;=0),"Drop",IF(P12&gt;=0.6,"Profit product",IF(P12&gt;=0.5,"Traffic product","Thin - rework"))))</f>
        <v/>
      </c>
    </row>
    <row r="13">
      <c r="B13" s="7" t="n"/>
      <c r="C13" s="7" t="n"/>
      <c r="D13" s="7" t="n"/>
      <c r="E13" s="7" t="n"/>
      <c r="F13" s="10" t="n"/>
      <c r="G13" s="7" t="n"/>
      <c r="H13" s="10" t="n"/>
      <c r="I13" s="10" t="n"/>
      <c r="J13" s="10" t="n"/>
      <c r="K13" s="6" t="n"/>
      <c r="L13" s="8">
        <f>IF(A13="","",B13*F13+G13)</f>
        <v/>
      </c>
      <c r="M13" s="9">
        <f>IF(A13="","",IFERROR((C13+D13+E13)/B13,0))</f>
        <v/>
      </c>
      <c r="N13" s="9">
        <f>IF(A13="","",IFERROR(L13/B13,0)+H13)</f>
        <v/>
      </c>
      <c r="O13" s="9">
        <f>IF(A13="","",M13+N13)</f>
        <v/>
      </c>
      <c r="P13" s="9">
        <f>IF(A13="","",IF(B13&gt;0,1-O13-I13,0))</f>
        <v/>
      </c>
      <c r="Q13" s="8">
        <f>IF(A13="","",B13*P13)</f>
        <v/>
      </c>
      <c r="R13" s="9">
        <f>IF(A13="","",IF(B13&gt;0,P13-J13,0))</f>
        <v/>
      </c>
      <c r="S13" s="8">
        <f>IF(A13="","",B13*R13)</f>
        <v/>
      </c>
      <c r="T13" s="11">
        <f>IF(A13="","",IF(K13&gt;0,S13*K13,""))</f>
        <v/>
      </c>
      <c r="U13" s="11">
        <f>IF(A13="","",IFERROR(B13/Q13,0))</f>
        <v/>
      </c>
      <c r="V13" s="4">
        <f>IF(A13="","",IF(OR(S13&lt;=0,Q13&lt;=0),"Drop",IF(P13&gt;=0.6,"Profit product",IF(P13&gt;=0.5,"Traffic product","Thin - rework"))))</f>
        <v/>
      </c>
    </row>
    <row r="14">
      <c r="B14" s="7" t="n"/>
      <c r="C14" s="7" t="n"/>
      <c r="D14" s="7" t="n"/>
      <c r="E14" s="7" t="n"/>
      <c r="F14" s="10" t="n"/>
      <c r="G14" s="7" t="n"/>
      <c r="H14" s="10" t="n"/>
      <c r="I14" s="10" t="n"/>
      <c r="J14" s="10" t="n"/>
      <c r="K14" s="6" t="n"/>
      <c r="L14" s="8">
        <f>IF(A14="","",B14*F14+G14)</f>
        <v/>
      </c>
      <c r="M14" s="9">
        <f>IF(A14="","",IFERROR((C14+D14+E14)/B14,0))</f>
        <v/>
      </c>
      <c r="N14" s="9">
        <f>IF(A14="","",IFERROR(L14/B14,0)+H14)</f>
        <v/>
      </c>
      <c r="O14" s="9">
        <f>IF(A14="","",M14+N14)</f>
        <v/>
      </c>
      <c r="P14" s="9">
        <f>IF(A14="","",IF(B14&gt;0,1-O14-I14,0))</f>
        <v/>
      </c>
      <c r="Q14" s="8">
        <f>IF(A14="","",B14*P14)</f>
        <v/>
      </c>
      <c r="R14" s="9">
        <f>IF(A14="","",IF(B14&gt;0,P14-J14,0))</f>
        <v/>
      </c>
      <c r="S14" s="8">
        <f>IF(A14="","",B14*R14)</f>
        <v/>
      </c>
      <c r="T14" s="11">
        <f>IF(A14="","",IF(K14&gt;0,S14*K14,""))</f>
        <v/>
      </c>
      <c r="U14" s="11">
        <f>IF(A14="","",IFERROR(B14/Q14,0))</f>
        <v/>
      </c>
      <c r="V14" s="4">
        <f>IF(A14="","",IF(OR(S14&lt;=0,Q14&lt;=0),"Drop",IF(P14&gt;=0.6,"Profit product",IF(P14&gt;=0.5,"Traffic product","Thin - rework"))))</f>
        <v/>
      </c>
    </row>
    <row r="15">
      <c r="B15" s="7" t="n"/>
      <c r="C15" s="7" t="n"/>
      <c r="D15" s="7" t="n"/>
      <c r="E15" s="7" t="n"/>
      <c r="F15" s="10" t="n"/>
      <c r="G15" s="7" t="n"/>
      <c r="H15" s="10" t="n"/>
      <c r="I15" s="10" t="n"/>
      <c r="J15" s="10" t="n"/>
      <c r="K15" s="6" t="n"/>
      <c r="L15" s="8">
        <f>IF(A15="","",B15*F15+G15)</f>
        <v/>
      </c>
      <c r="M15" s="9">
        <f>IF(A15="","",IFERROR((C15+D15+E15)/B15,0))</f>
        <v/>
      </c>
      <c r="N15" s="9">
        <f>IF(A15="","",IFERROR(L15/B15,0)+H15)</f>
        <v/>
      </c>
      <c r="O15" s="9">
        <f>IF(A15="","",M15+N15)</f>
        <v/>
      </c>
      <c r="P15" s="9">
        <f>IF(A15="","",IF(B15&gt;0,1-O15-I15,0))</f>
        <v/>
      </c>
      <c r="Q15" s="8">
        <f>IF(A15="","",B15*P15)</f>
        <v/>
      </c>
      <c r="R15" s="9">
        <f>IF(A15="","",IF(B15&gt;0,P15-J15,0))</f>
        <v/>
      </c>
      <c r="S15" s="8">
        <f>IF(A15="","",B15*R15)</f>
        <v/>
      </c>
      <c r="T15" s="11">
        <f>IF(A15="","",IF(K15&gt;0,S15*K15,""))</f>
        <v/>
      </c>
      <c r="U15" s="11">
        <f>IF(A15="","",IFERROR(B15/Q15,0))</f>
        <v/>
      </c>
      <c r="V15" s="4">
        <f>IF(A15="","",IF(OR(S15&lt;=0,Q15&lt;=0),"Drop",IF(P15&gt;=0.6,"Profit product",IF(P15&gt;=0.5,"Traffic product","Thin - rework"))))</f>
        <v/>
      </c>
    </row>
    <row r="16">
      <c r="B16" s="7" t="n"/>
      <c r="C16" s="7" t="n"/>
      <c r="D16" s="7" t="n"/>
      <c r="E16" s="7" t="n"/>
      <c r="F16" s="10" t="n"/>
      <c r="G16" s="7" t="n"/>
      <c r="H16" s="10" t="n"/>
      <c r="I16" s="10" t="n"/>
      <c r="J16" s="10" t="n"/>
      <c r="K16" s="6" t="n"/>
      <c r="L16" s="8">
        <f>IF(A16="","",B16*F16+G16)</f>
        <v/>
      </c>
      <c r="M16" s="9">
        <f>IF(A16="","",IFERROR((C16+D16+E16)/B16,0))</f>
        <v/>
      </c>
      <c r="N16" s="9">
        <f>IF(A16="","",IFERROR(L16/B16,0)+H16)</f>
        <v/>
      </c>
      <c r="O16" s="9">
        <f>IF(A16="","",M16+N16)</f>
        <v/>
      </c>
      <c r="P16" s="9">
        <f>IF(A16="","",IF(B16&gt;0,1-O16-I16,0))</f>
        <v/>
      </c>
      <c r="Q16" s="8">
        <f>IF(A16="","",B16*P16)</f>
        <v/>
      </c>
      <c r="R16" s="9">
        <f>IF(A16="","",IF(B16&gt;0,P16-J16,0))</f>
        <v/>
      </c>
      <c r="S16" s="8">
        <f>IF(A16="","",B16*R16)</f>
        <v/>
      </c>
      <c r="T16" s="11">
        <f>IF(A16="","",IF(K16&gt;0,S16*K16,""))</f>
        <v/>
      </c>
      <c r="U16" s="11">
        <f>IF(A16="","",IFERROR(B16/Q16,0))</f>
        <v/>
      </c>
      <c r="V16" s="4">
        <f>IF(A16="","",IF(OR(S16&lt;=0,Q16&lt;=0),"Drop",IF(P16&gt;=0.6,"Profit product",IF(P16&gt;=0.5,"Traffic product","Thin - rework"))))</f>
        <v/>
      </c>
    </row>
    <row r="17">
      <c r="B17" s="7" t="n"/>
      <c r="C17" s="7" t="n"/>
      <c r="D17" s="7" t="n"/>
      <c r="E17" s="7" t="n"/>
      <c r="F17" s="10" t="n"/>
      <c r="G17" s="7" t="n"/>
      <c r="H17" s="10" t="n"/>
      <c r="I17" s="10" t="n"/>
      <c r="J17" s="10" t="n"/>
      <c r="K17" s="6" t="n"/>
      <c r="L17" s="8">
        <f>IF(A17="","",B17*F17+G17)</f>
        <v/>
      </c>
      <c r="M17" s="9">
        <f>IF(A17="","",IFERROR((C17+D17+E17)/B17,0))</f>
        <v/>
      </c>
      <c r="N17" s="9">
        <f>IF(A17="","",IFERROR(L17/B17,0)+H17)</f>
        <v/>
      </c>
      <c r="O17" s="9">
        <f>IF(A17="","",M17+N17)</f>
        <v/>
      </c>
      <c r="P17" s="9">
        <f>IF(A17="","",IF(B17&gt;0,1-O17-I17,0))</f>
        <v/>
      </c>
      <c r="Q17" s="8">
        <f>IF(A17="","",B17*P17)</f>
        <v/>
      </c>
      <c r="R17" s="9">
        <f>IF(A17="","",IF(B17&gt;0,P17-J17,0))</f>
        <v/>
      </c>
      <c r="S17" s="8">
        <f>IF(A17="","",B17*R17)</f>
        <v/>
      </c>
      <c r="T17" s="11">
        <f>IF(A17="","",IF(K17&gt;0,S17*K17,""))</f>
        <v/>
      </c>
      <c r="U17" s="11">
        <f>IF(A17="","",IFERROR(B17/Q17,0))</f>
        <v/>
      </c>
      <c r="V17" s="4">
        <f>IF(A17="","",IF(OR(S17&lt;=0,Q17&lt;=0),"Drop",IF(P17&gt;=0.6,"Profit product",IF(P17&gt;=0.5,"Traffic product","Thin - rework"))))</f>
        <v/>
      </c>
    </row>
    <row r="18">
      <c r="B18" s="7" t="n"/>
      <c r="C18" s="7" t="n"/>
      <c r="D18" s="7" t="n"/>
      <c r="E18" s="7" t="n"/>
      <c r="F18" s="10" t="n"/>
      <c r="G18" s="7" t="n"/>
      <c r="H18" s="10" t="n"/>
      <c r="I18" s="10" t="n"/>
      <c r="J18" s="10" t="n"/>
      <c r="K18" s="6" t="n"/>
      <c r="L18" s="8">
        <f>IF(A18="","",B18*F18+G18)</f>
        <v/>
      </c>
      <c r="M18" s="9">
        <f>IF(A18="","",IFERROR((C18+D18+E18)/B18,0))</f>
        <v/>
      </c>
      <c r="N18" s="9">
        <f>IF(A18="","",IFERROR(L18/B18,0)+H18)</f>
        <v/>
      </c>
      <c r="O18" s="9">
        <f>IF(A18="","",M18+N18)</f>
        <v/>
      </c>
      <c r="P18" s="9">
        <f>IF(A18="","",IF(B18&gt;0,1-O18-I18,0))</f>
        <v/>
      </c>
      <c r="Q18" s="8">
        <f>IF(A18="","",B18*P18)</f>
        <v/>
      </c>
      <c r="R18" s="9">
        <f>IF(A18="","",IF(B18&gt;0,P18-J18,0))</f>
        <v/>
      </c>
      <c r="S18" s="8">
        <f>IF(A18="","",B18*R18)</f>
        <v/>
      </c>
      <c r="T18" s="11">
        <f>IF(A18="","",IF(K18&gt;0,S18*K18,""))</f>
        <v/>
      </c>
      <c r="U18" s="11">
        <f>IF(A18="","",IFERROR(B18/Q18,0))</f>
        <v/>
      </c>
      <c r="V18" s="4">
        <f>IF(A18="","",IF(OR(S18&lt;=0,Q18&lt;=0),"Drop",IF(P18&gt;=0.6,"Profit product",IF(P18&gt;=0.5,"Traffic product","Thin - rework"))))</f>
        <v/>
      </c>
    </row>
    <row r="19">
      <c r="B19" s="7" t="n"/>
      <c r="C19" s="7" t="n"/>
      <c r="D19" s="7" t="n"/>
      <c r="E19" s="7" t="n"/>
      <c r="F19" s="10" t="n"/>
      <c r="G19" s="7" t="n"/>
      <c r="H19" s="10" t="n"/>
      <c r="I19" s="10" t="n"/>
      <c r="J19" s="10" t="n"/>
      <c r="K19" s="6" t="n"/>
      <c r="L19" s="8">
        <f>IF(A19="","",B19*F19+G19)</f>
        <v/>
      </c>
      <c r="M19" s="9">
        <f>IF(A19="","",IFERROR((C19+D19+E19)/B19,0))</f>
        <v/>
      </c>
      <c r="N19" s="9">
        <f>IF(A19="","",IFERROR(L19/B19,0)+H19)</f>
        <v/>
      </c>
      <c r="O19" s="9">
        <f>IF(A19="","",M19+N19)</f>
        <v/>
      </c>
      <c r="P19" s="9">
        <f>IF(A19="","",IF(B19&gt;0,1-O19-I19,0))</f>
        <v/>
      </c>
      <c r="Q19" s="8">
        <f>IF(A19="","",B19*P19)</f>
        <v/>
      </c>
      <c r="R19" s="9">
        <f>IF(A19="","",IF(B19&gt;0,P19-J19,0))</f>
        <v/>
      </c>
      <c r="S19" s="8">
        <f>IF(A19="","",B19*R19)</f>
        <v/>
      </c>
      <c r="T19" s="11">
        <f>IF(A19="","",IF(K19&gt;0,S19*K19,""))</f>
        <v/>
      </c>
      <c r="U19" s="11">
        <f>IF(A19="","",IFERROR(B19/Q19,0))</f>
        <v/>
      </c>
      <c r="V19" s="4">
        <f>IF(A19="","",IF(OR(S19&lt;=0,Q19&lt;=0),"Drop",IF(P19&gt;=0.6,"Profit product",IF(P19&gt;=0.5,"Traffic product","Thin - rework"))))</f>
        <v/>
      </c>
    </row>
    <row r="20">
      <c r="B20" s="7" t="n"/>
      <c r="C20" s="7" t="n"/>
      <c r="D20" s="7" t="n"/>
      <c r="E20" s="7" t="n"/>
      <c r="F20" s="10" t="n"/>
      <c r="G20" s="7" t="n"/>
      <c r="H20" s="10" t="n"/>
      <c r="I20" s="10" t="n"/>
      <c r="J20" s="10" t="n"/>
      <c r="K20" s="6" t="n"/>
      <c r="L20" s="8">
        <f>IF(A20="","",B20*F20+G20)</f>
        <v/>
      </c>
      <c r="M20" s="9">
        <f>IF(A20="","",IFERROR((C20+D20+E20)/B20,0))</f>
        <v/>
      </c>
      <c r="N20" s="9">
        <f>IF(A20="","",IFERROR(L20/B20,0)+H20)</f>
        <v/>
      </c>
      <c r="O20" s="9">
        <f>IF(A20="","",M20+N20)</f>
        <v/>
      </c>
      <c r="P20" s="9">
        <f>IF(A20="","",IF(B20&gt;0,1-O20-I20,0))</f>
        <v/>
      </c>
      <c r="Q20" s="8">
        <f>IF(A20="","",B20*P20)</f>
        <v/>
      </c>
      <c r="R20" s="9">
        <f>IF(A20="","",IF(B20&gt;0,P20-J20,0))</f>
        <v/>
      </c>
      <c r="S20" s="8">
        <f>IF(A20="","",B20*R20)</f>
        <v/>
      </c>
      <c r="T20" s="11">
        <f>IF(A20="","",IF(K20&gt;0,S20*K20,""))</f>
        <v/>
      </c>
      <c r="U20" s="11">
        <f>IF(A20="","",IFERROR(B20/Q20,0))</f>
        <v/>
      </c>
      <c r="V20" s="4">
        <f>IF(A20="","",IF(OR(S20&lt;=0,Q20&lt;=0),"Drop",IF(P20&gt;=0.6,"Profit product",IF(P20&gt;=0.5,"Traffic product","Thin - rework"))))</f>
        <v/>
      </c>
    </row>
    <row r="21">
      <c r="B21" s="7" t="n"/>
      <c r="C21" s="7" t="n"/>
      <c r="D21" s="7" t="n"/>
      <c r="E21" s="7" t="n"/>
      <c r="F21" s="10" t="n"/>
      <c r="G21" s="7" t="n"/>
      <c r="H21" s="10" t="n"/>
      <c r="I21" s="10" t="n"/>
      <c r="J21" s="10" t="n"/>
      <c r="K21" s="6" t="n"/>
      <c r="L21" s="8">
        <f>IF(A21="","",B21*F21+G21)</f>
        <v/>
      </c>
      <c r="M21" s="9">
        <f>IF(A21="","",IFERROR((C21+D21+E21)/B21,0))</f>
        <v/>
      </c>
      <c r="N21" s="9">
        <f>IF(A21="","",IFERROR(L21/B21,0)+H21)</f>
        <v/>
      </c>
      <c r="O21" s="9">
        <f>IF(A21="","",M21+N21)</f>
        <v/>
      </c>
      <c r="P21" s="9">
        <f>IF(A21="","",IF(B21&gt;0,1-O21-I21,0))</f>
        <v/>
      </c>
      <c r="Q21" s="8">
        <f>IF(A21="","",B21*P21)</f>
        <v/>
      </c>
      <c r="R21" s="9">
        <f>IF(A21="","",IF(B21&gt;0,P21-J21,0))</f>
        <v/>
      </c>
      <c r="S21" s="8">
        <f>IF(A21="","",B21*R21)</f>
        <v/>
      </c>
      <c r="T21" s="11">
        <f>IF(A21="","",IF(K21&gt;0,S21*K21,""))</f>
        <v/>
      </c>
      <c r="U21" s="11">
        <f>IF(A21="","",IFERROR(B21/Q21,0))</f>
        <v/>
      </c>
      <c r="V21" s="4">
        <f>IF(A21="","",IF(OR(S21&lt;=0,Q21&lt;=0),"Drop",IF(P21&gt;=0.6,"Profit product",IF(P21&gt;=0.5,"Traffic product","Thin - rework"))))</f>
        <v/>
      </c>
    </row>
    <row r="22">
      <c r="B22" s="7" t="n"/>
      <c r="C22" s="7" t="n"/>
      <c r="D22" s="7" t="n"/>
      <c r="E22" s="7" t="n"/>
      <c r="F22" s="10" t="n"/>
      <c r="G22" s="7" t="n"/>
      <c r="H22" s="10" t="n"/>
      <c r="I22" s="10" t="n"/>
      <c r="J22" s="10" t="n"/>
      <c r="K22" s="6" t="n"/>
      <c r="L22" s="8">
        <f>IF(A22="","",B22*F22+G22)</f>
        <v/>
      </c>
      <c r="M22" s="9">
        <f>IF(A22="","",IFERROR((C22+D22+E22)/B22,0))</f>
        <v/>
      </c>
      <c r="N22" s="9">
        <f>IF(A22="","",IFERROR(L22/B22,0)+H22)</f>
        <v/>
      </c>
      <c r="O22" s="9">
        <f>IF(A22="","",M22+N22)</f>
        <v/>
      </c>
      <c r="P22" s="9">
        <f>IF(A22="","",IF(B22&gt;0,1-O22-I22,0))</f>
        <v/>
      </c>
      <c r="Q22" s="8">
        <f>IF(A22="","",B22*P22)</f>
        <v/>
      </c>
      <c r="R22" s="9">
        <f>IF(A22="","",IF(B22&gt;0,P22-J22,0))</f>
        <v/>
      </c>
      <c r="S22" s="8">
        <f>IF(A22="","",B22*R22)</f>
        <v/>
      </c>
      <c r="T22" s="11">
        <f>IF(A22="","",IF(K22&gt;0,S22*K22,""))</f>
        <v/>
      </c>
      <c r="U22" s="11">
        <f>IF(A22="","",IFERROR(B22/Q22,0))</f>
        <v/>
      </c>
      <c r="V22" s="4">
        <f>IF(A22="","",IF(OR(S22&lt;=0,Q22&lt;=0),"Drop",IF(P22&gt;=0.6,"Profit product",IF(P22&gt;=0.5,"Traffic product","Thin - rework"))))</f>
        <v/>
      </c>
    </row>
    <row r="23">
      <c r="B23" s="7" t="n"/>
      <c r="C23" s="7" t="n"/>
      <c r="D23" s="7" t="n"/>
      <c r="E23" s="7" t="n"/>
      <c r="F23" s="10" t="n"/>
      <c r="G23" s="7" t="n"/>
      <c r="H23" s="10" t="n"/>
      <c r="I23" s="10" t="n"/>
      <c r="J23" s="10" t="n"/>
      <c r="K23" s="6" t="n"/>
      <c r="L23" s="8">
        <f>IF(A23="","",B23*F23+G23)</f>
        <v/>
      </c>
      <c r="M23" s="9">
        <f>IF(A23="","",IFERROR((C23+D23+E23)/B23,0))</f>
        <v/>
      </c>
      <c r="N23" s="9">
        <f>IF(A23="","",IFERROR(L23/B23,0)+H23)</f>
        <v/>
      </c>
      <c r="O23" s="9">
        <f>IF(A23="","",M23+N23)</f>
        <v/>
      </c>
      <c r="P23" s="9">
        <f>IF(A23="","",IF(B23&gt;0,1-O23-I23,0))</f>
        <v/>
      </c>
      <c r="Q23" s="8">
        <f>IF(A23="","",B23*P23)</f>
        <v/>
      </c>
      <c r="R23" s="9">
        <f>IF(A23="","",IF(B23&gt;0,P23-J23,0))</f>
        <v/>
      </c>
      <c r="S23" s="8">
        <f>IF(A23="","",B23*R23)</f>
        <v/>
      </c>
      <c r="T23" s="11">
        <f>IF(A23="","",IF(K23&gt;0,S23*K23,""))</f>
        <v/>
      </c>
      <c r="U23" s="11">
        <f>IF(A23="","",IFERROR(B23/Q23,0))</f>
        <v/>
      </c>
      <c r="V23" s="4">
        <f>IF(A23="","",IF(OR(S23&lt;=0,Q23&lt;=0),"Drop",IF(P23&gt;=0.6,"Profit product",IF(P23&gt;=0.5,"Traffic product","Thin - rework"))))</f>
        <v/>
      </c>
    </row>
    <row r="24">
      <c r="B24" s="7" t="n"/>
      <c r="C24" s="7" t="n"/>
      <c r="D24" s="7" t="n"/>
      <c r="E24" s="7" t="n"/>
      <c r="F24" s="10" t="n"/>
      <c r="G24" s="7" t="n"/>
      <c r="H24" s="10" t="n"/>
      <c r="I24" s="10" t="n"/>
      <c r="J24" s="10" t="n"/>
      <c r="K24" s="6" t="n"/>
      <c r="L24" s="8">
        <f>IF(A24="","",B24*F24+G24)</f>
        <v/>
      </c>
      <c r="M24" s="9">
        <f>IF(A24="","",IFERROR((C24+D24+E24)/B24,0))</f>
        <v/>
      </c>
      <c r="N24" s="9">
        <f>IF(A24="","",IFERROR(L24/B24,0)+H24)</f>
        <v/>
      </c>
      <c r="O24" s="9">
        <f>IF(A24="","",M24+N24)</f>
        <v/>
      </c>
      <c r="P24" s="9">
        <f>IF(A24="","",IF(B24&gt;0,1-O24-I24,0))</f>
        <v/>
      </c>
      <c r="Q24" s="8">
        <f>IF(A24="","",B24*P24)</f>
        <v/>
      </c>
      <c r="R24" s="9">
        <f>IF(A24="","",IF(B24&gt;0,P24-J24,0))</f>
        <v/>
      </c>
      <c r="S24" s="8">
        <f>IF(A24="","",B24*R24)</f>
        <v/>
      </c>
      <c r="T24" s="11">
        <f>IF(A24="","",IF(K24&gt;0,S24*K24,""))</f>
        <v/>
      </c>
      <c r="U24" s="11">
        <f>IF(A24="","",IFERROR(B24/Q24,0))</f>
        <v/>
      </c>
      <c r="V24" s="4">
        <f>IF(A24="","",IF(OR(S24&lt;=0,Q24&lt;=0),"Drop",IF(P24&gt;=0.6,"Profit product",IF(P24&gt;=0.5,"Traffic product","Thin - rework"))))</f>
        <v/>
      </c>
    </row>
    <row r="25">
      <c r="B25" s="7" t="n"/>
      <c r="C25" s="7" t="n"/>
      <c r="D25" s="7" t="n"/>
      <c r="E25" s="7" t="n"/>
      <c r="F25" s="10" t="n"/>
      <c r="G25" s="7" t="n"/>
      <c r="H25" s="10" t="n"/>
      <c r="I25" s="10" t="n"/>
      <c r="J25" s="10" t="n"/>
      <c r="K25" s="6" t="n"/>
      <c r="L25" s="8">
        <f>IF(A25="","",B25*F25+G25)</f>
        <v/>
      </c>
      <c r="M25" s="9">
        <f>IF(A25="","",IFERROR((C25+D25+E25)/B25,0))</f>
        <v/>
      </c>
      <c r="N25" s="9">
        <f>IF(A25="","",IFERROR(L25/B25,0)+H25)</f>
        <v/>
      </c>
      <c r="O25" s="9">
        <f>IF(A25="","",M25+N25)</f>
        <v/>
      </c>
      <c r="P25" s="9">
        <f>IF(A25="","",IF(B25&gt;0,1-O25-I25,0))</f>
        <v/>
      </c>
      <c r="Q25" s="8">
        <f>IF(A25="","",B25*P25)</f>
        <v/>
      </c>
      <c r="R25" s="9">
        <f>IF(A25="","",IF(B25&gt;0,P25-J25,0))</f>
        <v/>
      </c>
      <c r="S25" s="8">
        <f>IF(A25="","",B25*R25)</f>
        <v/>
      </c>
      <c r="T25" s="11">
        <f>IF(A25="","",IF(K25&gt;0,S25*K25,""))</f>
        <v/>
      </c>
      <c r="U25" s="11">
        <f>IF(A25="","",IFERROR(B25/Q25,0))</f>
        <v/>
      </c>
      <c r="V25" s="4">
        <f>IF(A25="","",IF(OR(S25&lt;=0,Q25&lt;=0),"Drop",IF(P25&gt;=0.6,"Profit product",IF(P25&gt;=0.5,"Traffic product","Thin - rework"))))</f>
        <v/>
      </c>
    </row>
    <row r="26">
      <c r="B26" s="7" t="n"/>
      <c r="C26" s="7" t="n"/>
      <c r="D26" s="7" t="n"/>
      <c r="E26" s="7" t="n"/>
      <c r="F26" s="10" t="n"/>
      <c r="G26" s="7" t="n"/>
      <c r="H26" s="10" t="n"/>
      <c r="I26" s="10" t="n"/>
      <c r="J26" s="10" t="n"/>
      <c r="K26" s="6" t="n"/>
      <c r="L26" s="8">
        <f>IF(A26="","",B26*F26+G26)</f>
        <v/>
      </c>
      <c r="M26" s="9">
        <f>IF(A26="","",IFERROR((C26+D26+E26)/B26,0))</f>
        <v/>
      </c>
      <c r="N26" s="9">
        <f>IF(A26="","",IFERROR(L26/B26,0)+H26)</f>
        <v/>
      </c>
      <c r="O26" s="9">
        <f>IF(A26="","",M26+N26)</f>
        <v/>
      </c>
      <c r="P26" s="9">
        <f>IF(A26="","",IF(B26&gt;0,1-O26-I26,0))</f>
        <v/>
      </c>
      <c r="Q26" s="8">
        <f>IF(A26="","",B26*P26)</f>
        <v/>
      </c>
      <c r="R26" s="9">
        <f>IF(A26="","",IF(B26&gt;0,P26-J26,0))</f>
        <v/>
      </c>
      <c r="S26" s="8">
        <f>IF(A26="","",B26*R26)</f>
        <v/>
      </c>
      <c r="T26" s="11">
        <f>IF(A26="","",IF(K26&gt;0,S26*K26,""))</f>
        <v/>
      </c>
      <c r="U26" s="11">
        <f>IF(A26="","",IFERROR(B26/Q26,0))</f>
        <v/>
      </c>
      <c r="V26" s="4">
        <f>IF(A26="","",IF(OR(S26&lt;=0,Q26&lt;=0),"Drop",IF(P26&gt;=0.6,"Profit product",IF(P26&gt;=0.5,"Traffic product","Thin - rework"))))</f>
        <v/>
      </c>
    </row>
    <row r="27">
      <c r="B27" s="7" t="n"/>
      <c r="C27" s="7" t="n"/>
      <c r="D27" s="7" t="n"/>
      <c r="E27" s="7" t="n"/>
      <c r="F27" s="10" t="n"/>
      <c r="G27" s="7" t="n"/>
      <c r="H27" s="10" t="n"/>
      <c r="I27" s="10" t="n"/>
      <c r="J27" s="10" t="n"/>
      <c r="K27" s="6" t="n"/>
      <c r="L27" s="8">
        <f>IF(A27="","",B27*F27+G27)</f>
        <v/>
      </c>
      <c r="M27" s="9">
        <f>IF(A27="","",IFERROR((C27+D27+E27)/B27,0))</f>
        <v/>
      </c>
      <c r="N27" s="9">
        <f>IF(A27="","",IFERROR(L27/B27,0)+H27)</f>
        <v/>
      </c>
      <c r="O27" s="9">
        <f>IF(A27="","",M27+N27)</f>
        <v/>
      </c>
      <c r="P27" s="9">
        <f>IF(A27="","",IF(B27&gt;0,1-O27-I27,0))</f>
        <v/>
      </c>
      <c r="Q27" s="8">
        <f>IF(A27="","",B27*P27)</f>
        <v/>
      </c>
      <c r="R27" s="9">
        <f>IF(A27="","",IF(B27&gt;0,P27-J27,0))</f>
        <v/>
      </c>
      <c r="S27" s="8">
        <f>IF(A27="","",B27*R27)</f>
        <v/>
      </c>
      <c r="T27" s="11">
        <f>IF(A27="","",IF(K27&gt;0,S27*K27,""))</f>
        <v/>
      </c>
      <c r="U27" s="11">
        <f>IF(A27="","",IFERROR(B27/Q27,0))</f>
        <v/>
      </c>
      <c r="V27" s="4">
        <f>IF(A27="","",IF(OR(S27&lt;=0,Q27&lt;=0),"Drop",IF(P27&gt;=0.6,"Profit product",IF(P27&gt;=0.5,"Traffic product","Thin - rework"))))</f>
        <v/>
      </c>
    </row>
    <row r="28">
      <c r="B28" s="7" t="n"/>
      <c r="C28" s="7" t="n"/>
      <c r="D28" s="7" t="n"/>
      <c r="E28" s="7" t="n"/>
      <c r="F28" s="10" t="n"/>
      <c r="G28" s="7" t="n"/>
      <c r="H28" s="10" t="n"/>
      <c r="I28" s="10" t="n"/>
      <c r="J28" s="10" t="n"/>
      <c r="K28" s="6" t="n"/>
      <c r="L28" s="8">
        <f>IF(A28="","",B28*F28+G28)</f>
        <v/>
      </c>
      <c r="M28" s="9">
        <f>IF(A28="","",IFERROR((C28+D28+E28)/B28,0))</f>
        <v/>
      </c>
      <c r="N28" s="9">
        <f>IF(A28="","",IFERROR(L28/B28,0)+H28)</f>
        <v/>
      </c>
      <c r="O28" s="9">
        <f>IF(A28="","",M28+N28)</f>
        <v/>
      </c>
      <c r="P28" s="9">
        <f>IF(A28="","",IF(B28&gt;0,1-O28-I28,0))</f>
        <v/>
      </c>
      <c r="Q28" s="8">
        <f>IF(A28="","",B28*P28)</f>
        <v/>
      </c>
      <c r="R28" s="9">
        <f>IF(A28="","",IF(B28&gt;0,P28-J28,0))</f>
        <v/>
      </c>
      <c r="S28" s="8">
        <f>IF(A28="","",B28*R28)</f>
        <v/>
      </c>
      <c r="T28" s="11">
        <f>IF(A28="","",IF(K28&gt;0,S28*K28,""))</f>
        <v/>
      </c>
      <c r="U28" s="11">
        <f>IF(A28="","",IFERROR(B28/Q28,0))</f>
        <v/>
      </c>
      <c r="V28" s="4">
        <f>IF(A28="","",IF(OR(S28&lt;=0,Q28&lt;=0),"Drop",IF(P28&gt;=0.6,"Profit product",IF(P28&gt;=0.5,"Traffic product","Thin - rework"))))</f>
        <v/>
      </c>
    </row>
    <row r="29">
      <c r="B29" s="7" t="n"/>
      <c r="C29" s="7" t="n"/>
      <c r="D29" s="7" t="n"/>
      <c r="E29" s="7" t="n"/>
      <c r="F29" s="10" t="n"/>
      <c r="G29" s="7" t="n"/>
      <c r="H29" s="10" t="n"/>
      <c r="I29" s="10" t="n"/>
      <c r="J29" s="10" t="n"/>
      <c r="K29" s="6" t="n"/>
      <c r="L29" s="8">
        <f>IF(A29="","",B29*F29+G29)</f>
        <v/>
      </c>
      <c r="M29" s="9">
        <f>IF(A29="","",IFERROR((C29+D29+E29)/B29,0))</f>
        <v/>
      </c>
      <c r="N29" s="9">
        <f>IF(A29="","",IFERROR(L29/B29,0)+H29)</f>
        <v/>
      </c>
      <c r="O29" s="9">
        <f>IF(A29="","",M29+N29)</f>
        <v/>
      </c>
      <c r="P29" s="9">
        <f>IF(A29="","",IF(B29&gt;0,1-O29-I29,0))</f>
        <v/>
      </c>
      <c r="Q29" s="8">
        <f>IF(A29="","",B29*P29)</f>
        <v/>
      </c>
      <c r="R29" s="9">
        <f>IF(A29="","",IF(B29&gt;0,P29-J29,0))</f>
        <v/>
      </c>
      <c r="S29" s="8">
        <f>IF(A29="","",B29*R29)</f>
        <v/>
      </c>
      <c r="T29" s="11">
        <f>IF(A29="","",IF(K29&gt;0,S29*K29,""))</f>
        <v/>
      </c>
      <c r="U29" s="11">
        <f>IF(A29="","",IFERROR(B29/Q29,0))</f>
        <v/>
      </c>
      <c r="V29" s="4">
        <f>IF(A29="","",IF(OR(S29&lt;=0,Q29&lt;=0),"Drop",IF(P29&gt;=0.6,"Profit product",IF(P29&gt;=0.5,"Traffic product","Thin - rework"))))</f>
        <v/>
      </c>
    </row>
    <row r="30">
      <c r="B30" s="7" t="n"/>
      <c r="C30" s="7" t="n"/>
      <c r="D30" s="7" t="n"/>
      <c r="E30" s="7" t="n"/>
      <c r="F30" s="10" t="n"/>
      <c r="G30" s="7" t="n"/>
      <c r="H30" s="10" t="n"/>
      <c r="I30" s="10" t="n"/>
      <c r="J30" s="10" t="n"/>
      <c r="K30" s="6" t="n"/>
      <c r="L30" s="8">
        <f>IF(A30="","",B30*F30+G30)</f>
        <v/>
      </c>
      <c r="M30" s="9">
        <f>IF(A30="","",IFERROR((C30+D30+E30)/B30,0))</f>
        <v/>
      </c>
      <c r="N30" s="9">
        <f>IF(A30="","",IFERROR(L30/B30,0)+H30)</f>
        <v/>
      </c>
      <c r="O30" s="9">
        <f>IF(A30="","",M30+N30)</f>
        <v/>
      </c>
      <c r="P30" s="9">
        <f>IF(A30="","",IF(B30&gt;0,1-O30-I30,0))</f>
        <v/>
      </c>
      <c r="Q30" s="8">
        <f>IF(A30="","",B30*P30)</f>
        <v/>
      </c>
      <c r="R30" s="9">
        <f>IF(A30="","",IF(B30&gt;0,P30-J30,0))</f>
        <v/>
      </c>
      <c r="S30" s="8">
        <f>IF(A30="","",B30*R30)</f>
        <v/>
      </c>
      <c r="T30" s="11">
        <f>IF(A30="","",IF(K30&gt;0,S30*K30,""))</f>
        <v/>
      </c>
      <c r="U30" s="11">
        <f>IF(A30="","",IFERROR(B30/Q30,0))</f>
        <v/>
      </c>
      <c r="V30" s="4">
        <f>IF(A30="","",IF(OR(S30&lt;=0,Q30&lt;=0),"Drop",IF(P30&gt;=0.6,"Profit product",IF(P30&gt;=0.5,"Traffic product","Thin - rework"))))</f>
        <v/>
      </c>
    </row>
    <row r="31">
      <c r="B31" s="7" t="n"/>
      <c r="C31" s="7" t="n"/>
      <c r="D31" s="7" t="n"/>
      <c r="E31" s="7" t="n"/>
      <c r="F31" s="10" t="n"/>
      <c r="G31" s="7" t="n"/>
      <c r="H31" s="10" t="n"/>
      <c r="I31" s="10" t="n"/>
      <c r="J31" s="10" t="n"/>
      <c r="K31" s="6" t="n"/>
      <c r="L31" s="8">
        <f>IF(A31="","",B31*F31+G31)</f>
        <v/>
      </c>
      <c r="M31" s="9">
        <f>IF(A31="","",IFERROR((C31+D31+E31)/B31,0))</f>
        <v/>
      </c>
      <c r="N31" s="9">
        <f>IF(A31="","",IFERROR(L31/B31,0)+H31)</f>
        <v/>
      </c>
      <c r="O31" s="9">
        <f>IF(A31="","",M31+N31)</f>
        <v/>
      </c>
      <c r="P31" s="9">
        <f>IF(A31="","",IF(B31&gt;0,1-O31-I31,0))</f>
        <v/>
      </c>
      <c r="Q31" s="8">
        <f>IF(A31="","",B31*P31)</f>
        <v/>
      </c>
      <c r="R31" s="9">
        <f>IF(A31="","",IF(B31&gt;0,P31-J31,0))</f>
        <v/>
      </c>
      <c r="S31" s="8">
        <f>IF(A31="","",B31*R31)</f>
        <v/>
      </c>
      <c r="T31" s="11">
        <f>IF(A31="","",IF(K31&gt;0,S31*K31,""))</f>
        <v/>
      </c>
      <c r="U31" s="11">
        <f>IF(A31="","",IFERROR(B31/Q31,0))</f>
        <v/>
      </c>
      <c r="V31" s="4">
        <f>IF(A31="","",IF(OR(S31&lt;=0,Q31&lt;=0),"Drop",IF(P31&gt;=0.6,"Profit product",IF(P31&gt;=0.5,"Traffic product","Thin - rework"))))</f>
        <v/>
      </c>
    </row>
    <row r="32">
      <c r="B32" s="7" t="n"/>
      <c r="C32" s="7" t="n"/>
      <c r="D32" s="7" t="n"/>
      <c r="E32" s="7" t="n"/>
      <c r="F32" s="10" t="n"/>
      <c r="G32" s="7" t="n"/>
      <c r="H32" s="10" t="n"/>
      <c r="I32" s="10" t="n"/>
      <c r="J32" s="10" t="n"/>
      <c r="K32" s="6" t="n"/>
      <c r="L32" s="8">
        <f>IF(A32="","",B32*F32+G32)</f>
        <v/>
      </c>
      <c r="M32" s="9">
        <f>IF(A32="","",IFERROR((C32+D32+E32)/B32,0))</f>
        <v/>
      </c>
      <c r="N32" s="9">
        <f>IF(A32="","",IFERROR(L32/B32,0)+H32)</f>
        <v/>
      </c>
      <c r="O32" s="9">
        <f>IF(A32="","",M32+N32)</f>
        <v/>
      </c>
      <c r="P32" s="9">
        <f>IF(A32="","",IF(B32&gt;0,1-O32-I32,0))</f>
        <v/>
      </c>
      <c r="Q32" s="8">
        <f>IF(A32="","",B32*P32)</f>
        <v/>
      </c>
      <c r="R32" s="9">
        <f>IF(A32="","",IF(B32&gt;0,P32-J32,0))</f>
        <v/>
      </c>
      <c r="S32" s="8">
        <f>IF(A32="","",B32*R32)</f>
        <v/>
      </c>
      <c r="T32" s="11">
        <f>IF(A32="","",IF(K32&gt;0,S32*K32,""))</f>
        <v/>
      </c>
      <c r="U32" s="11">
        <f>IF(A32="","",IFERROR(B32/Q32,0))</f>
        <v/>
      </c>
      <c r="V32" s="4">
        <f>IF(A32="","",IF(OR(S32&lt;=0,Q32&lt;=0),"Drop",IF(P32&gt;=0.6,"Profit product",IF(P32&gt;=0.5,"Traffic product","Thin - rework"))))</f>
        <v/>
      </c>
    </row>
    <row r="33">
      <c r="B33" s="7" t="n"/>
      <c r="C33" s="7" t="n"/>
      <c r="D33" s="7" t="n"/>
      <c r="E33" s="7" t="n"/>
      <c r="F33" s="10" t="n"/>
      <c r="G33" s="7" t="n"/>
      <c r="H33" s="10" t="n"/>
      <c r="I33" s="10" t="n"/>
      <c r="J33" s="10" t="n"/>
      <c r="K33" s="6" t="n"/>
      <c r="L33" s="8">
        <f>IF(A33="","",B33*F33+G33)</f>
        <v/>
      </c>
      <c r="M33" s="9">
        <f>IF(A33="","",IFERROR((C33+D33+E33)/B33,0))</f>
        <v/>
      </c>
      <c r="N33" s="9">
        <f>IF(A33="","",IFERROR(L33/B33,0)+H33)</f>
        <v/>
      </c>
      <c r="O33" s="9">
        <f>IF(A33="","",M33+N33)</f>
        <v/>
      </c>
      <c r="P33" s="9">
        <f>IF(A33="","",IF(B33&gt;0,1-O33-I33,0))</f>
        <v/>
      </c>
      <c r="Q33" s="8">
        <f>IF(A33="","",B33*P33)</f>
        <v/>
      </c>
      <c r="R33" s="9">
        <f>IF(A33="","",IF(B33&gt;0,P33-J33,0))</f>
        <v/>
      </c>
      <c r="S33" s="8">
        <f>IF(A33="","",B33*R33)</f>
        <v/>
      </c>
      <c r="T33" s="11">
        <f>IF(A33="","",IF(K33&gt;0,S33*K33,""))</f>
        <v/>
      </c>
      <c r="U33" s="11">
        <f>IF(A33="","",IFERROR(B33/Q33,0))</f>
        <v/>
      </c>
      <c r="V33" s="4">
        <f>IF(A33="","",IF(OR(S33&lt;=0,Q33&lt;=0),"Drop",IF(P33&gt;=0.6,"Profit product",IF(P33&gt;=0.5,"Traffic product","Thin - rework"))))</f>
        <v/>
      </c>
    </row>
    <row r="34">
      <c r="B34" s="7" t="n"/>
      <c r="C34" s="7" t="n"/>
      <c r="D34" s="7" t="n"/>
      <c r="E34" s="7" t="n"/>
      <c r="F34" s="10" t="n"/>
      <c r="G34" s="7" t="n"/>
      <c r="H34" s="10" t="n"/>
      <c r="I34" s="10" t="n"/>
      <c r="J34" s="10" t="n"/>
      <c r="K34" s="6" t="n"/>
      <c r="L34" s="8">
        <f>IF(A34="","",B34*F34+G34)</f>
        <v/>
      </c>
      <c r="M34" s="9">
        <f>IF(A34="","",IFERROR((C34+D34+E34)/B34,0))</f>
        <v/>
      </c>
      <c r="N34" s="9">
        <f>IF(A34="","",IFERROR(L34/B34,0)+H34)</f>
        <v/>
      </c>
      <c r="O34" s="9">
        <f>IF(A34="","",M34+N34)</f>
        <v/>
      </c>
      <c r="P34" s="9">
        <f>IF(A34="","",IF(B34&gt;0,1-O34-I34,0))</f>
        <v/>
      </c>
      <c r="Q34" s="8">
        <f>IF(A34="","",B34*P34)</f>
        <v/>
      </c>
      <c r="R34" s="9">
        <f>IF(A34="","",IF(B34&gt;0,P34-J34,0))</f>
        <v/>
      </c>
      <c r="S34" s="8">
        <f>IF(A34="","",B34*R34)</f>
        <v/>
      </c>
      <c r="T34" s="11">
        <f>IF(A34="","",IF(K34&gt;0,S34*K34,""))</f>
        <v/>
      </c>
      <c r="U34" s="11">
        <f>IF(A34="","",IFERROR(B34/Q34,0))</f>
        <v/>
      </c>
      <c r="V34" s="4">
        <f>IF(A34="","",IF(OR(S34&lt;=0,Q34&lt;=0),"Drop",IF(P34&gt;=0.6,"Profit product",IF(P34&gt;=0.5,"Traffic product","Thin - rework"))))</f>
        <v/>
      </c>
    </row>
    <row r="35">
      <c r="B35" s="7" t="n"/>
      <c r="C35" s="7" t="n"/>
      <c r="D35" s="7" t="n"/>
      <c r="E35" s="7" t="n"/>
      <c r="F35" s="10" t="n"/>
      <c r="G35" s="7" t="n"/>
      <c r="H35" s="10" t="n"/>
      <c r="I35" s="10" t="n"/>
      <c r="J35" s="10" t="n"/>
      <c r="K35" s="6" t="n"/>
      <c r="L35" s="8">
        <f>IF(A35="","",B35*F35+G35)</f>
        <v/>
      </c>
      <c r="M35" s="9">
        <f>IF(A35="","",IFERROR((C35+D35+E35)/B35,0))</f>
        <v/>
      </c>
      <c r="N35" s="9">
        <f>IF(A35="","",IFERROR(L35/B35,0)+H35)</f>
        <v/>
      </c>
      <c r="O35" s="9">
        <f>IF(A35="","",M35+N35)</f>
        <v/>
      </c>
      <c r="P35" s="9">
        <f>IF(A35="","",IF(B35&gt;0,1-O35-I35,0))</f>
        <v/>
      </c>
      <c r="Q35" s="8">
        <f>IF(A35="","",B35*P35)</f>
        <v/>
      </c>
      <c r="R35" s="9">
        <f>IF(A35="","",IF(B35&gt;0,P35-J35,0))</f>
        <v/>
      </c>
      <c r="S35" s="8">
        <f>IF(A35="","",B35*R35)</f>
        <v/>
      </c>
      <c r="T35" s="11">
        <f>IF(A35="","",IF(K35&gt;0,S35*K35,""))</f>
        <v/>
      </c>
      <c r="U35" s="11">
        <f>IF(A35="","",IFERROR(B35/Q35,0))</f>
        <v/>
      </c>
      <c r="V35" s="4">
        <f>IF(A35="","",IF(OR(S35&lt;=0,Q35&lt;=0),"Drop",IF(P35&gt;=0.6,"Profit product",IF(P35&gt;=0.5,"Traffic product","Thin - rework"))))</f>
        <v/>
      </c>
    </row>
    <row r="36">
      <c r="B36" s="7" t="n"/>
      <c r="C36" s="7" t="n"/>
      <c r="D36" s="7" t="n"/>
      <c r="E36" s="7" t="n"/>
      <c r="F36" s="10" t="n"/>
      <c r="G36" s="7" t="n"/>
      <c r="H36" s="10" t="n"/>
      <c r="I36" s="10" t="n"/>
      <c r="J36" s="10" t="n"/>
      <c r="K36" s="6" t="n"/>
      <c r="L36" s="8">
        <f>IF(A36="","",B36*F36+G36)</f>
        <v/>
      </c>
      <c r="M36" s="9">
        <f>IF(A36="","",IFERROR((C36+D36+E36)/B36,0))</f>
        <v/>
      </c>
      <c r="N36" s="9">
        <f>IF(A36="","",IFERROR(L36/B36,0)+H36)</f>
        <v/>
      </c>
      <c r="O36" s="9">
        <f>IF(A36="","",M36+N36)</f>
        <v/>
      </c>
      <c r="P36" s="9">
        <f>IF(A36="","",IF(B36&gt;0,1-O36-I36,0))</f>
        <v/>
      </c>
      <c r="Q36" s="8">
        <f>IF(A36="","",B36*P36)</f>
        <v/>
      </c>
      <c r="R36" s="9">
        <f>IF(A36="","",IF(B36&gt;0,P36-J36,0))</f>
        <v/>
      </c>
      <c r="S36" s="8">
        <f>IF(A36="","",B36*R36)</f>
        <v/>
      </c>
      <c r="T36" s="11">
        <f>IF(A36="","",IF(K36&gt;0,S36*K36,""))</f>
        <v/>
      </c>
      <c r="U36" s="11">
        <f>IF(A36="","",IFERROR(B36/Q36,0))</f>
        <v/>
      </c>
      <c r="V36" s="4">
        <f>IF(A36="","",IF(OR(S36&lt;=0,Q36&lt;=0),"Drop",IF(P36&gt;=0.6,"Profit product",IF(P36&gt;=0.5,"Traffic product","Thin - rework"))))</f>
        <v/>
      </c>
    </row>
    <row r="37">
      <c r="B37" s="7" t="n"/>
      <c r="C37" s="7" t="n"/>
      <c r="D37" s="7" t="n"/>
      <c r="E37" s="7" t="n"/>
      <c r="F37" s="10" t="n"/>
      <c r="G37" s="7" t="n"/>
      <c r="H37" s="10" t="n"/>
      <c r="I37" s="10" t="n"/>
      <c r="J37" s="10" t="n"/>
      <c r="K37" s="6" t="n"/>
      <c r="L37" s="8">
        <f>IF(A37="","",B37*F37+G37)</f>
        <v/>
      </c>
      <c r="M37" s="9">
        <f>IF(A37="","",IFERROR((C37+D37+E37)/B37,0))</f>
        <v/>
      </c>
      <c r="N37" s="9">
        <f>IF(A37="","",IFERROR(L37/B37,0)+H37)</f>
        <v/>
      </c>
      <c r="O37" s="9">
        <f>IF(A37="","",M37+N37)</f>
        <v/>
      </c>
      <c r="P37" s="9">
        <f>IF(A37="","",IF(B37&gt;0,1-O37-I37,0))</f>
        <v/>
      </c>
      <c r="Q37" s="8">
        <f>IF(A37="","",B37*P37)</f>
        <v/>
      </c>
      <c r="R37" s="9">
        <f>IF(A37="","",IF(B37&gt;0,P37-J37,0))</f>
        <v/>
      </c>
      <c r="S37" s="8">
        <f>IF(A37="","",B37*R37)</f>
        <v/>
      </c>
      <c r="T37" s="11">
        <f>IF(A37="","",IF(K37&gt;0,S37*K37,""))</f>
        <v/>
      </c>
      <c r="U37" s="11">
        <f>IF(A37="","",IFERROR(B37/Q37,0))</f>
        <v/>
      </c>
      <c r="V37" s="4">
        <f>IF(A37="","",IF(OR(S37&lt;=0,Q37&lt;=0),"Drop",IF(P37&gt;=0.6,"Profit product",IF(P37&gt;=0.5,"Traffic product","Thin - rework"))))</f>
        <v/>
      </c>
    </row>
    <row r="38">
      <c r="B38" s="7" t="n"/>
      <c r="C38" s="7" t="n"/>
      <c r="D38" s="7" t="n"/>
      <c r="E38" s="7" t="n"/>
      <c r="F38" s="10" t="n"/>
      <c r="G38" s="7" t="n"/>
      <c r="H38" s="10" t="n"/>
      <c r="I38" s="10" t="n"/>
      <c r="J38" s="10" t="n"/>
      <c r="K38" s="6" t="n"/>
      <c r="L38" s="8">
        <f>IF(A38="","",B38*F38+G38)</f>
        <v/>
      </c>
      <c r="M38" s="9">
        <f>IF(A38="","",IFERROR((C38+D38+E38)/B38,0))</f>
        <v/>
      </c>
      <c r="N38" s="9">
        <f>IF(A38="","",IFERROR(L38/B38,0)+H38)</f>
        <v/>
      </c>
      <c r="O38" s="9">
        <f>IF(A38="","",M38+N38)</f>
        <v/>
      </c>
      <c r="P38" s="9">
        <f>IF(A38="","",IF(B38&gt;0,1-O38-I38,0))</f>
        <v/>
      </c>
      <c r="Q38" s="8">
        <f>IF(A38="","",B38*P38)</f>
        <v/>
      </c>
      <c r="R38" s="9">
        <f>IF(A38="","",IF(B38&gt;0,P38-J38,0))</f>
        <v/>
      </c>
      <c r="S38" s="8">
        <f>IF(A38="","",B38*R38)</f>
        <v/>
      </c>
      <c r="T38" s="11">
        <f>IF(A38="","",IF(K38&gt;0,S38*K38,""))</f>
        <v/>
      </c>
      <c r="U38" s="11">
        <f>IF(A38="","",IFERROR(B38/Q38,0))</f>
        <v/>
      </c>
      <c r="V38" s="4">
        <f>IF(A38="","",IF(OR(S38&lt;=0,Q38&lt;=0),"Drop",IF(P38&gt;=0.6,"Profit product",IF(P38&gt;=0.5,"Traffic product","Thin - rework"))))</f>
        <v/>
      </c>
    </row>
    <row r="39">
      <c r="B39" s="7" t="n"/>
      <c r="C39" s="7" t="n"/>
      <c r="D39" s="7" t="n"/>
      <c r="E39" s="7" t="n"/>
      <c r="F39" s="10" t="n"/>
      <c r="G39" s="7" t="n"/>
      <c r="H39" s="10" t="n"/>
      <c r="I39" s="10" t="n"/>
      <c r="J39" s="10" t="n"/>
      <c r="K39" s="6" t="n"/>
      <c r="L39" s="8">
        <f>IF(A39="","",B39*F39+G39)</f>
        <v/>
      </c>
      <c r="M39" s="9">
        <f>IF(A39="","",IFERROR((C39+D39+E39)/B39,0))</f>
        <v/>
      </c>
      <c r="N39" s="9">
        <f>IF(A39="","",IFERROR(L39/B39,0)+H39)</f>
        <v/>
      </c>
      <c r="O39" s="9">
        <f>IF(A39="","",M39+N39)</f>
        <v/>
      </c>
      <c r="P39" s="9">
        <f>IF(A39="","",IF(B39&gt;0,1-O39-I39,0))</f>
        <v/>
      </c>
      <c r="Q39" s="8">
        <f>IF(A39="","",B39*P39)</f>
        <v/>
      </c>
      <c r="R39" s="9">
        <f>IF(A39="","",IF(B39&gt;0,P39-J39,0))</f>
        <v/>
      </c>
      <c r="S39" s="8">
        <f>IF(A39="","",B39*R39)</f>
        <v/>
      </c>
      <c r="T39" s="11">
        <f>IF(A39="","",IF(K39&gt;0,S39*K39,""))</f>
        <v/>
      </c>
      <c r="U39" s="11">
        <f>IF(A39="","",IFERROR(B39/Q39,0))</f>
        <v/>
      </c>
      <c r="V39" s="4">
        <f>IF(A39="","",IF(OR(S39&lt;=0,Q39&lt;=0),"Drop",IF(P39&gt;=0.6,"Profit product",IF(P39&gt;=0.5,"Traffic product","Thin - rework"))))</f>
        <v/>
      </c>
    </row>
    <row r="40">
      <c r="B40" s="7" t="n"/>
      <c r="C40" s="7" t="n"/>
      <c r="D40" s="7" t="n"/>
      <c r="E40" s="7" t="n"/>
      <c r="F40" s="10" t="n"/>
      <c r="G40" s="7" t="n"/>
      <c r="H40" s="10" t="n"/>
      <c r="I40" s="10" t="n"/>
      <c r="J40" s="10" t="n"/>
      <c r="K40" s="6" t="n"/>
      <c r="L40" s="8">
        <f>IF(A40="","",B40*F40+G40)</f>
        <v/>
      </c>
      <c r="M40" s="9">
        <f>IF(A40="","",IFERROR((C40+D40+E40)/B40,0))</f>
        <v/>
      </c>
      <c r="N40" s="9">
        <f>IF(A40="","",IFERROR(L40/B40,0)+H40)</f>
        <v/>
      </c>
      <c r="O40" s="9">
        <f>IF(A40="","",M40+N40)</f>
        <v/>
      </c>
      <c r="P40" s="9">
        <f>IF(A40="","",IF(B40&gt;0,1-O40-I40,0))</f>
        <v/>
      </c>
      <c r="Q40" s="8">
        <f>IF(A40="","",B40*P40)</f>
        <v/>
      </c>
      <c r="R40" s="9">
        <f>IF(A40="","",IF(B40&gt;0,P40-J40,0))</f>
        <v/>
      </c>
      <c r="S40" s="8">
        <f>IF(A40="","",B40*R40)</f>
        <v/>
      </c>
      <c r="T40" s="11">
        <f>IF(A40="","",IF(K40&gt;0,S40*K40,""))</f>
        <v/>
      </c>
      <c r="U40" s="11">
        <f>IF(A40="","",IFERROR(B40/Q40,0))</f>
        <v/>
      </c>
      <c r="V40" s="4">
        <f>IF(A40="","",IF(OR(S40&lt;=0,Q40&lt;=0),"Drop",IF(P40&gt;=0.6,"Profit product",IF(P40&gt;=0.5,"Traffic product","Thin - rework"))))</f>
        <v/>
      </c>
    </row>
    <row r="41">
      <c r="B41" s="7" t="n"/>
      <c r="C41" s="7" t="n"/>
      <c r="D41" s="7" t="n"/>
      <c r="E41" s="7" t="n"/>
      <c r="F41" s="10" t="n"/>
      <c r="G41" s="7" t="n"/>
      <c r="H41" s="10" t="n"/>
      <c r="I41" s="10" t="n"/>
      <c r="J41" s="10" t="n"/>
      <c r="K41" s="6" t="n"/>
      <c r="L41" s="8">
        <f>IF(A41="","",B41*F41+G41)</f>
        <v/>
      </c>
      <c r="M41" s="9">
        <f>IF(A41="","",IFERROR((C41+D41+E41)/B41,0))</f>
        <v/>
      </c>
      <c r="N41" s="9">
        <f>IF(A41="","",IFERROR(L41/B41,0)+H41)</f>
        <v/>
      </c>
      <c r="O41" s="9">
        <f>IF(A41="","",M41+N41)</f>
        <v/>
      </c>
      <c r="P41" s="9">
        <f>IF(A41="","",IF(B41&gt;0,1-O41-I41,0))</f>
        <v/>
      </c>
      <c r="Q41" s="8">
        <f>IF(A41="","",B41*P41)</f>
        <v/>
      </c>
      <c r="R41" s="9">
        <f>IF(A41="","",IF(B41&gt;0,P41-J41,0))</f>
        <v/>
      </c>
      <c r="S41" s="8">
        <f>IF(A41="","",B41*R41)</f>
        <v/>
      </c>
      <c r="T41" s="11">
        <f>IF(A41="","",IF(K41&gt;0,S41*K41,""))</f>
        <v/>
      </c>
      <c r="U41" s="11">
        <f>IF(A41="","",IFERROR(B41/Q41,0))</f>
        <v/>
      </c>
      <c r="V41" s="4">
        <f>IF(A41="","",IF(OR(S41&lt;=0,Q41&lt;=0),"Drop",IF(P41&gt;=0.6,"Profit product",IF(P41&gt;=0.5,"Traffic product","Thin - rework"))))</f>
        <v/>
      </c>
    </row>
    <row r="42">
      <c r="B42" s="7" t="n"/>
      <c r="C42" s="7" t="n"/>
      <c r="D42" s="7" t="n"/>
      <c r="E42" s="7" t="n"/>
      <c r="F42" s="10" t="n"/>
      <c r="G42" s="7" t="n"/>
      <c r="H42" s="10" t="n"/>
      <c r="I42" s="10" t="n"/>
      <c r="J42" s="10" t="n"/>
      <c r="K42" s="6" t="n"/>
      <c r="L42" s="8">
        <f>IF(A42="","",B42*F42+G42)</f>
        <v/>
      </c>
      <c r="M42" s="9">
        <f>IF(A42="","",IFERROR((C42+D42+E42)/B42,0))</f>
        <v/>
      </c>
      <c r="N42" s="9">
        <f>IF(A42="","",IFERROR(L42/B42,0)+H42)</f>
        <v/>
      </c>
      <c r="O42" s="9">
        <f>IF(A42="","",M42+N42)</f>
        <v/>
      </c>
      <c r="P42" s="9">
        <f>IF(A42="","",IF(B42&gt;0,1-O42-I42,0))</f>
        <v/>
      </c>
      <c r="Q42" s="8">
        <f>IF(A42="","",B42*P42)</f>
        <v/>
      </c>
      <c r="R42" s="9">
        <f>IF(A42="","",IF(B42&gt;0,P42-J42,0))</f>
        <v/>
      </c>
      <c r="S42" s="8">
        <f>IF(A42="","",B42*R42)</f>
        <v/>
      </c>
      <c r="T42" s="11">
        <f>IF(A42="","",IF(K42&gt;0,S42*K42,""))</f>
        <v/>
      </c>
      <c r="U42" s="11">
        <f>IF(A42="","",IFERROR(B42/Q42,0))</f>
        <v/>
      </c>
      <c r="V42" s="4">
        <f>IF(A42="","",IF(OR(S42&lt;=0,Q42&lt;=0),"Drop",IF(P42&gt;=0.6,"Profit product",IF(P42&gt;=0.5,"Traffic product","Thin - rework"))))</f>
        <v/>
      </c>
    </row>
    <row r="43">
      <c r="B43" s="7" t="n"/>
      <c r="C43" s="7" t="n"/>
      <c r="D43" s="7" t="n"/>
      <c r="E43" s="7" t="n"/>
      <c r="F43" s="10" t="n"/>
      <c r="G43" s="7" t="n"/>
      <c r="H43" s="10" t="n"/>
      <c r="I43" s="10" t="n"/>
      <c r="J43" s="10" t="n"/>
      <c r="K43" s="6" t="n"/>
      <c r="L43" s="8">
        <f>IF(A43="","",B43*F43+G43)</f>
        <v/>
      </c>
      <c r="M43" s="9">
        <f>IF(A43="","",IFERROR((C43+D43+E43)/B43,0))</f>
        <v/>
      </c>
      <c r="N43" s="9">
        <f>IF(A43="","",IFERROR(L43/B43,0)+H43)</f>
        <v/>
      </c>
      <c r="O43" s="9">
        <f>IF(A43="","",M43+N43)</f>
        <v/>
      </c>
      <c r="P43" s="9">
        <f>IF(A43="","",IF(B43&gt;0,1-O43-I43,0))</f>
        <v/>
      </c>
      <c r="Q43" s="8">
        <f>IF(A43="","",B43*P43)</f>
        <v/>
      </c>
      <c r="R43" s="9">
        <f>IF(A43="","",IF(B43&gt;0,P43-J43,0))</f>
        <v/>
      </c>
      <c r="S43" s="8">
        <f>IF(A43="","",B43*R43)</f>
        <v/>
      </c>
      <c r="T43" s="11">
        <f>IF(A43="","",IF(K43&gt;0,S43*K43,""))</f>
        <v/>
      </c>
      <c r="U43" s="11">
        <f>IF(A43="","",IFERROR(B43/Q43,0))</f>
        <v/>
      </c>
      <c r="V43" s="4">
        <f>IF(A43="","",IF(OR(S43&lt;=0,Q43&lt;=0),"Drop",IF(P43&gt;=0.6,"Profit product",IF(P43&gt;=0.5,"Traffic product","Thin - rework"))))</f>
        <v/>
      </c>
    </row>
    <row r="44">
      <c r="B44" s="7" t="n"/>
      <c r="C44" s="7" t="n"/>
      <c r="D44" s="7" t="n"/>
      <c r="E44" s="7" t="n"/>
      <c r="F44" s="10" t="n"/>
      <c r="G44" s="7" t="n"/>
      <c r="H44" s="10" t="n"/>
      <c r="I44" s="10" t="n"/>
      <c r="J44" s="10" t="n"/>
      <c r="K44" s="6" t="n"/>
      <c r="L44" s="8">
        <f>IF(A44="","",B44*F44+G44)</f>
        <v/>
      </c>
      <c r="M44" s="9">
        <f>IF(A44="","",IFERROR((C44+D44+E44)/B44,0))</f>
        <v/>
      </c>
      <c r="N44" s="9">
        <f>IF(A44="","",IFERROR(L44/B44,0)+H44)</f>
        <v/>
      </c>
      <c r="O44" s="9">
        <f>IF(A44="","",M44+N44)</f>
        <v/>
      </c>
      <c r="P44" s="9">
        <f>IF(A44="","",IF(B44&gt;0,1-O44-I44,0))</f>
        <v/>
      </c>
      <c r="Q44" s="8">
        <f>IF(A44="","",B44*P44)</f>
        <v/>
      </c>
      <c r="R44" s="9">
        <f>IF(A44="","",IF(B44&gt;0,P44-J44,0))</f>
        <v/>
      </c>
      <c r="S44" s="8">
        <f>IF(A44="","",B44*R44)</f>
        <v/>
      </c>
      <c r="T44" s="11">
        <f>IF(A44="","",IF(K44&gt;0,S44*K44,""))</f>
        <v/>
      </c>
      <c r="U44" s="11">
        <f>IF(A44="","",IFERROR(B44/Q44,0))</f>
        <v/>
      </c>
      <c r="V44" s="4">
        <f>IF(A44="","",IF(OR(S44&lt;=0,Q44&lt;=0),"Drop",IF(P44&gt;=0.6,"Profit product",IF(P44&gt;=0.5,"Traffic product","Thin - rework"))))</f>
        <v/>
      </c>
    </row>
    <row r="45">
      <c r="B45" s="7" t="n"/>
      <c r="C45" s="7" t="n"/>
      <c r="D45" s="7" t="n"/>
      <c r="E45" s="7" t="n"/>
      <c r="F45" s="10" t="n"/>
      <c r="G45" s="7" t="n"/>
      <c r="H45" s="10" t="n"/>
      <c r="I45" s="10" t="n"/>
      <c r="J45" s="10" t="n"/>
      <c r="K45" s="6" t="n"/>
      <c r="L45" s="8">
        <f>IF(A45="","",B45*F45+G45)</f>
        <v/>
      </c>
      <c r="M45" s="9">
        <f>IF(A45="","",IFERROR((C45+D45+E45)/B45,0))</f>
        <v/>
      </c>
      <c r="N45" s="9">
        <f>IF(A45="","",IFERROR(L45/B45,0)+H45)</f>
        <v/>
      </c>
      <c r="O45" s="9">
        <f>IF(A45="","",M45+N45)</f>
        <v/>
      </c>
      <c r="P45" s="9">
        <f>IF(A45="","",IF(B45&gt;0,1-O45-I45,0))</f>
        <v/>
      </c>
      <c r="Q45" s="8">
        <f>IF(A45="","",B45*P45)</f>
        <v/>
      </c>
      <c r="R45" s="9">
        <f>IF(A45="","",IF(B45&gt;0,P45-J45,0))</f>
        <v/>
      </c>
      <c r="S45" s="8">
        <f>IF(A45="","",B45*R45)</f>
        <v/>
      </c>
      <c r="T45" s="11">
        <f>IF(A45="","",IF(K45&gt;0,S45*K45,""))</f>
        <v/>
      </c>
      <c r="U45" s="11">
        <f>IF(A45="","",IFERROR(B45/Q45,0))</f>
        <v/>
      </c>
      <c r="V45" s="4">
        <f>IF(A45="","",IF(OR(S45&lt;=0,Q45&lt;=0),"Drop",IF(P45&gt;=0.6,"Profit product",IF(P45&gt;=0.5,"Traffic product","Thin - rework"))))</f>
        <v/>
      </c>
    </row>
    <row r="46">
      <c r="B46" s="7" t="n"/>
      <c r="C46" s="7" t="n"/>
      <c r="D46" s="7" t="n"/>
      <c r="E46" s="7" t="n"/>
      <c r="F46" s="10" t="n"/>
      <c r="G46" s="7" t="n"/>
      <c r="H46" s="10" t="n"/>
      <c r="I46" s="10" t="n"/>
      <c r="J46" s="10" t="n"/>
      <c r="K46" s="6" t="n"/>
      <c r="L46" s="8">
        <f>IF(A46="","",B46*F46+G46)</f>
        <v/>
      </c>
      <c r="M46" s="9">
        <f>IF(A46="","",IFERROR((C46+D46+E46)/B46,0))</f>
        <v/>
      </c>
      <c r="N46" s="9">
        <f>IF(A46="","",IFERROR(L46/B46,0)+H46)</f>
        <v/>
      </c>
      <c r="O46" s="9">
        <f>IF(A46="","",M46+N46)</f>
        <v/>
      </c>
      <c r="P46" s="9">
        <f>IF(A46="","",IF(B46&gt;0,1-O46-I46,0))</f>
        <v/>
      </c>
      <c r="Q46" s="8">
        <f>IF(A46="","",B46*P46)</f>
        <v/>
      </c>
      <c r="R46" s="9">
        <f>IF(A46="","",IF(B46&gt;0,P46-J46,0))</f>
        <v/>
      </c>
      <c r="S46" s="8">
        <f>IF(A46="","",B46*R46)</f>
        <v/>
      </c>
      <c r="T46" s="11">
        <f>IF(A46="","",IF(K46&gt;0,S46*K46,""))</f>
        <v/>
      </c>
      <c r="U46" s="11">
        <f>IF(A46="","",IFERROR(B46/Q46,0))</f>
        <v/>
      </c>
      <c r="V46" s="4">
        <f>IF(A46="","",IF(OR(S46&lt;=0,Q46&lt;=0),"Drop",IF(P46&gt;=0.6,"Profit product",IF(P46&gt;=0.5,"Traffic product","Thin - rework"))))</f>
        <v/>
      </c>
    </row>
    <row r="47">
      <c r="B47" s="7" t="n"/>
      <c r="C47" s="7" t="n"/>
      <c r="D47" s="7" t="n"/>
      <c r="E47" s="7" t="n"/>
      <c r="F47" s="10" t="n"/>
      <c r="G47" s="7" t="n"/>
      <c r="H47" s="10" t="n"/>
      <c r="I47" s="10" t="n"/>
      <c r="J47" s="10" t="n"/>
      <c r="K47" s="6" t="n"/>
      <c r="L47" s="8">
        <f>IF(A47="","",B47*F47+G47)</f>
        <v/>
      </c>
      <c r="M47" s="9">
        <f>IF(A47="","",IFERROR((C47+D47+E47)/B47,0))</f>
        <v/>
      </c>
      <c r="N47" s="9">
        <f>IF(A47="","",IFERROR(L47/B47,0)+H47)</f>
        <v/>
      </c>
      <c r="O47" s="9">
        <f>IF(A47="","",M47+N47)</f>
        <v/>
      </c>
      <c r="P47" s="9">
        <f>IF(A47="","",IF(B47&gt;0,1-O47-I47,0))</f>
        <v/>
      </c>
      <c r="Q47" s="8">
        <f>IF(A47="","",B47*P47)</f>
        <v/>
      </c>
      <c r="R47" s="9">
        <f>IF(A47="","",IF(B47&gt;0,P47-J47,0))</f>
        <v/>
      </c>
      <c r="S47" s="8">
        <f>IF(A47="","",B47*R47)</f>
        <v/>
      </c>
      <c r="T47" s="11">
        <f>IF(A47="","",IF(K47&gt;0,S47*K47,""))</f>
        <v/>
      </c>
      <c r="U47" s="11">
        <f>IF(A47="","",IFERROR(B47/Q47,0))</f>
        <v/>
      </c>
      <c r="V47" s="4">
        <f>IF(A47="","",IF(OR(S47&lt;=0,Q47&lt;=0),"Drop",IF(P47&gt;=0.6,"Profit product",IF(P47&gt;=0.5,"Traffic product","Thin - rework"))))</f>
        <v/>
      </c>
    </row>
    <row r="48">
      <c r="B48" s="7" t="n"/>
      <c r="C48" s="7" t="n"/>
      <c r="D48" s="7" t="n"/>
      <c r="E48" s="7" t="n"/>
      <c r="F48" s="10" t="n"/>
      <c r="G48" s="7" t="n"/>
      <c r="H48" s="10" t="n"/>
      <c r="I48" s="10" t="n"/>
      <c r="J48" s="10" t="n"/>
      <c r="K48" s="6" t="n"/>
      <c r="L48" s="8">
        <f>IF(A48="","",B48*F48+G48)</f>
        <v/>
      </c>
      <c r="M48" s="9">
        <f>IF(A48="","",IFERROR((C48+D48+E48)/B48,0))</f>
        <v/>
      </c>
      <c r="N48" s="9">
        <f>IF(A48="","",IFERROR(L48/B48,0)+H48)</f>
        <v/>
      </c>
      <c r="O48" s="9">
        <f>IF(A48="","",M48+N48)</f>
        <v/>
      </c>
      <c r="P48" s="9">
        <f>IF(A48="","",IF(B48&gt;0,1-O48-I48,0))</f>
        <v/>
      </c>
      <c r="Q48" s="8">
        <f>IF(A48="","",B48*P48)</f>
        <v/>
      </c>
      <c r="R48" s="9">
        <f>IF(A48="","",IF(B48&gt;0,P48-J48,0))</f>
        <v/>
      </c>
      <c r="S48" s="8">
        <f>IF(A48="","",B48*R48)</f>
        <v/>
      </c>
      <c r="T48" s="11">
        <f>IF(A48="","",IF(K48&gt;0,S48*K48,""))</f>
        <v/>
      </c>
      <c r="U48" s="11">
        <f>IF(A48="","",IFERROR(B48/Q48,0))</f>
        <v/>
      </c>
      <c r="V48" s="4">
        <f>IF(A48="","",IF(OR(S48&lt;=0,Q48&lt;=0),"Drop",IF(P48&gt;=0.6,"Profit product",IF(P48&gt;=0.5,"Traffic product","Thin - rework"))))</f>
        <v/>
      </c>
    </row>
    <row r="49">
      <c r="B49" s="7" t="n"/>
      <c r="C49" s="7" t="n"/>
      <c r="D49" s="7" t="n"/>
      <c r="E49" s="7" t="n"/>
      <c r="F49" s="10" t="n"/>
      <c r="G49" s="7" t="n"/>
      <c r="H49" s="10" t="n"/>
      <c r="I49" s="10" t="n"/>
      <c r="J49" s="10" t="n"/>
      <c r="K49" s="6" t="n"/>
      <c r="L49" s="8">
        <f>IF(A49="","",B49*F49+G49)</f>
        <v/>
      </c>
      <c r="M49" s="9">
        <f>IF(A49="","",IFERROR((C49+D49+E49)/B49,0))</f>
        <v/>
      </c>
      <c r="N49" s="9">
        <f>IF(A49="","",IFERROR(L49/B49,0)+H49)</f>
        <v/>
      </c>
      <c r="O49" s="9">
        <f>IF(A49="","",M49+N49)</f>
        <v/>
      </c>
      <c r="P49" s="9">
        <f>IF(A49="","",IF(B49&gt;0,1-O49-I49,0))</f>
        <v/>
      </c>
      <c r="Q49" s="8">
        <f>IF(A49="","",B49*P49)</f>
        <v/>
      </c>
      <c r="R49" s="9">
        <f>IF(A49="","",IF(B49&gt;0,P49-J49,0))</f>
        <v/>
      </c>
      <c r="S49" s="8">
        <f>IF(A49="","",B49*R49)</f>
        <v/>
      </c>
      <c r="T49" s="11">
        <f>IF(A49="","",IF(K49&gt;0,S49*K49,""))</f>
        <v/>
      </c>
      <c r="U49" s="11">
        <f>IF(A49="","",IFERROR(B49/Q49,0))</f>
        <v/>
      </c>
      <c r="V49" s="4">
        <f>IF(A49="","",IF(OR(S49&lt;=0,Q49&lt;=0),"Drop",IF(P49&gt;=0.6,"Profit product",IF(P49&gt;=0.5,"Traffic product","Thin - rework"))))</f>
        <v/>
      </c>
    </row>
    <row r="50">
      <c r="B50" s="7" t="n"/>
      <c r="C50" s="7" t="n"/>
      <c r="D50" s="7" t="n"/>
      <c r="E50" s="7" t="n"/>
      <c r="F50" s="10" t="n"/>
      <c r="G50" s="7" t="n"/>
      <c r="H50" s="10" t="n"/>
      <c r="I50" s="10" t="n"/>
      <c r="J50" s="10" t="n"/>
      <c r="K50" s="6" t="n"/>
      <c r="L50" s="8">
        <f>IF(A50="","",B50*F50+G50)</f>
        <v/>
      </c>
      <c r="M50" s="9">
        <f>IF(A50="","",IFERROR((C50+D50+E50)/B50,0))</f>
        <v/>
      </c>
      <c r="N50" s="9">
        <f>IF(A50="","",IFERROR(L50/B50,0)+H50)</f>
        <v/>
      </c>
      <c r="O50" s="9">
        <f>IF(A50="","",M50+N50)</f>
        <v/>
      </c>
      <c r="P50" s="9">
        <f>IF(A50="","",IF(B50&gt;0,1-O50-I50,0))</f>
        <v/>
      </c>
      <c r="Q50" s="8">
        <f>IF(A50="","",B50*P50)</f>
        <v/>
      </c>
      <c r="R50" s="9">
        <f>IF(A50="","",IF(B50&gt;0,P50-J50,0))</f>
        <v/>
      </c>
      <c r="S50" s="8">
        <f>IF(A50="","",B50*R50)</f>
        <v/>
      </c>
      <c r="T50" s="11">
        <f>IF(A50="","",IF(K50&gt;0,S50*K50,""))</f>
        <v/>
      </c>
      <c r="U50" s="11">
        <f>IF(A50="","",IFERROR(B50/Q50,0))</f>
        <v/>
      </c>
      <c r="V50" s="4">
        <f>IF(A50="","",IF(OR(S50&lt;=0,Q50&lt;=0),"Drop",IF(P50&gt;=0.6,"Profit product",IF(P50&gt;=0.5,"Traffic product","Thin - rework"))))</f>
        <v/>
      </c>
    </row>
    <row r="51">
      <c r="B51" s="7" t="n"/>
      <c r="C51" s="7" t="n"/>
      <c r="D51" s="7" t="n"/>
      <c r="E51" s="7" t="n"/>
      <c r="F51" s="10" t="n"/>
      <c r="G51" s="7" t="n"/>
      <c r="H51" s="10" t="n"/>
      <c r="I51" s="10" t="n"/>
      <c r="J51" s="10" t="n"/>
      <c r="K51" s="6" t="n"/>
      <c r="L51" s="8">
        <f>IF(A51="","",B51*F51+G51)</f>
        <v/>
      </c>
      <c r="M51" s="9">
        <f>IF(A51="","",IFERROR((C51+D51+E51)/B51,0))</f>
        <v/>
      </c>
      <c r="N51" s="9">
        <f>IF(A51="","",IFERROR(L51/B51,0)+H51)</f>
        <v/>
      </c>
      <c r="O51" s="9">
        <f>IF(A51="","",M51+N51)</f>
        <v/>
      </c>
      <c r="P51" s="9">
        <f>IF(A51="","",IF(B51&gt;0,1-O51-I51,0))</f>
        <v/>
      </c>
      <c r="Q51" s="8">
        <f>IF(A51="","",B51*P51)</f>
        <v/>
      </c>
      <c r="R51" s="9">
        <f>IF(A51="","",IF(B51&gt;0,P51-J51,0))</f>
        <v/>
      </c>
      <c r="S51" s="8">
        <f>IF(A51="","",B51*R51)</f>
        <v/>
      </c>
      <c r="T51" s="11">
        <f>IF(A51="","",IF(K51&gt;0,S51*K51,""))</f>
        <v/>
      </c>
      <c r="U51" s="11">
        <f>IF(A51="","",IFERROR(B51/Q51,0))</f>
        <v/>
      </c>
      <c r="V51" s="4">
        <f>IF(A51="","",IF(OR(S51&lt;=0,Q51&lt;=0),"Drop",IF(P51&gt;=0.6,"Profit product",IF(P51&gt;=0.5,"Traffic product","Thin - rework"))))</f>
        <v/>
      </c>
    </row>
    <row r="52">
      <c r="B52" s="7" t="n"/>
      <c r="C52" s="7" t="n"/>
      <c r="D52" s="7" t="n"/>
      <c r="E52" s="7" t="n"/>
      <c r="F52" s="10" t="n"/>
      <c r="G52" s="7" t="n"/>
      <c r="H52" s="10" t="n"/>
      <c r="I52" s="10" t="n"/>
      <c r="J52" s="10" t="n"/>
      <c r="K52" s="6" t="n"/>
      <c r="L52" s="8">
        <f>IF(A52="","",B52*F52+G52)</f>
        <v/>
      </c>
      <c r="M52" s="9">
        <f>IF(A52="","",IFERROR((C52+D52+E52)/B52,0))</f>
        <v/>
      </c>
      <c r="N52" s="9">
        <f>IF(A52="","",IFERROR(L52/B52,0)+H52)</f>
        <v/>
      </c>
      <c r="O52" s="9">
        <f>IF(A52="","",M52+N52)</f>
        <v/>
      </c>
      <c r="P52" s="9">
        <f>IF(A52="","",IF(B52&gt;0,1-O52-I52,0))</f>
        <v/>
      </c>
      <c r="Q52" s="8">
        <f>IF(A52="","",B52*P52)</f>
        <v/>
      </c>
      <c r="R52" s="9">
        <f>IF(A52="","",IF(B52&gt;0,P52-J52,0))</f>
        <v/>
      </c>
      <c r="S52" s="8">
        <f>IF(A52="","",B52*R52)</f>
        <v/>
      </c>
      <c r="T52" s="11">
        <f>IF(A52="","",IF(K52&gt;0,S52*K52,""))</f>
        <v/>
      </c>
      <c r="U52" s="11">
        <f>IF(A52="","",IFERROR(B52/Q52,0))</f>
        <v/>
      </c>
      <c r="V52" s="4">
        <f>IF(A52="","",IF(OR(S52&lt;=0,Q52&lt;=0),"Drop",IF(P52&gt;=0.6,"Profit product",IF(P52&gt;=0.5,"Traffic product","Thin - rework"))))</f>
        <v/>
      </c>
    </row>
    <row r="53">
      <c r="B53" s="7" t="n"/>
      <c r="C53" s="7" t="n"/>
      <c r="D53" s="7" t="n"/>
      <c r="E53" s="7" t="n"/>
      <c r="F53" s="10" t="n"/>
      <c r="G53" s="7" t="n"/>
      <c r="H53" s="10" t="n"/>
      <c r="I53" s="10" t="n"/>
      <c r="J53" s="10" t="n"/>
      <c r="K53" s="6" t="n"/>
      <c r="L53" s="8">
        <f>IF(A53="","",B53*F53+G53)</f>
        <v/>
      </c>
      <c r="M53" s="9">
        <f>IF(A53="","",IFERROR((C53+D53+E53)/B53,0))</f>
        <v/>
      </c>
      <c r="N53" s="9">
        <f>IF(A53="","",IFERROR(L53/B53,0)+H53)</f>
        <v/>
      </c>
      <c r="O53" s="9">
        <f>IF(A53="","",M53+N53)</f>
        <v/>
      </c>
      <c r="P53" s="9">
        <f>IF(A53="","",IF(B53&gt;0,1-O53-I53,0))</f>
        <v/>
      </c>
      <c r="Q53" s="8">
        <f>IF(A53="","",B53*P53)</f>
        <v/>
      </c>
      <c r="R53" s="9">
        <f>IF(A53="","",IF(B53&gt;0,P53-J53,0))</f>
        <v/>
      </c>
      <c r="S53" s="8">
        <f>IF(A53="","",B53*R53)</f>
        <v/>
      </c>
      <c r="T53" s="11">
        <f>IF(A53="","",IF(K53&gt;0,S53*K53,""))</f>
        <v/>
      </c>
      <c r="U53" s="11">
        <f>IF(A53="","",IFERROR(B53/Q53,0))</f>
        <v/>
      </c>
      <c r="V53" s="4">
        <f>IF(A53="","",IF(OR(S53&lt;=0,Q53&lt;=0),"Drop",IF(P53&gt;=0.6,"Profit product",IF(P53&gt;=0.5,"Traffic product","Thin - rework"))))</f>
        <v/>
      </c>
    </row>
    <row r="54">
      <c r="B54" s="7" t="n"/>
      <c r="C54" s="7" t="n"/>
      <c r="D54" s="7" t="n"/>
      <c r="E54" s="7" t="n"/>
      <c r="F54" s="10" t="n"/>
      <c r="G54" s="7" t="n"/>
      <c r="H54" s="10" t="n"/>
      <c r="I54" s="10" t="n"/>
      <c r="J54" s="10" t="n"/>
      <c r="K54" s="6" t="n"/>
      <c r="L54" s="8">
        <f>IF(A54="","",B54*F54+G54)</f>
        <v/>
      </c>
      <c r="M54" s="9">
        <f>IF(A54="","",IFERROR((C54+D54+E54)/B54,0))</f>
        <v/>
      </c>
      <c r="N54" s="9">
        <f>IF(A54="","",IFERROR(L54/B54,0)+H54)</f>
        <v/>
      </c>
      <c r="O54" s="9">
        <f>IF(A54="","",M54+N54)</f>
        <v/>
      </c>
      <c r="P54" s="9">
        <f>IF(A54="","",IF(B54&gt;0,1-O54-I54,0))</f>
        <v/>
      </c>
      <c r="Q54" s="8">
        <f>IF(A54="","",B54*P54)</f>
        <v/>
      </c>
      <c r="R54" s="9">
        <f>IF(A54="","",IF(B54&gt;0,P54-J54,0))</f>
        <v/>
      </c>
      <c r="S54" s="8">
        <f>IF(A54="","",B54*R54)</f>
        <v/>
      </c>
      <c r="T54" s="11">
        <f>IF(A54="","",IF(K54&gt;0,S54*K54,""))</f>
        <v/>
      </c>
      <c r="U54" s="11">
        <f>IF(A54="","",IFERROR(B54/Q54,0))</f>
        <v/>
      </c>
      <c r="V54" s="4">
        <f>IF(A54="","",IF(OR(S54&lt;=0,Q54&lt;=0),"Drop",IF(P54&gt;=0.6,"Profit product",IF(P54&gt;=0.5,"Traffic product","Thin - rework"))))</f>
        <v/>
      </c>
    </row>
    <row r="55">
      <c r="B55" s="7" t="n"/>
      <c r="C55" s="7" t="n"/>
      <c r="D55" s="7" t="n"/>
      <c r="E55" s="7" t="n"/>
      <c r="F55" s="10" t="n"/>
      <c r="G55" s="7" t="n"/>
      <c r="H55" s="10" t="n"/>
      <c r="I55" s="10" t="n"/>
      <c r="J55" s="10" t="n"/>
      <c r="K55" s="6" t="n"/>
      <c r="L55" s="8">
        <f>IF(A55="","",B55*F55+G55)</f>
        <v/>
      </c>
      <c r="M55" s="9">
        <f>IF(A55="","",IFERROR((C55+D55+E55)/B55,0))</f>
        <v/>
      </c>
      <c r="N55" s="9">
        <f>IF(A55="","",IFERROR(L55/B55,0)+H55)</f>
        <v/>
      </c>
      <c r="O55" s="9">
        <f>IF(A55="","",M55+N55)</f>
        <v/>
      </c>
      <c r="P55" s="9">
        <f>IF(A55="","",IF(B55&gt;0,1-O55-I55,0))</f>
        <v/>
      </c>
      <c r="Q55" s="8">
        <f>IF(A55="","",B55*P55)</f>
        <v/>
      </c>
      <c r="R55" s="9">
        <f>IF(A55="","",IF(B55&gt;0,P55-J55,0))</f>
        <v/>
      </c>
      <c r="S55" s="8">
        <f>IF(A55="","",B55*R55)</f>
        <v/>
      </c>
      <c r="T55" s="11">
        <f>IF(A55="","",IF(K55&gt;0,S55*K55,""))</f>
        <v/>
      </c>
      <c r="U55" s="11">
        <f>IF(A55="","",IFERROR(B55/Q55,0))</f>
        <v/>
      </c>
      <c r="V55" s="4">
        <f>IF(A55="","",IF(OR(S55&lt;=0,Q55&lt;=0),"Drop",IF(P55&gt;=0.6,"Profit product",IF(P55&gt;=0.5,"Traffic product","Thin - rework"))))</f>
        <v/>
      </c>
    </row>
    <row r="56">
      <c r="B56" s="7" t="n"/>
      <c r="C56" s="7" t="n"/>
      <c r="D56" s="7" t="n"/>
      <c r="E56" s="7" t="n"/>
      <c r="F56" s="10" t="n"/>
      <c r="G56" s="7" t="n"/>
      <c r="H56" s="10" t="n"/>
      <c r="I56" s="10" t="n"/>
      <c r="J56" s="10" t="n"/>
      <c r="K56" s="6" t="n"/>
      <c r="L56" s="8">
        <f>IF(A56="","",B56*F56+G56)</f>
        <v/>
      </c>
      <c r="M56" s="9">
        <f>IF(A56="","",IFERROR((C56+D56+E56)/B56,0))</f>
        <v/>
      </c>
      <c r="N56" s="9">
        <f>IF(A56="","",IFERROR(L56/B56,0)+H56)</f>
        <v/>
      </c>
      <c r="O56" s="9">
        <f>IF(A56="","",M56+N56)</f>
        <v/>
      </c>
      <c r="P56" s="9">
        <f>IF(A56="","",IF(B56&gt;0,1-O56-I56,0))</f>
        <v/>
      </c>
      <c r="Q56" s="8">
        <f>IF(A56="","",B56*P56)</f>
        <v/>
      </c>
      <c r="R56" s="9">
        <f>IF(A56="","",IF(B56&gt;0,P56-J56,0))</f>
        <v/>
      </c>
      <c r="S56" s="8">
        <f>IF(A56="","",B56*R56)</f>
        <v/>
      </c>
      <c r="T56" s="11">
        <f>IF(A56="","",IF(K56&gt;0,S56*K56,""))</f>
        <v/>
      </c>
      <c r="U56" s="11">
        <f>IF(A56="","",IFERROR(B56/Q56,0))</f>
        <v/>
      </c>
      <c r="V56" s="4">
        <f>IF(A56="","",IF(OR(S56&lt;=0,Q56&lt;=0),"Drop",IF(P56&gt;=0.6,"Profit product",IF(P56&gt;=0.5,"Traffic product","Thin - rework"))))</f>
        <v/>
      </c>
    </row>
    <row r="57">
      <c r="B57" s="7" t="n"/>
      <c r="C57" s="7" t="n"/>
      <c r="D57" s="7" t="n"/>
      <c r="E57" s="7" t="n"/>
      <c r="F57" s="10" t="n"/>
      <c r="G57" s="7" t="n"/>
      <c r="H57" s="10" t="n"/>
      <c r="I57" s="10" t="n"/>
      <c r="J57" s="10" t="n"/>
      <c r="K57" s="6" t="n"/>
      <c r="L57" s="8">
        <f>IF(A57="","",B57*F57+G57)</f>
        <v/>
      </c>
      <c r="M57" s="9">
        <f>IF(A57="","",IFERROR((C57+D57+E57)/B57,0))</f>
        <v/>
      </c>
      <c r="N57" s="9">
        <f>IF(A57="","",IFERROR(L57/B57,0)+H57)</f>
        <v/>
      </c>
      <c r="O57" s="9">
        <f>IF(A57="","",M57+N57)</f>
        <v/>
      </c>
      <c r="P57" s="9">
        <f>IF(A57="","",IF(B57&gt;0,1-O57-I57,0))</f>
        <v/>
      </c>
      <c r="Q57" s="8">
        <f>IF(A57="","",B57*P57)</f>
        <v/>
      </c>
      <c r="R57" s="9">
        <f>IF(A57="","",IF(B57&gt;0,P57-J57,0))</f>
        <v/>
      </c>
      <c r="S57" s="8">
        <f>IF(A57="","",B57*R57)</f>
        <v/>
      </c>
      <c r="T57" s="11">
        <f>IF(A57="","",IF(K57&gt;0,S57*K57,""))</f>
        <v/>
      </c>
      <c r="U57" s="11">
        <f>IF(A57="","",IFERROR(B57/Q57,0))</f>
        <v/>
      </c>
      <c r="V57" s="4">
        <f>IF(A57="","",IF(OR(S57&lt;=0,Q57&lt;=0),"Drop",IF(P57&gt;=0.6,"Profit product",IF(P57&gt;=0.5,"Traffic product","Thin - rework"))))</f>
        <v/>
      </c>
    </row>
    <row r="58">
      <c r="B58" s="7" t="n"/>
      <c r="C58" s="7" t="n"/>
      <c r="D58" s="7" t="n"/>
      <c r="E58" s="7" t="n"/>
      <c r="F58" s="10" t="n"/>
      <c r="G58" s="7" t="n"/>
      <c r="H58" s="10" t="n"/>
      <c r="I58" s="10" t="n"/>
      <c r="J58" s="10" t="n"/>
      <c r="K58" s="6" t="n"/>
      <c r="L58" s="8">
        <f>IF(A58="","",B58*F58+G58)</f>
        <v/>
      </c>
      <c r="M58" s="9">
        <f>IF(A58="","",IFERROR((C58+D58+E58)/B58,0))</f>
        <v/>
      </c>
      <c r="N58" s="9">
        <f>IF(A58="","",IFERROR(L58/B58,0)+H58)</f>
        <v/>
      </c>
      <c r="O58" s="9">
        <f>IF(A58="","",M58+N58)</f>
        <v/>
      </c>
      <c r="P58" s="9">
        <f>IF(A58="","",IF(B58&gt;0,1-O58-I58,0))</f>
        <v/>
      </c>
      <c r="Q58" s="8">
        <f>IF(A58="","",B58*P58)</f>
        <v/>
      </c>
      <c r="R58" s="9">
        <f>IF(A58="","",IF(B58&gt;0,P58-J58,0))</f>
        <v/>
      </c>
      <c r="S58" s="8">
        <f>IF(A58="","",B58*R58)</f>
        <v/>
      </c>
      <c r="T58" s="11">
        <f>IF(A58="","",IF(K58&gt;0,S58*K58,""))</f>
        <v/>
      </c>
      <c r="U58" s="11">
        <f>IF(A58="","",IFERROR(B58/Q58,0))</f>
        <v/>
      </c>
      <c r="V58" s="4">
        <f>IF(A58="","",IF(OR(S58&lt;=0,Q58&lt;=0),"Drop",IF(P58&gt;=0.6,"Profit product",IF(P58&gt;=0.5,"Traffic product","Thin - rework"))))</f>
        <v/>
      </c>
    </row>
    <row r="59">
      <c r="B59" s="7" t="n"/>
      <c r="C59" s="7" t="n"/>
      <c r="D59" s="7" t="n"/>
      <c r="E59" s="7" t="n"/>
      <c r="F59" s="10" t="n"/>
      <c r="G59" s="7" t="n"/>
      <c r="H59" s="10" t="n"/>
      <c r="I59" s="10" t="n"/>
      <c r="J59" s="10" t="n"/>
      <c r="K59" s="6" t="n"/>
      <c r="L59" s="8">
        <f>IF(A59="","",B59*F59+G59)</f>
        <v/>
      </c>
      <c r="M59" s="9">
        <f>IF(A59="","",IFERROR((C59+D59+E59)/B59,0))</f>
        <v/>
      </c>
      <c r="N59" s="9">
        <f>IF(A59="","",IFERROR(L59/B59,0)+H59)</f>
        <v/>
      </c>
      <c r="O59" s="9">
        <f>IF(A59="","",M59+N59)</f>
        <v/>
      </c>
      <c r="P59" s="9">
        <f>IF(A59="","",IF(B59&gt;0,1-O59-I59,0))</f>
        <v/>
      </c>
      <c r="Q59" s="8">
        <f>IF(A59="","",B59*P59)</f>
        <v/>
      </c>
      <c r="R59" s="9">
        <f>IF(A59="","",IF(B59&gt;0,P59-J59,0))</f>
        <v/>
      </c>
      <c r="S59" s="8">
        <f>IF(A59="","",B59*R59)</f>
        <v/>
      </c>
      <c r="T59" s="11">
        <f>IF(A59="","",IF(K59&gt;0,S59*K59,""))</f>
        <v/>
      </c>
      <c r="U59" s="11">
        <f>IF(A59="","",IFERROR(B59/Q59,0))</f>
        <v/>
      </c>
      <c r="V59" s="4">
        <f>IF(A59="","",IF(OR(S59&lt;=0,Q59&lt;=0),"Drop",IF(P59&gt;=0.6,"Profit product",IF(P59&gt;=0.5,"Traffic product","Thin - rework"))))</f>
        <v/>
      </c>
    </row>
    <row r="60">
      <c r="B60" s="7" t="n"/>
      <c r="C60" s="7" t="n"/>
      <c r="D60" s="7" t="n"/>
      <c r="E60" s="7" t="n"/>
      <c r="F60" s="10" t="n"/>
      <c r="G60" s="7" t="n"/>
      <c r="H60" s="10" t="n"/>
      <c r="I60" s="10" t="n"/>
      <c r="J60" s="10" t="n"/>
      <c r="K60" s="6" t="n"/>
      <c r="L60" s="8">
        <f>IF(A60="","",B60*F60+G60)</f>
        <v/>
      </c>
      <c r="M60" s="9">
        <f>IF(A60="","",IFERROR((C60+D60+E60)/B60,0))</f>
        <v/>
      </c>
      <c r="N60" s="9">
        <f>IF(A60="","",IFERROR(L60/B60,0)+H60)</f>
        <v/>
      </c>
      <c r="O60" s="9">
        <f>IF(A60="","",M60+N60)</f>
        <v/>
      </c>
      <c r="P60" s="9">
        <f>IF(A60="","",IF(B60&gt;0,1-O60-I60,0))</f>
        <v/>
      </c>
      <c r="Q60" s="8">
        <f>IF(A60="","",B60*P60)</f>
        <v/>
      </c>
      <c r="R60" s="9">
        <f>IF(A60="","",IF(B60&gt;0,P60-J60,0))</f>
        <v/>
      </c>
      <c r="S60" s="8">
        <f>IF(A60="","",B60*R60)</f>
        <v/>
      </c>
      <c r="T60" s="11">
        <f>IF(A60="","",IF(K60&gt;0,S60*K60,""))</f>
        <v/>
      </c>
      <c r="U60" s="11">
        <f>IF(A60="","",IFERROR(B60/Q60,0))</f>
        <v/>
      </c>
      <c r="V60" s="4">
        <f>IF(A60="","",IF(OR(S60&lt;=0,Q60&lt;=0),"Drop",IF(P60&gt;=0.6,"Profit product",IF(P60&gt;=0.5,"Traffic product","Thin - rework"))))</f>
        <v/>
      </c>
    </row>
    <row r="61">
      <c r="B61" s="7" t="n"/>
      <c r="C61" s="7" t="n"/>
      <c r="D61" s="7" t="n"/>
      <c r="E61" s="7" t="n"/>
      <c r="F61" s="10" t="n"/>
      <c r="G61" s="7" t="n"/>
      <c r="H61" s="10" t="n"/>
      <c r="I61" s="10" t="n"/>
      <c r="J61" s="10" t="n"/>
      <c r="K61" s="6" t="n"/>
      <c r="L61" s="8">
        <f>IF(A61="","",B61*F61+G61)</f>
        <v/>
      </c>
      <c r="M61" s="9">
        <f>IF(A61="","",IFERROR((C61+D61+E61)/B61,0))</f>
        <v/>
      </c>
      <c r="N61" s="9">
        <f>IF(A61="","",IFERROR(L61/B61,0)+H61)</f>
        <v/>
      </c>
      <c r="O61" s="9">
        <f>IF(A61="","",M61+N61)</f>
        <v/>
      </c>
      <c r="P61" s="9">
        <f>IF(A61="","",IF(B61&gt;0,1-O61-I61,0))</f>
        <v/>
      </c>
      <c r="Q61" s="8">
        <f>IF(A61="","",B61*P61)</f>
        <v/>
      </c>
      <c r="R61" s="9">
        <f>IF(A61="","",IF(B61&gt;0,P61-J61,0))</f>
        <v/>
      </c>
      <c r="S61" s="8">
        <f>IF(A61="","",B61*R61)</f>
        <v/>
      </c>
      <c r="T61" s="11">
        <f>IF(A61="","",IF(K61&gt;0,S61*K61,""))</f>
        <v/>
      </c>
      <c r="U61" s="11">
        <f>IF(A61="","",IFERROR(B61/Q61,0))</f>
        <v/>
      </c>
      <c r="V61" s="4">
        <f>IF(A61="","",IF(OR(S61&lt;=0,Q61&lt;=0),"Drop",IF(P61&gt;=0.6,"Profit product",IF(P61&gt;=0.5,"Traffic product","Thin - rework"))))</f>
        <v/>
      </c>
    </row>
    <row r="62">
      <c r="B62" s="7" t="n"/>
      <c r="C62" s="7" t="n"/>
      <c r="D62" s="7" t="n"/>
      <c r="E62" s="7" t="n"/>
      <c r="F62" s="10" t="n"/>
      <c r="G62" s="7" t="n"/>
      <c r="H62" s="10" t="n"/>
      <c r="I62" s="10" t="n"/>
      <c r="J62" s="10" t="n"/>
      <c r="K62" s="6" t="n"/>
      <c r="L62" s="8">
        <f>IF(A62="","",B62*F62+G62)</f>
        <v/>
      </c>
      <c r="M62" s="9">
        <f>IF(A62="","",IFERROR((C62+D62+E62)/B62,0))</f>
        <v/>
      </c>
      <c r="N62" s="9">
        <f>IF(A62="","",IFERROR(L62/B62,0)+H62)</f>
        <v/>
      </c>
      <c r="O62" s="9">
        <f>IF(A62="","",M62+N62)</f>
        <v/>
      </c>
      <c r="P62" s="9">
        <f>IF(A62="","",IF(B62&gt;0,1-O62-I62,0))</f>
        <v/>
      </c>
      <c r="Q62" s="8">
        <f>IF(A62="","",B62*P62)</f>
        <v/>
      </c>
      <c r="R62" s="9">
        <f>IF(A62="","",IF(B62&gt;0,P62-J62,0))</f>
        <v/>
      </c>
      <c r="S62" s="8">
        <f>IF(A62="","",B62*R62)</f>
        <v/>
      </c>
      <c r="T62" s="11">
        <f>IF(A62="","",IF(K62&gt;0,S62*K62,""))</f>
        <v/>
      </c>
      <c r="U62" s="11">
        <f>IF(A62="","",IFERROR(B62/Q62,0))</f>
        <v/>
      </c>
      <c r="V62" s="4">
        <f>IF(A62="","",IF(OR(S62&lt;=0,Q62&lt;=0),"Drop",IF(P62&gt;=0.6,"Profit product",IF(P62&gt;=0.5,"Traffic product","Thin - rework"))))</f>
        <v/>
      </c>
    </row>
    <row r="63">
      <c r="B63" s="7" t="n"/>
      <c r="C63" s="7" t="n"/>
      <c r="D63" s="7" t="n"/>
      <c r="E63" s="7" t="n"/>
      <c r="F63" s="10" t="n"/>
      <c r="G63" s="7" t="n"/>
      <c r="H63" s="10" t="n"/>
      <c r="I63" s="10" t="n"/>
      <c r="J63" s="10" t="n"/>
      <c r="K63" s="6" t="n"/>
      <c r="L63" s="8">
        <f>IF(A63="","",B63*F63+G63)</f>
        <v/>
      </c>
      <c r="M63" s="9">
        <f>IF(A63="","",IFERROR((C63+D63+E63)/B63,0))</f>
        <v/>
      </c>
      <c r="N63" s="9">
        <f>IF(A63="","",IFERROR(L63/B63,0)+H63)</f>
        <v/>
      </c>
      <c r="O63" s="9">
        <f>IF(A63="","",M63+N63)</f>
        <v/>
      </c>
      <c r="P63" s="9">
        <f>IF(A63="","",IF(B63&gt;0,1-O63-I63,0))</f>
        <v/>
      </c>
      <c r="Q63" s="8">
        <f>IF(A63="","",B63*P63)</f>
        <v/>
      </c>
      <c r="R63" s="9">
        <f>IF(A63="","",IF(B63&gt;0,P63-J63,0))</f>
        <v/>
      </c>
      <c r="S63" s="8">
        <f>IF(A63="","",B63*R63)</f>
        <v/>
      </c>
      <c r="T63" s="11">
        <f>IF(A63="","",IF(K63&gt;0,S63*K63,""))</f>
        <v/>
      </c>
      <c r="U63" s="11">
        <f>IF(A63="","",IFERROR(B63/Q63,0))</f>
        <v/>
      </c>
      <c r="V63" s="4">
        <f>IF(A63="","",IF(OR(S63&lt;=0,Q63&lt;=0),"Drop",IF(P63&gt;=0.6,"Profit product",IF(P63&gt;=0.5,"Traffic product","Thin - rework"))))</f>
        <v/>
      </c>
    </row>
    <row r="64">
      <c r="B64" s="7" t="n"/>
      <c r="C64" s="7" t="n"/>
      <c r="D64" s="7" t="n"/>
      <c r="E64" s="7" t="n"/>
      <c r="F64" s="10" t="n"/>
      <c r="G64" s="7" t="n"/>
      <c r="H64" s="10" t="n"/>
      <c r="I64" s="10" t="n"/>
      <c r="J64" s="10" t="n"/>
      <c r="K64" s="6" t="n"/>
      <c r="L64" s="8">
        <f>IF(A64="","",B64*F64+G64)</f>
        <v/>
      </c>
      <c r="M64" s="9">
        <f>IF(A64="","",IFERROR((C64+D64+E64)/B64,0))</f>
        <v/>
      </c>
      <c r="N64" s="9">
        <f>IF(A64="","",IFERROR(L64/B64,0)+H64)</f>
        <v/>
      </c>
      <c r="O64" s="9">
        <f>IF(A64="","",M64+N64)</f>
        <v/>
      </c>
      <c r="P64" s="9">
        <f>IF(A64="","",IF(B64&gt;0,1-O64-I64,0))</f>
        <v/>
      </c>
      <c r="Q64" s="8">
        <f>IF(A64="","",B64*P64)</f>
        <v/>
      </c>
      <c r="R64" s="9">
        <f>IF(A64="","",IF(B64&gt;0,P64-J64,0))</f>
        <v/>
      </c>
      <c r="S64" s="8">
        <f>IF(A64="","",B64*R64)</f>
        <v/>
      </c>
      <c r="T64" s="11">
        <f>IF(A64="","",IF(K64&gt;0,S64*K64,""))</f>
        <v/>
      </c>
      <c r="U64" s="11">
        <f>IF(A64="","",IFERROR(B64/Q64,0))</f>
        <v/>
      </c>
      <c r="V64" s="4">
        <f>IF(A64="","",IF(OR(S64&lt;=0,Q64&lt;=0),"Drop",IF(P64&gt;=0.6,"Profit product",IF(P64&gt;=0.5,"Traffic product","Thin - rework"))))</f>
        <v/>
      </c>
    </row>
    <row r="65">
      <c r="B65" s="7" t="n"/>
      <c r="C65" s="7" t="n"/>
      <c r="D65" s="7" t="n"/>
      <c r="E65" s="7" t="n"/>
      <c r="F65" s="10" t="n"/>
      <c r="G65" s="7" t="n"/>
      <c r="H65" s="10" t="n"/>
      <c r="I65" s="10" t="n"/>
      <c r="J65" s="10" t="n"/>
      <c r="K65" s="6" t="n"/>
      <c r="L65" s="8">
        <f>IF(A65="","",B65*F65+G65)</f>
        <v/>
      </c>
      <c r="M65" s="9">
        <f>IF(A65="","",IFERROR((C65+D65+E65)/B65,0))</f>
        <v/>
      </c>
      <c r="N65" s="9">
        <f>IF(A65="","",IFERROR(L65/B65,0)+H65)</f>
        <v/>
      </c>
      <c r="O65" s="9">
        <f>IF(A65="","",M65+N65)</f>
        <v/>
      </c>
      <c r="P65" s="9">
        <f>IF(A65="","",IF(B65&gt;0,1-O65-I65,0))</f>
        <v/>
      </c>
      <c r="Q65" s="8">
        <f>IF(A65="","",B65*P65)</f>
        <v/>
      </c>
      <c r="R65" s="9">
        <f>IF(A65="","",IF(B65&gt;0,P65-J65,0))</f>
        <v/>
      </c>
      <c r="S65" s="8">
        <f>IF(A65="","",B65*R65)</f>
        <v/>
      </c>
      <c r="T65" s="11">
        <f>IF(A65="","",IF(K65&gt;0,S65*K65,""))</f>
        <v/>
      </c>
      <c r="U65" s="11">
        <f>IF(A65="","",IFERROR(B65/Q65,0))</f>
        <v/>
      </c>
      <c r="V65" s="4">
        <f>IF(A65="","",IF(OR(S65&lt;=0,Q65&lt;=0),"Drop",IF(P65&gt;=0.6,"Profit product",IF(P65&gt;=0.5,"Traffic product","Thin - rework"))))</f>
        <v/>
      </c>
    </row>
    <row r="66">
      <c r="B66" s="7" t="n"/>
      <c r="C66" s="7" t="n"/>
      <c r="D66" s="7" t="n"/>
      <c r="E66" s="7" t="n"/>
      <c r="F66" s="10" t="n"/>
      <c r="G66" s="7" t="n"/>
      <c r="H66" s="10" t="n"/>
      <c r="I66" s="10" t="n"/>
      <c r="J66" s="10" t="n"/>
      <c r="K66" s="6" t="n"/>
      <c r="L66" s="8">
        <f>IF(A66="","",B66*F66+G66)</f>
        <v/>
      </c>
      <c r="M66" s="9">
        <f>IF(A66="","",IFERROR((C66+D66+E66)/B66,0))</f>
        <v/>
      </c>
      <c r="N66" s="9">
        <f>IF(A66="","",IFERROR(L66/B66,0)+H66)</f>
        <v/>
      </c>
      <c r="O66" s="9">
        <f>IF(A66="","",M66+N66)</f>
        <v/>
      </c>
      <c r="P66" s="9">
        <f>IF(A66="","",IF(B66&gt;0,1-O66-I66,0))</f>
        <v/>
      </c>
      <c r="Q66" s="8">
        <f>IF(A66="","",B66*P66)</f>
        <v/>
      </c>
      <c r="R66" s="9">
        <f>IF(A66="","",IF(B66&gt;0,P66-J66,0))</f>
        <v/>
      </c>
      <c r="S66" s="8">
        <f>IF(A66="","",B66*R66)</f>
        <v/>
      </c>
      <c r="T66" s="11">
        <f>IF(A66="","",IF(K66&gt;0,S66*K66,""))</f>
        <v/>
      </c>
      <c r="U66" s="11">
        <f>IF(A66="","",IFERROR(B66/Q66,0))</f>
        <v/>
      </c>
      <c r="V66" s="4">
        <f>IF(A66="","",IF(OR(S66&lt;=0,Q66&lt;=0),"Drop",IF(P66&gt;=0.6,"Profit product",IF(P66&gt;=0.5,"Traffic product","Thin - rework"))))</f>
        <v/>
      </c>
    </row>
    <row r="67">
      <c r="B67" s="7" t="n"/>
      <c r="C67" s="7" t="n"/>
      <c r="D67" s="7" t="n"/>
      <c r="E67" s="7" t="n"/>
      <c r="F67" s="10" t="n"/>
      <c r="G67" s="7" t="n"/>
      <c r="H67" s="10" t="n"/>
      <c r="I67" s="10" t="n"/>
      <c r="J67" s="10" t="n"/>
      <c r="K67" s="6" t="n"/>
      <c r="L67" s="8">
        <f>IF(A67="","",B67*F67+G67)</f>
        <v/>
      </c>
      <c r="M67" s="9">
        <f>IF(A67="","",IFERROR((C67+D67+E67)/B67,0))</f>
        <v/>
      </c>
      <c r="N67" s="9">
        <f>IF(A67="","",IFERROR(L67/B67,0)+H67)</f>
        <v/>
      </c>
      <c r="O67" s="9">
        <f>IF(A67="","",M67+N67)</f>
        <v/>
      </c>
      <c r="P67" s="9">
        <f>IF(A67="","",IF(B67&gt;0,1-O67-I67,0))</f>
        <v/>
      </c>
      <c r="Q67" s="8">
        <f>IF(A67="","",B67*P67)</f>
        <v/>
      </c>
      <c r="R67" s="9">
        <f>IF(A67="","",IF(B67&gt;0,P67-J67,0))</f>
        <v/>
      </c>
      <c r="S67" s="8">
        <f>IF(A67="","",B67*R67)</f>
        <v/>
      </c>
      <c r="T67" s="11">
        <f>IF(A67="","",IF(K67&gt;0,S67*K67,""))</f>
        <v/>
      </c>
      <c r="U67" s="11">
        <f>IF(A67="","",IFERROR(B67/Q67,0))</f>
        <v/>
      </c>
      <c r="V67" s="4">
        <f>IF(A67="","",IF(OR(S67&lt;=0,Q67&lt;=0),"Drop",IF(P67&gt;=0.6,"Profit product",IF(P67&gt;=0.5,"Traffic product","Thin - rework"))))</f>
        <v/>
      </c>
    </row>
    <row r="68">
      <c r="B68" s="7" t="n"/>
      <c r="C68" s="7" t="n"/>
      <c r="D68" s="7" t="n"/>
      <c r="E68" s="7" t="n"/>
      <c r="F68" s="10" t="n"/>
      <c r="G68" s="7" t="n"/>
      <c r="H68" s="10" t="n"/>
      <c r="I68" s="10" t="n"/>
      <c r="J68" s="10" t="n"/>
      <c r="K68" s="6" t="n"/>
      <c r="L68" s="8">
        <f>IF(A68="","",B68*F68+G68)</f>
        <v/>
      </c>
      <c r="M68" s="9">
        <f>IF(A68="","",IFERROR((C68+D68+E68)/B68,0))</f>
        <v/>
      </c>
      <c r="N68" s="9">
        <f>IF(A68="","",IFERROR(L68/B68,0)+H68)</f>
        <v/>
      </c>
      <c r="O68" s="9">
        <f>IF(A68="","",M68+N68)</f>
        <v/>
      </c>
      <c r="P68" s="9">
        <f>IF(A68="","",IF(B68&gt;0,1-O68-I68,0))</f>
        <v/>
      </c>
      <c r="Q68" s="8">
        <f>IF(A68="","",B68*P68)</f>
        <v/>
      </c>
      <c r="R68" s="9">
        <f>IF(A68="","",IF(B68&gt;0,P68-J68,0))</f>
        <v/>
      </c>
      <c r="S68" s="8">
        <f>IF(A68="","",B68*R68)</f>
        <v/>
      </c>
      <c r="T68" s="11">
        <f>IF(A68="","",IF(K68&gt;0,S68*K68,""))</f>
        <v/>
      </c>
      <c r="U68" s="11">
        <f>IF(A68="","",IFERROR(B68/Q68,0))</f>
        <v/>
      </c>
      <c r="V68" s="4">
        <f>IF(A68="","",IF(OR(S68&lt;=0,Q68&lt;=0),"Drop",IF(P68&gt;=0.6,"Profit product",IF(P68&gt;=0.5,"Traffic product","Thin - rework"))))</f>
        <v/>
      </c>
    </row>
    <row r="69">
      <c r="B69" s="7" t="n"/>
      <c r="C69" s="7" t="n"/>
      <c r="D69" s="7" t="n"/>
      <c r="E69" s="7" t="n"/>
      <c r="F69" s="10" t="n"/>
      <c r="G69" s="7" t="n"/>
      <c r="H69" s="10" t="n"/>
      <c r="I69" s="10" t="n"/>
      <c r="J69" s="10" t="n"/>
      <c r="K69" s="6" t="n"/>
      <c r="L69" s="8">
        <f>IF(A69="","",B69*F69+G69)</f>
        <v/>
      </c>
      <c r="M69" s="9">
        <f>IF(A69="","",IFERROR((C69+D69+E69)/B69,0))</f>
        <v/>
      </c>
      <c r="N69" s="9">
        <f>IF(A69="","",IFERROR(L69/B69,0)+H69)</f>
        <v/>
      </c>
      <c r="O69" s="9">
        <f>IF(A69="","",M69+N69)</f>
        <v/>
      </c>
      <c r="P69" s="9">
        <f>IF(A69="","",IF(B69&gt;0,1-O69-I69,0))</f>
        <v/>
      </c>
      <c r="Q69" s="8">
        <f>IF(A69="","",B69*P69)</f>
        <v/>
      </c>
      <c r="R69" s="9">
        <f>IF(A69="","",IF(B69&gt;0,P69-J69,0))</f>
        <v/>
      </c>
      <c r="S69" s="8">
        <f>IF(A69="","",B69*R69)</f>
        <v/>
      </c>
      <c r="T69" s="11">
        <f>IF(A69="","",IF(K69&gt;0,S69*K69,""))</f>
        <v/>
      </c>
      <c r="U69" s="11">
        <f>IF(A69="","",IFERROR(B69/Q69,0))</f>
        <v/>
      </c>
      <c r="V69" s="4">
        <f>IF(A69="","",IF(OR(S69&lt;=0,Q69&lt;=0),"Drop",IF(P69&gt;=0.6,"Profit product",IF(P69&gt;=0.5,"Traffic product","Thin - rework"))))</f>
        <v/>
      </c>
    </row>
    <row r="70">
      <c r="B70" s="7" t="n"/>
      <c r="C70" s="7" t="n"/>
      <c r="D70" s="7" t="n"/>
      <c r="E70" s="7" t="n"/>
      <c r="F70" s="10" t="n"/>
      <c r="G70" s="7" t="n"/>
      <c r="H70" s="10" t="n"/>
      <c r="I70" s="10" t="n"/>
      <c r="J70" s="10" t="n"/>
      <c r="K70" s="6" t="n"/>
      <c r="L70" s="8">
        <f>IF(A70="","",B70*F70+G70)</f>
        <v/>
      </c>
      <c r="M70" s="9">
        <f>IF(A70="","",IFERROR((C70+D70+E70)/B70,0))</f>
        <v/>
      </c>
      <c r="N70" s="9">
        <f>IF(A70="","",IFERROR(L70/B70,0)+H70)</f>
        <v/>
      </c>
      <c r="O70" s="9">
        <f>IF(A70="","",M70+N70)</f>
        <v/>
      </c>
      <c r="P70" s="9">
        <f>IF(A70="","",IF(B70&gt;0,1-O70-I70,0))</f>
        <v/>
      </c>
      <c r="Q70" s="8">
        <f>IF(A70="","",B70*P70)</f>
        <v/>
      </c>
      <c r="R70" s="9">
        <f>IF(A70="","",IF(B70&gt;0,P70-J70,0))</f>
        <v/>
      </c>
      <c r="S70" s="8">
        <f>IF(A70="","",B70*R70)</f>
        <v/>
      </c>
      <c r="T70" s="11">
        <f>IF(A70="","",IF(K70&gt;0,S70*K70,""))</f>
        <v/>
      </c>
      <c r="U70" s="11">
        <f>IF(A70="","",IFERROR(B70/Q70,0))</f>
        <v/>
      </c>
      <c r="V70" s="4">
        <f>IF(A70="","",IF(OR(S70&lt;=0,Q70&lt;=0),"Drop",IF(P70&gt;=0.6,"Profit product",IF(P70&gt;=0.5,"Traffic product","Thin - rework"))))</f>
        <v/>
      </c>
    </row>
    <row r="71">
      <c r="B71" s="7" t="n"/>
      <c r="C71" s="7" t="n"/>
      <c r="D71" s="7" t="n"/>
      <c r="E71" s="7" t="n"/>
      <c r="F71" s="10" t="n"/>
      <c r="G71" s="7" t="n"/>
      <c r="H71" s="10" t="n"/>
      <c r="I71" s="10" t="n"/>
      <c r="J71" s="10" t="n"/>
      <c r="K71" s="6" t="n"/>
      <c r="L71" s="8">
        <f>IF(A71="","",B71*F71+G71)</f>
        <v/>
      </c>
      <c r="M71" s="9">
        <f>IF(A71="","",IFERROR((C71+D71+E71)/B71,0))</f>
        <v/>
      </c>
      <c r="N71" s="9">
        <f>IF(A71="","",IFERROR(L71/B71,0)+H71)</f>
        <v/>
      </c>
      <c r="O71" s="9">
        <f>IF(A71="","",M71+N71)</f>
        <v/>
      </c>
      <c r="P71" s="9">
        <f>IF(A71="","",IF(B71&gt;0,1-O71-I71,0))</f>
        <v/>
      </c>
      <c r="Q71" s="8">
        <f>IF(A71="","",B71*P71)</f>
        <v/>
      </c>
      <c r="R71" s="9">
        <f>IF(A71="","",IF(B71&gt;0,P71-J71,0))</f>
        <v/>
      </c>
      <c r="S71" s="8">
        <f>IF(A71="","",B71*R71)</f>
        <v/>
      </c>
      <c r="T71" s="11">
        <f>IF(A71="","",IF(K71&gt;0,S71*K71,""))</f>
        <v/>
      </c>
      <c r="U71" s="11">
        <f>IF(A71="","",IFERROR(B71/Q71,0))</f>
        <v/>
      </c>
      <c r="V71" s="4">
        <f>IF(A71="","",IF(OR(S71&lt;=0,Q71&lt;=0),"Drop",IF(P71&gt;=0.6,"Profit product",IF(P71&gt;=0.5,"Traffic product","Thin - rework"))))</f>
        <v/>
      </c>
    </row>
    <row r="72">
      <c r="B72" s="7" t="n"/>
      <c r="C72" s="7" t="n"/>
      <c r="D72" s="7" t="n"/>
      <c r="E72" s="7" t="n"/>
      <c r="F72" s="10" t="n"/>
      <c r="G72" s="7" t="n"/>
      <c r="H72" s="10" t="n"/>
      <c r="I72" s="10" t="n"/>
      <c r="J72" s="10" t="n"/>
      <c r="K72" s="6" t="n"/>
      <c r="L72" s="8">
        <f>IF(A72="","",B72*F72+G72)</f>
        <v/>
      </c>
      <c r="M72" s="9">
        <f>IF(A72="","",IFERROR((C72+D72+E72)/B72,0))</f>
        <v/>
      </c>
      <c r="N72" s="9">
        <f>IF(A72="","",IFERROR(L72/B72,0)+H72)</f>
        <v/>
      </c>
      <c r="O72" s="9">
        <f>IF(A72="","",M72+N72)</f>
        <v/>
      </c>
      <c r="P72" s="9">
        <f>IF(A72="","",IF(B72&gt;0,1-O72-I72,0))</f>
        <v/>
      </c>
      <c r="Q72" s="8">
        <f>IF(A72="","",B72*P72)</f>
        <v/>
      </c>
      <c r="R72" s="9">
        <f>IF(A72="","",IF(B72&gt;0,P72-J72,0))</f>
        <v/>
      </c>
      <c r="S72" s="8">
        <f>IF(A72="","",B72*R72)</f>
        <v/>
      </c>
      <c r="T72" s="11">
        <f>IF(A72="","",IF(K72&gt;0,S72*K72,""))</f>
        <v/>
      </c>
      <c r="U72" s="11">
        <f>IF(A72="","",IFERROR(B72/Q72,0))</f>
        <v/>
      </c>
      <c r="V72" s="4">
        <f>IF(A72="","",IF(OR(S72&lt;=0,Q72&lt;=0),"Drop",IF(P72&gt;=0.6,"Profit product",IF(P72&gt;=0.5,"Traffic product","Thin - rework"))))</f>
        <v/>
      </c>
    </row>
    <row r="73">
      <c r="B73" s="7" t="n"/>
      <c r="C73" s="7" t="n"/>
      <c r="D73" s="7" t="n"/>
      <c r="E73" s="7" t="n"/>
      <c r="F73" s="10" t="n"/>
      <c r="G73" s="7" t="n"/>
      <c r="H73" s="10" t="n"/>
      <c r="I73" s="10" t="n"/>
      <c r="J73" s="10" t="n"/>
      <c r="K73" s="6" t="n"/>
      <c r="L73" s="8">
        <f>IF(A73="","",B73*F73+G73)</f>
        <v/>
      </c>
      <c r="M73" s="9">
        <f>IF(A73="","",IFERROR((C73+D73+E73)/B73,0))</f>
        <v/>
      </c>
      <c r="N73" s="9">
        <f>IF(A73="","",IFERROR(L73/B73,0)+H73)</f>
        <v/>
      </c>
      <c r="O73" s="9">
        <f>IF(A73="","",M73+N73)</f>
        <v/>
      </c>
      <c r="P73" s="9">
        <f>IF(A73="","",IF(B73&gt;0,1-O73-I73,0))</f>
        <v/>
      </c>
      <c r="Q73" s="8">
        <f>IF(A73="","",B73*P73)</f>
        <v/>
      </c>
      <c r="R73" s="9">
        <f>IF(A73="","",IF(B73&gt;0,P73-J73,0))</f>
        <v/>
      </c>
      <c r="S73" s="8">
        <f>IF(A73="","",B73*R73)</f>
        <v/>
      </c>
      <c r="T73" s="11">
        <f>IF(A73="","",IF(K73&gt;0,S73*K73,""))</f>
        <v/>
      </c>
      <c r="U73" s="11">
        <f>IF(A73="","",IFERROR(B73/Q73,0))</f>
        <v/>
      </c>
      <c r="V73" s="4">
        <f>IF(A73="","",IF(OR(S73&lt;=0,Q73&lt;=0),"Drop",IF(P73&gt;=0.6,"Profit product",IF(P73&gt;=0.5,"Traffic product","Thin - rework"))))</f>
        <v/>
      </c>
    </row>
    <row r="74">
      <c r="B74" s="7" t="n"/>
      <c r="C74" s="7" t="n"/>
      <c r="D74" s="7" t="n"/>
      <c r="E74" s="7" t="n"/>
      <c r="F74" s="10" t="n"/>
      <c r="G74" s="7" t="n"/>
      <c r="H74" s="10" t="n"/>
      <c r="I74" s="10" t="n"/>
      <c r="J74" s="10" t="n"/>
      <c r="K74" s="6" t="n"/>
      <c r="L74" s="8">
        <f>IF(A74="","",B74*F74+G74)</f>
        <v/>
      </c>
      <c r="M74" s="9">
        <f>IF(A74="","",IFERROR((C74+D74+E74)/B74,0))</f>
        <v/>
      </c>
      <c r="N74" s="9">
        <f>IF(A74="","",IFERROR(L74/B74,0)+H74)</f>
        <v/>
      </c>
      <c r="O74" s="9">
        <f>IF(A74="","",M74+N74)</f>
        <v/>
      </c>
      <c r="P74" s="9">
        <f>IF(A74="","",IF(B74&gt;0,1-O74-I74,0))</f>
        <v/>
      </c>
      <c r="Q74" s="8">
        <f>IF(A74="","",B74*P74)</f>
        <v/>
      </c>
      <c r="R74" s="9">
        <f>IF(A74="","",IF(B74&gt;0,P74-J74,0))</f>
        <v/>
      </c>
      <c r="S74" s="8">
        <f>IF(A74="","",B74*R74)</f>
        <v/>
      </c>
      <c r="T74" s="11">
        <f>IF(A74="","",IF(K74&gt;0,S74*K74,""))</f>
        <v/>
      </c>
      <c r="U74" s="11">
        <f>IF(A74="","",IFERROR(B74/Q74,0))</f>
        <v/>
      </c>
      <c r="V74" s="4">
        <f>IF(A74="","",IF(OR(S74&lt;=0,Q74&lt;=0),"Drop",IF(P74&gt;=0.6,"Profit product",IF(P74&gt;=0.5,"Traffic product","Thin - rework"))))</f>
        <v/>
      </c>
    </row>
    <row r="75">
      <c r="B75" s="7" t="n"/>
      <c r="C75" s="7" t="n"/>
      <c r="D75" s="7" t="n"/>
      <c r="E75" s="7" t="n"/>
      <c r="F75" s="10" t="n"/>
      <c r="G75" s="7" t="n"/>
      <c r="H75" s="10" t="n"/>
      <c r="I75" s="10" t="n"/>
      <c r="J75" s="10" t="n"/>
      <c r="K75" s="6" t="n"/>
      <c r="L75" s="8">
        <f>IF(A75="","",B75*F75+G75)</f>
        <v/>
      </c>
      <c r="M75" s="9">
        <f>IF(A75="","",IFERROR((C75+D75+E75)/B75,0))</f>
        <v/>
      </c>
      <c r="N75" s="9">
        <f>IF(A75="","",IFERROR(L75/B75,0)+H75)</f>
        <v/>
      </c>
      <c r="O75" s="9">
        <f>IF(A75="","",M75+N75)</f>
        <v/>
      </c>
      <c r="P75" s="9">
        <f>IF(A75="","",IF(B75&gt;0,1-O75-I75,0))</f>
        <v/>
      </c>
      <c r="Q75" s="8">
        <f>IF(A75="","",B75*P75)</f>
        <v/>
      </c>
      <c r="R75" s="9">
        <f>IF(A75="","",IF(B75&gt;0,P75-J75,0))</f>
        <v/>
      </c>
      <c r="S75" s="8">
        <f>IF(A75="","",B75*R75)</f>
        <v/>
      </c>
      <c r="T75" s="11">
        <f>IF(A75="","",IF(K75&gt;0,S75*K75,""))</f>
        <v/>
      </c>
      <c r="U75" s="11">
        <f>IF(A75="","",IFERROR(B75/Q75,0))</f>
        <v/>
      </c>
      <c r="V75" s="4">
        <f>IF(A75="","",IF(OR(S75&lt;=0,Q75&lt;=0),"Drop",IF(P75&gt;=0.6,"Profit product",IF(P75&gt;=0.5,"Traffic product","Thin - rework"))))</f>
        <v/>
      </c>
    </row>
    <row r="76">
      <c r="B76" s="7" t="n"/>
      <c r="C76" s="7" t="n"/>
      <c r="D76" s="7" t="n"/>
      <c r="E76" s="7" t="n"/>
      <c r="F76" s="10" t="n"/>
      <c r="G76" s="7" t="n"/>
      <c r="H76" s="10" t="n"/>
      <c r="I76" s="10" t="n"/>
      <c r="J76" s="10" t="n"/>
      <c r="K76" s="6" t="n"/>
      <c r="L76" s="8">
        <f>IF(A76="","",B76*F76+G76)</f>
        <v/>
      </c>
      <c r="M76" s="9">
        <f>IF(A76="","",IFERROR((C76+D76+E76)/B76,0))</f>
        <v/>
      </c>
      <c r="N76" s="9">
        <f>IF(A76="","",IFERROR(L76/B76,0)+H76)</f>
        <v/>
      </c>
      <c r="O76" s="9">
        <f>IF(A76="","",M76+N76)</f>
        <v/>
      </c>
      <c r="P76" s="9">
        <f>IF(A76="","",IF(B76&gt;0,1-O76-I76,0))</f>
        <v/>
      </c>
      <c r="Q76" s="8">
        <f>IF(A76="","",B76*P76)</f>
        <v/>
      </c>
      <c r="R76" s="9">
        <f>IF(A76="","",IF(B76&gt;0,P76-J76,0))</f>
        <v/>
      </c>
      <c r="S76" s="8">
        <f>IF(A76="","",B76*R76)</f>
        <v/>
      </c>
      <c r="T76" s="11">
        <f>IF(A76="","",IF(K76&gt;0,S76*K76,""))</f>
        <v/>
      </c>
      <c r="U76" s="11">
        <f>IF(A76="","",IFERROR(B76/Q76,0))</f>
        <v/>
      </c>
      <c r="V76" s="4">
        <f>IF(A76="","",IF(OR(S76&lt;=0,Q76&lt;=0),"Drop",IF(P76&gt;=0.6,"Profit product",IF(P76&gt;=0.5,"Traffic product","Thin - rework"))))</f>
        <v/>
      </c>
    </row>
    <row r="77">
      <c r="B77" s="7" t="n"/>
      <c r="C77" s="7" t="n"/>
      <c r="D77" s="7" t="n"/>
      <c r="E77" s="7" t="n"/>
      <c r="F77" s="10" t="n"/>
      <c r="G77" s="7" t="n"/>
      <c r="H77" s="10" t="n"/>
      <c r="I77" s="10" t="n"/>
      <c r="J77" s="10" t="n"/>
      <c r="K77" s="6" t="n"/>
      <c r="L77" s="8">
        <f>IF(A77="","",B77*F77+G77)</f>
        <v/>
      </c>
      <c r="M77" s="9">
        <f>IF(A77="","",IFERROR((C77+D77+E77)/B77,0))</f>
        <v/>
      </c>
      <c r="N77" s="9">
        <f>IF(A77="","",IFERROR(L77/B77,0)+H77)</f>
        <v/>
      </c>
      <c r="O77" s="9">
        <f>IF(A77="","",M77+N77)</f>
        <v/>
      </c>
      <c r="P77" s="9">
        <f>IF(A77="","",IF(B77&gt;0,1-O77-I77,0))</f>
        <v/>
      </c>
      <c r="Q77" s="8">
        <f>IF(A77="","",B77*P77)</f>
        <v/>
      </c>
      <c r="R77" s="9">
        <f>IF(A77="","",IF(B77&gt;0,P77-J77,0))</f>
        <v/>
      </c>
      <c r="S77" s="8">
        <f>IF(A77="","",B77*R77)</f>
        <v/>
      </c>
      <c r="T77" s="11">
        <f>IF(A77="","",IF(K77&gt;0,S77*K77,""))</f>
        <v/>
      </c>
      <c r="U77" s="11">
        <f>IF(A77="","",IFERROR(B77/Q77,0))</f>
        <v/>
      </c>
      <c r="V77" s="4">
        <f>IF(A77="","",IF(OR(S77&lt;=0,Q77&lt;=0),"Drop",IF(P77&gt;=0.6,"Profit product",IF(P77&gt;=0.5,"Traffic product","Thin - rework"))))</f>
        <v/>
      </c>
    </row>
    <row r="78">
      <c r="B78" s="7" t="n"/>
      <c r="C78" s="7" t="n"/>
      <c r="D78" s="7" t="n"/>
      <c r="E78" s="7" t="n"/>
      <c r="F78" s="10" t="n"/>
      <c r="G78" s="7" t="n"/>
      <c r="H78" s="10" t="n"/>
      <c r="I78" s="10" t="n"/>
      <c r="J78" s="10" t="n"/>
      <c r="K78" s="6" t="n"/>
      <c r="L78" s="8">
        <f>IF(A78="","",B78*F78+G78)</f>
        <v/>
      </c>
      <c r="M78" s="9">
        <f>IF(A78="","",IFERROR((C78+D78+E78)/B78,0))</f>
        <v/>
      </c>
      <c r="N78" s="9">
        <f>IF(A78="","",IFERROR(L78/B78,0)+H78)</f>
        <v/>
      </c>
      <c r="O78" s="9">
        <f>IF(A78="","",M78+N78)</f>
        <v/>
      </c>
      <c r="P78" s="9">
        <f>IF(A78="","",IF(B78&gt;0,1-O78-I78,0))</f>
        <v/>
      </c>
      <c r="Q78" s="8">
        <f>IF(A78="","",B78*P78)</f>
        <v/>
      </c>
      <c r="R78" s="9">
        <f>IF(A78="","",IF(B78&gt;0,P78-J78,0))</f>
        <v/>
      </c>
      <c r="S78" s="8">
        <f>IF(A78="","",B78*R78)</f>
        <v/>
      </c>
      <c r="T78" s="11">
        <f>IF(A78="","",IF(K78&gt;0,S78*K78,""))</f>
        <v/>
      </c>
      <c r="U78" s="11">
        <f>IF(A78="","",IFERROR(B78/Q78,0))</f>
        <v/>
      </c>
      <c r="V78" s="4">
        <f>IF(A78="","",IF(OR(S78&lt;=0,Q78&lt;=0),"Drop",IF(P78&gt;=0.6,"Profit product",IF(P78&gt;=0.5,"Traffic product","Thin - rework"))))</f>
        <v/>
      </c>
    </row>
    <row r="79">
      <c r="B79" s="7" t="n"/>
      <c r="C79" s="7" t="n"/>
      <c r="D79" s="7" t="n"/>
      <c r="E79" s="7" t="n"/>
      <c r="F79" s="10" t="n"/>
      <c r="G79" s="7" t="n"/>
      <c r="H79" s="10" t="n"/>
      <c r="I79" s="10" t="n"/>
      <c r="J79" s="10" t="n"/>
      <c r="K79" s="6" t="n"/>
      <c r="L79" s="8">
        <f>IF(A79="","",B79*F79+G79)</f>
        <v/>
      </c>
      <c r="M79" s="9">
        <f>IF(A79="","",IFERROR((C79+D79+E79)/B79,0))</f>
        <v/>
      </c>
      <c r="N79" s="9">
        <f>IF(A79="","",IFERROR(L79/B79,0)+H79)</f>
        <v/>
      </c>
      <c r="O79" s="9">
        <f>IF(A79="","",M79+N79)</f>
        <v/>
      </c>
      <c r="P79" s="9">
        <f>IF(A79="","",IF(B79&gt;0,1-O79-I79,0))</f>
        <v/>
      </c>
      <c r="Q79" s="8">
        <f>IF(A79="","",B79*P79)</f>
        <v/>
      </c>
      <c r="R79" s="9">
        <f>IF(A79="","",IF(B79&gt;0,P79-J79,0))</f>
        <v/>
      </c>
      <c r="S79" s="8">
        <f>IF(A79="","",B79*R79)</f>
        <v/>
      </c>
      <c r="T79" s="11">
        <f>IF(A79="","",IF(K79&gt;0,S79*K79,""))</f>
        <v/>
      </c>
      <c r="U79" s="11">
        <f>IF(A79="","",IFERROR(B79/Q79,0))</f>
        <v/>
      </c>
      <c r="V79" s="4">
        <f>IF(A79="","",IF(OR(S79&lt;=0,Q79&lt;=0),"Drop",IF(P79&gt;=0.6,"Profit product",IF(P79&gt;=0.5,"Traffic product","Thin - rework"))))</f>
        <v/>
      </c>
    </row>
    <row r="80">
      <c r="B80" s="7" t="n"/>
      <c r="C80" s="7" t="n"/>
      <c r="D80" s="7" t="n"/>
      <c r="E80" s="7" t="n"/>
      <c r="F80" s="10" t="n"/>
      <c r="G80" s="7" t="n"/>
      <c r="H80" s="10" t="n"/>
      <c r="I80" s="10" t="n"/>
      <c r="J80" s="10" t="n"/>
      <c r="K80" s="6" t="n"/>
      <c r="L80" s="8">
        <f>IF(A80="","",B80*F80+G80)</f>
        <v/>
      </c>
      <c r="M80" s="9">
        <f>IF(A80="","",IFERROR((C80+D80+E80)/B80,0))</f>
        <v/>
      </c>
      <c r="N80" s="9">
        <f>IF(A80="","",IFERROR(L80/B80,0)+H80)</f>
        <v/>
      </c>
      <c r="O80" s="9">
        <f>IF(A80="","",M80+N80)</f>
        <v/>
      </c>
      <c r="P80" s="9">
        <f>IF(A80="","",IF(B80&gt;0,1-O80-I80,0))</f>
        <v/>
      </c>
      <c r="Q80" s="8">
        <f>IF(A80="","",B80*P80)</f>
        <v/>
      </c>
      <c r="R80" s="9">
        <f>IF(A80="","",IF(B80&gt;0,P80-J80,0))</f>
        <v/>
      </c>
      <c r="S80" s="8">
        <f>IF(A80="","",B80*R80)</f>
        <v/>
      </c>
      <c r="T80" s="11">
        <f>IF(A80="","",IF(K80&gt;0,S80*K80,""))</f>
        <v/>
      </c>
      <c r="U80" s="11">
        <f>IF(A80="","",IFERROR(B80/Q80,0))</f>
        <v/>
      </c>
      <c r="V80" s="4">
        <f>IF(A80="","",IF(OR(S80&lt;=0,Q80&lt;=0),"Drop",IF(P80&gt;=0.6,"Profit product",IF(P80&gt;=0.5,"Traffic product","Thin - rework"))))</f>
        <v/>
      </c>
    </row>
    <row r="81">
      <c r="B81" s="7" t="n"/>
      <c r="C81" s="7" t="n"/>
      <c r="D81" s="7" t="n"/>
      <c r="E81" s="7" t="n"/>
      <c r="F81" s="10" t="n"/>
      <c r="G81" s="7" t="n"/>
      <c r="H81" s="10" t="n"/>
      <c r="I81" s="10" t="n"/>
      <c r="J81" s="10" t="n"/>
      <c r="K81" s="6" t="n"/>
      <c r="L81" s="8">
        <f>IF(A81="","",B81*F81+G81)</f>
        <v/>
      </c>
      <c r="M81" s="9">
        <f>IF(A81="","",IFERROR((C81+D81+E81)/B81,0))</f>
        <v/>
      </c>
      <c r="N81" s="9">
        <f>IF(A81="","",IFERROR(L81/B81,0)+H81)</f>
        <v/>
      </c>
      <c r="O81" s="9">
        <f>IF(A81="","",M81+N81)</f>
        <v/>
      </c>
      <c r="P81" s="9">
        <f>IF(A81="","",IF(B81&gt;0,1-O81-I81,0))</f>
        <v/>
      </c>
      <c r="Q81" s="8">
        <f>IF(A81="","",B81*P81)</f>
        <v/>
      </c>
      <c r="R81" s="9">
        <f>IF(A81="","",IF(B81&gt;0,P81-J81,0))</f>
        <v/>
      </c>
      <c r="S81" s="8">
        <f>IF(A81="","",B81*R81)</f>
        <v/>
      </c>
      <c r="T81" s="11">
        <f>IF(A81="","",IF(K81&gt;0,S81*K81,""))</f>
        <v/>
      </c>
      <c r="U81" s="11">
        <f>IF(A81="","",IFERROR(B81/Q81,0))</f>
        <v/>
      </c>
      <c r="V81" s="4">
        <f>IF(A81="","",IF(OR(S81&lt;=0,Q81&lt;=0),"Drop",IF(P81&gt;=0.6,"Profit product",IF(P81&gt;=0.5,"Traffic product","Thin - rework"))))</f>
        <v/>
      </c>
    </row>
    <row r="82">
      <c r="B82" s="7" t="n"/>
      <c r="C82" s="7" t="n"/>
      <c r="D82" s="7" t="n"/>
      <c r="E82" s="7" t="n"/>
      <c r="F82" s="10" t="n"/>
      <c r="G82" s="7" t="n"/>
      <c r="H82" s="10" t="n"/>
      <c r="I82" s="10" t="n"/>
      <c r="J82" s="10" t="n"/>
      <c r="K82" s="6" t="n"/>
      <c r="L82" s="8">
        <f>IF(A82="","",B82*F82+G82)</f>
        <v/>
      </c>
      <c r="M82" s="9">
        <f>IF(A82="","",IFERROR((C82+D82+E82)/B82,0))</f>
        <v/>
      </c>
      <c r="N82" s="9">
        <f>IF(A82="","",IFERROR(L82/B82,0)+H82)</f>
        <v/>
      </c>
      <c r="O82" s="9">
        <f>IF(A82="","",M82+N82)</f>
        <v/>
      </c>
      <c r="P82" s="9">
        <f>IF(A82="","",IF(B82&gt;0,1-O82-I82,0))</f>
        <v/>
      </c>
      <c r="Q82" s="8">
        <f>IF(A82="","",B82*P82)</f>
        <v/>
      </c>
      <c r="R82" s="9">
        <f>IF(A82="","",IF(B82&gt;0,P82-J82,0))</f>
        <v/>
      </c>
      <c r="S82" s="8">
        <f>IF(A82="","",B82*R82)</f>
        <v/>
      </c>
      <c r="T82" s="11">
        <f>IF(A82="","",IF(K82&gt;0,S82*K82,""))</f>
        <v/>
      </c>
      <c r="U82" s="11">
        <f>IF(A82="","",IFERROR(B82/Q82,0))</f>
        <v/>
      </c>
      <c r="V82" s="4">
        <f>IF(A82="","",IF(OR(S82&lt;=0,Q82&lt;=0),"Drop",IF(P82&gt;=0.6,"Profit product",IF(P82&gt;=0.5,"Traffic product","Thin - rework"))))</f>
        <v/>
      </c>
    </row>
    <row r="83">
      <c r="B83" s="7" t="n"/>
      <c r="C83" s="7" t="n"/>
      <c r="D83" s="7" t="n"/>
      <c r="E83" s="7" t="n"/>
      <c r="F83" s="10" t="n"/>
      <c r="G83" s="7" t="n"/>
      <c r="H83" s="10" t="n"/>
      <c r="I83" s="10" t="n"/>
      <c r="J83" s="10" t="n"/>
      <c r="K83" s="6" t="n"/>
      <c r="L83" s="8">
        <f>IF(A83="","",B83*F83+G83)</f>
        <v/>
      </c>
      <c r="M83" s="9">
        <f>IF(A83="","",IFERROR((C83+D83+E83)/B83,0))</f>
        <v/>
      </c>
      <c r="N83" s="9">
        <f>IF(A83="","",IFERROR(L83/B83,0)+H83)</f>
        <v/>
      </c>
      <c r="O83" s="9">
        <f>IF(A83="","",M83+N83)</f>
        <v/>
      </c>
      <c r="P83" s="9">
        <f>IF(A83="","",IF(B83&gt;0,1-O83-I83,0))</f>
        <v/>
      </c>
      <c r="Q83" s="8">
        <f>IF(A83="","",B83*P83)</f>
        <v/>
      </c>
      <c r="R83" s="9">
        <f>IF(A83="","",IF(B83&gt;0,P83-J83,0))</f>
        <v/>
      </c>
      <c r="S83" s="8">
        <f>IF(A83="","",B83*R83)</f>
        <v/>
      </c>
      <c r="T83" s="11">
        <f>IF(A83="","",IF(K83&gt;0,S83*K83,""))</f>
        <v/>
      </c>
      <c r="U83" s="11">
        <f>IF(A83="","",IFERROR(B83/Q83,0))</f>
        <v/>
      </c>
      <c r="V83" s="4">
        <f>IF(A83="","",IF(OR(S83&lt;=0,Q83&lt;=0),"Drop",IF(P83&gt;=0.6,"Profit product",IF(P83&gt;=0.5,"Traffic product","Thin - rework"))))</f>
        <v/>
      </c>
    </row>
    <row r="84">
      <c r="B84" s="7" t="n"/>
      <c r="C84" s="7" t="n"/>
      <c r="D84" s="7" t="n"/>
      <c r="E84" s="7" t="n"/>
      <c r="F84" s="10" t="n"/>
      <c r="G84" s="7" t="n"/>
      <c r="H84" s="10" t="n"/>
      <c r="I84" s="10" t="n"/>
      <c r="J84" s="10" t="n"/>
      <c r="K84" s="6" t="n"/>
      <c r="L84" s="8">
        <f>IF(A84="","",B84*F84+G84)</f>
        <v/>
      </c>
      <c r="M84" s="9">
        <f>IF(A84="","",IFERROR((C84+D84+E84)/B84,0))</f>
        <v/>
      </c>
      <c r="N84" s="9">
        <f>IF(A84="","",IFERROR(L84/B84,0)+H84)</f>
        <v/>
      </c>
      <c r="O84" s="9">
        <f>IF(A84="","",M84+N84)</f>
        <v/>
      </c>
      <c r="P84" s="9">
        <f>IF(A84="","",IF(B84&gt;0,1-O84-I84,0))</f>
        <v/>
      </c>
      <c r="Q84" s="8">
        <f>IF(A84="","",B84*P84)</f>
        <v/>
      </c>
      <c r="R84" s="9">
        <f>IF(A84="","",IF(B84&gt;0,P84-J84,0))</f>
        <v/>
      </c>
      <c r="S84" s="8">
        <f>IF(A84="","",B84*R84)</f>
        <v/>
      </c>
      <c r="T84" s="11">
        <f>IF(A84="","",IF(K84&gt;0,S84*K84,""))</f>
        <v/>
      </c>
      <c r="U84" s="11">
        <f>IF(A84="","",IFERROR(B84/Q84,0))</f>
        <v/>
      </c>
      <c r="V84" s="4">
        <f>IF(A84="","",IF(OR(S84&lt;=0,Q84&lt;=0),"Drop",IF(P84&gt;=0.6,"Profit product",IF(P84&gt;=0.5,"Traffic product","Thin - rework"))))</f>
        <v/>
      </c>
    </row>
    <row r="85">
      <c r="B85" s="7" t="n"/>
      <c r="C85" s="7" t="n"/>
      <c r="D85" s="7" t="n"/>
      <c r="E85" s="7" t="n"/>
      <c r="F85" s="10" t="n"/>
      <c r="G85" s="7" t="n"/>
      <c r="H85" s="10" t="n"/>
      <c r="I85" s="10" t="n"/>
      <c r="J85" s="10" t="n"/>
      <c r="K85" s="6" t="n"/>
      <c r="L85" s="8">
        <f>IF(A85="","",B85*F85+G85)</f>
        <v/>
      </c>
      <c r="M85" s="9">
        <f>IF(A85="","",IFERROR((C85+D85+E85)/B85,0))</f>
        <v/>
      </c>
      <c r="N85" s="9">
        <f>IF(A85="","",IFERROR(L85/B85,0)+H85)</f>
        <v/>
      </c>
      <c r="O85" s="9">
        <f>IF(A85="","",M85+N85)</f>
        <v/>
      </c>
      <c r="P85" s="9">
        <f>IF(A85="","",IF(B85&gt;0,1-O85-I85,0))</f>
        <v/>
      </c>
      <c r="Q85" s="8">
        <f>IF(A85="","",B85*P85)</f>
        <v/>
      </c>
      <c r="R85" s="9">
        <f>IF(A85="","",IF(B85&gt;0,P85-J85,0))</f>
        <v/>
      </c>
      <c r="S85" s="8">
        <f>IF(A85="","",B85*R85)</f>
        <v/>
      </c>
      <c r="T85" s="11">
        <f>IF(A85="","",IF(K85&gt;0,S85*K85,""))</f>
        <v/>
      </c>
      <c r="U85" s="11">
        <f>IF(A85="","",IFERROR(B85/Q85,0))</f>
        <v/>
      </c>
      <c r="V85" s="4">
        <f>IF(A85="","",IF(OR(S85&lt;=0,Q85&lt;=0),"Drop",IF(P85&gt;=0.6,"Profit product",IF(P85&gt;=0.5,"Traffic product","Thin - rework"))))</f>
        <v/>
      </c>
    </row>
    <row r="86">
      <c r="B86" s="7" t="n"/>
      <c r="C86" s="7" t="n"/>
      <c r="D86" s="7" t="n"/>
      <c r="E86" s="7" t="n"/>
      <c r="F86" s="10" t="n"/>
      <c r="G86" s="7" t="n"/>
      <c r="H86" s="10" t="n"/>
      <c r="I86" s="10" t="n"/>
      <c r="J86" s="10" t="n"/>
      <c r="K86" s="6" t="n"/>
      <c r="L86" s="8">
        <f>IF(A86="","",B86*F86+G86)</f>
        <v/>
      </c>
      <c r="M86" s="9">
        <f>IF(A86="","",IFERROR((C86+D86+E86)/B86,0))</f>
        <v/>
      </c>
      <c r="N86" s="9">
        <f>IF(A86="","",IFERROR(L86/B86,0)+H86)</f>
        <v/>
      </c>
      <c r="O86" s="9">
        <f>IF(A86="","",M86+N86)</f>
        <v/>
      </c>
      <c r="P86" s="9">
        <f>IF(A86="","",IF(B86&gt;0,1-O86-I86,0))</f>
        <v/>
      </c>
      <c r="Q86" s="8">
        <f>IF(A86="","",B86*P86)</f>
        <v/>
      </c>
      <c r="R86" s="9">
        <f>IF(A86="","",IF(B86&gt;0,P86-J86,0))</f>
        <v/>
      </c>
      <c r="S86" s="8">
        <f>IF(A86="","",B86*R86)</f>
        <v/>
      </c>
      <c r="T86" s="11">
        <f>IF(A86="","",IF(K86&gt;0,S86*K86,""))</f>
        <v/>
      </c>
      <c r="U86" s="11">
        <f>IF(A86="","",IFERROR(B86/Q86,0))</f>
        <v/>
      </c>
      <c r="V86" s="4">
        <f>IF(A86="","",IF(OR(S86&lt;=0,Q86&lt;=0),"Drop",IF(P86&gt;=0.6,"Profit product",IF(P86&gt;=0.5,"Traffic product","Thin - rework"))))</f>
        <v/>
      </c>
    </row>
    <row r="87">
      <c r="B87" s="7" t="n"/>
      <c r="C87" s="7" t="n"/>
      <c r="D87" s="7" t="n"/>
      <c r="E87" s="7" t="n"/>
      <c r="F87" s="10" t="n"/>
      <c r="G87" s="7" t="n"/>
      <c r="H87" s="10" t="n"/>
      <c r="I87" s="10" t="n"/>
      <c r="J87" s="10" t="n"/>
      <c r="K87" s="6" t="n"/>
      <c r="L87" s="8">
        <f>IF(A87="","",B87*F87+G87)</f>
        <v/>
      </c>
      <c r="M87" s="9">
        <f>IF(A87="","",IFERROR((C87+D87+E87)/B87,0))</f>
        <v/>
      </c>
      <c r="N87" s="9">
        <f>IF(A87="","",IFERROR(L87/B87,0)+H87)</f>
        <v/>
      </c>
      <c r="O87" s="9">
        <f>IF(A87="","",M87+N87)</f>
        <v/>
      </c>
      <c r="P87" s="9">
        <f>IF(A87="","",IF(B87&gt;0,1-O87-I87,0))</f>
        <v/>
      </c>
      <c r="Q87" s="8">
        <f>IF(A87="","",B87*P87)</f>
        <v/>
      </c>
      <c r="R87" s="9">
        <f>IF(A87="","",IF(B87&gt;0,P87-J87,0))</f>
        <v/>
      </c>
      <c r="S87" s="8">
        <f>IF(A87="","",B87*R87)</f>
        <v/>
      </c>
      <c r="T87" s="11">
        <f>IF(A87="","",IF(K87&gt;0,S87*K87,""))</f>
        <v/>
      </c>
      <c r="U87" s="11">
        <f>IF(A87="","",IFERROR(B87/Q87,0))</f>
        <v/>
      </c>
      <c r="V87" s="4">
        <f>IF(A87="","",IF(OR(S87&lt;=0,Q87&lt;=0),"Drop",IF(P87&gt;=0.6,"Profit product",IF(P87&gt;=0.5,"Traffic product","Thin - rework"))))</f>
        <v/>
      </c>
    </row>
    <row r="88">
      <c r="B88" s="7" t="n"/>
      <c r="C88" s="7" t="n"/>
      <c r="D88" s="7" t="n"/>
      <c r="E88" s="7" t="n"/>
      <c r="F88" s="10" t="n"/>
      <c r="G88" s="7" t="n"/>
      <c r="H88" s="10" t="n"/>
      <c r="I88" s="10" t="n"/>
      <c r="J88" s="10" t="n"/>
      <c r="K88" s="6" t="n"/>
      <c r="L88" s="8">
        <f>IF(A88="","",B88*F88+G88)</f>
        <v/>
      </c>
      <c r="M88" s="9">
        <f>IF(A88="","",IFERROR((C88+D88+E88)/B88,0))</f>
        <v/>
      </c>
      <c r="N88" s="9">
        <f>IF(A88="","",IFERROR(L88/B88,0)+H88)</f>
        <v/>
      </c>
      <c r="O88" s="9">
        <f>IF(A88="","",M88+N88)</f>
        <v/>
      </c>
      <c r="P88" s="9">
        <f>IF(A88="","",IF(B88&gt;0,1-O88-I88,0))</f>
        <v/>
      </c>
      <c r="Q88" s="8">
        <f>IF(A88="","",B88*P88)</f>
        <v/>
      </c>
      <c r="R88" s="9">
        <f>IF(A88="","",IF(B88&gt;0,P88-J88,0))</f>
        <v/>
      </c>
      <c r="S88" s="8">
        <f>IF(A88="","",B88*R88)</f>
        <v/>
      </c>
      <c r="T88" s="11">
        <f>IF(A88="","",IF(K88&gt;0,S88*K88,""))</f>
        <v/>
      </c>
      <c r="U88" s="11">
        <f>IF(A88="","",IFERROR(B88/Q88,0))</f>
        <v/>
      </c>
      <c r="V88" s="4">
        <f>IF(A88="","",IF(OR(S88&lt;=0,Q88&lt;=0),"Drop",IF(P88&gt;=0.6,"Profit product",IF(P88&gt;=0.5,"Traffic product","Thin - rework"))))</f>
        <v/>
      </c>
    </row>
    <row r="89">
      <c r="B89" s="7" t="n"/>
      <c r="C89" s="7" t="n"/>
      <c r="D89" s="7" t="n"/>
      <c r="E89" s="7" t="n"/>
      <c r="F89" s="10" t="n"/>
      <c r="G89" s="7" t="n"/>
      <c r="H89" s="10" t="n"/>
      <c r="I89" s="10" t="n"/>
      <c r="J89" s="10" t="n"/>
      <c r="K89" s="6" t="n"/>
      <c r="L89" s="8">
        <f>IF(A89="","",B89*F89+G89)</f>
        <v/>
      </c>
      <c r="M89" s="9">
        <f>IF(A89="","",IFERROR((C89+D89+E89)/B89,0))</f>
        <v/>
      </c>
      <c r="N89" s="9">
        <f>IF(A89="","",IFERROR(L89/B89,0)+H89)</f>
        <v/>
      </c>
      <c r="O89" s="9">
        <f>IF(A89="","",M89+N89)</f>
        <v/>
      </c>
      <c r="P89" s="9">
        <f>IF(A89="","",IF(B89&gt;0,1-O89-I89,0))</f>
        <v/>
      </c>
      <c r="Q89" s="8">
        <f>IF(A89="","",B89*P89)</f>
        <v/>
      </c>
      <c r="R89" s="9">
        <f>IF(A89="","",IF(B89&gt;0,P89-J89,0))</f>
        <v/>
      </c>
      <c r="S89" s="8">
        <f>IF(A89="","",B89*R89)</f>
        <v/>
      </c>
      <c r="T89" s="11">
        <f>IF(A89="","",IF(K89&gt;0,S89*K89,""))</f>
        <v/>
      </c>
      <c r="U89" s="11">
        <f>IF(A89="","",IFERROR(B89/Q89,0))</f>
        <v/>
      </c>
      <c r="V89" s="4">
        <f>IF(A89="","",IF(OR(S89&lt;=0,Q89&lt;=0),"Drop",IF(P89&gt;=0.6,"Profit product",IF(P89&gt;=0.5,"Traffic product","Thin - rework"))))</f>
        <v/>
      </c>
    </row>
    <row r="90">
      <c r="B90" s="7" t="n"/>
      <c r="C90" s="7" t="n"/>
      <c r="D90" s="7" t="n"/>
      <c r="E90" s="7" t="n"/>
      <c r="F90" s="10" t="n"/>
      <c r="G90" s="7" t="n"/>
      <c r="H90" s="10" t="n"/>
      <c r="I90" s="10" t="n"/>
      <c r="J90" s="10" t="n"/>
      <c r="K90" s="6" t="n"/>
      <c r="L90" s="8">
        <f>IF(A90="","",B90*F90+G90)</f>
        <v/>
      </c>
      <c r="M90" s="9">
        <f>IF(A90="","",IFERROR((C90+D90+E90)/B90,0))</f>
        <v/>
      </c>
      <c r="N90" s="9">
        <f>IF(A90="","",IFERROR(L90/B90,0)+H90)</f>
        <v/>
      </c>
      <c r="O90" s="9">
        <f>IF(A90="","",M90+N90)</f>
        <v/>
      </c>
      <c r="P90" s="9">
        <f>IF(A90="","",IF(B90&gt;0,1-O90-I90,0))</f>
        <v/>
      </c>
      <c r="Q90" s="8">
        <f>IF(A90="","",B90*P90)</f>
        <v/>
      </c>
      <c r="R90" s="9">
        <f>IF(A90="","",IF(B90&gt;0,P90-J90,0))</f>
        <v/>
      </c>
      <c r="S90" s="8">
        <f>IF(A90="","",B90*R90)</f>
        <v/>
      </c>
      <c r="T90" s="11">
        <f>IF(A90="","",IF(K90&gt;0,S90*K90,""))</f>
        <v/>
      </c>
      <c r="U90" s="11">
        <f>IF(A90="","",IFERROR(B90/Q90,0))</f>
        <v/>
      </c>
      <c r="V90" s="4">
        <f>IF(A90="","",IF(OR(S90&lt;=0,Q90&lt;=0),"Drop",IF(P90&gt;=0.6,"Profit product",IF(P90&gt;=0.5,"Traffic product","Thin - rework"))))</f>
        <v/>
      </c>
    </row>
    <row r="91">
      <c r="B91" s="7" t="n"/>
      <c r="C91" s="7" t="n"/>
      <c r="D91" s="7" t="n"/>
      <c r="E91" s="7" t="n"/>
      <c r="F91" s="10" t="n"/>
      <c r="G91" s="7" t="n"/>
      <c r="H91" s="10" t="n"/>
      <c r="I91" s="10" t="n"/>
      <c r="J91" s="10" t="n"/>
      <c r="K91" s="6" t="n"/>
      <c r="L91" s="8">
        <f>IF(A91="","",B91*F91+G91)</f>
        <v/>
      </c>
      <c r="M91" s="9">
        <f>IF(A91="","",IFERROR((C91+D91+E91)/B91,0))</f>
        <v/>
      </c>
      <c r="N91" s="9">
        <f>IF(A91="","",IFERROR(L91/B91,0)+H91)</f>
        <v/>
      </c>
      <c r="O91" s="9">
        <f>IF(A91="","",M91+N91)</f>
        <v/>
      </c>
      <c r="P91" s="9">
        <f>IF(A91="","",IF(B91&gt;0,1-O91-I91,0))</f>
        <v/>
      </c>
      <c r="Q91" s="8">
        <f>IF(A91="","",B91*P91)</f>
        <v/>
      </c>
      <c r="R91" s="9">
        <f>IF(A91="","",IF(B91&gt;0,P91-J91,0))</f>
        <v/>
      </c>
      <c r="S91" s="8">
        <f>IF(A91="","",B91*R91)</f>
        <v/>
      </c>
      <c r="T91" s="11">
        <f>IF(A91="","",IF(K91&gt;0,S91*K91,""))</f>
        <v/>
      </c>
      <c r="U91" s="11">
        <f>IF(A91="","",IFERROR(B91/Q91,0))</f>
        <v/>
      </c>
      <c r="V91" s="4">
        <f>IF(A91="","",IF(OR(S91&lt;=0,Q91&lt;=0),"Drop",IF(P91&gt;=0.6,"Profit product",IF(P91&gt;=0.5,"Traffic product","Thin - rework"))))</f>
        <v/>
      </c>
    </row>
    <row r="92">
      <c r="B92" s="7" t="n"/>
      <c r="C92" s="7" t="n"/>
      <c r="D92" s="7" t="n"/>
      <c r="E92" s="7" t="n"/>
      <c r="F92" s="10" t="n"/>
      <c r="G92" s="7" t="n"/>
      <c r="H92" s="10" t="n"/>
      <c r="I92" s="10" t="n"/>
      <c r="J92" s="10" t="n"/>
      <c r="K92" s="6" t="n"/>
      <c r="L92" s="8">
        <f>IF(A92="","",B92*F92+G92)</f>
        <v/>
      </c>
      <c r="M92" s="9">
        <f>IF(A92="","",IFERROR((C92+D92+E92)/B92,0))</f>
        <v/>
      </c>
      <c r="N92" s="9">
        <f>IF(A92="","",IFERROR(L92/B92,0)+H92)</f>
        <v/>
      </c>
      <c r="O92" s="9">
        <f>IF(A92="","",M92+N92)</f>
        <v/>
      </c>
      <c r="P92" s="9">
        <f>IF(A92="","",IF(B92&gt;0,1-O92-I92,0))</f>
        <v/>
      </c>
      <c r="Q92" s="8">
        <f>IF(A92="","",B92*P92)</f>
        <v/>
      </c>
      <c r="R92" s="9">
        <f>IF(A92="","",IF(B92&gt;0,P92-J92,0))</f>
        <v/>
      </c>
      <c r="S92" s="8">
        <f>IF(A92="","",B92*R92)</f>
        <v/>
      </c>
      <c r="T92" s="11">
        <f>IF(A92="","",IF(K92&gt;0,S92*K92,""))</f>
        <v/>
      </c>
      <c r="U92" s="11">
        <f>IF(A92="","",IFERROR(B92/Q92,0))</f>
        <v/>
      </c>
      <c r="V92" s="4">
        <f>IF(A92="","",IF(OR(S92&lt;=0,Q92&lt;=0),"Drop",IF(P92&gt;=0.6,"Profit product",IF(P92&gt;=0.5,"Traffic product","Thin - rework"))))</f>
        <v/>
      </c>
    </row>
    <row r="93">
      <c r="B93" s="7" t="n"/>
      <c r="C93" s="7" t="n"/>
      <c r="D93" s="7" t="n"/>
      <c r="E93" s="7" t="n"/>
      <c r="F93" s="10" t="n"/>
      <c r="G93" s="7" t="n"/>
      <c r="H93" s="10" t="n"/>
      <c r="I93" s="10" t="n"/>
      <c r="J93" s="10" t="n"/>
      <c r="K93" s="6" t="n"/>
      <c r="L93" s="8">
        <f>IF(A93="","",B93*F93+G93)</f>
        <v/>
      </c>
      <c r="M93" s="9">
        <f>IF(A93="","",IFERROR((C93+D93+E93)/B93,0))</f>
        <v/>
      </c>
      <c r="N93" s="9">
        <f>IF(A93="","",IFERROR(L93/B93,0)+H93)</f>
        <v/>
      </c>
      <c r="O93" s="9">
        <f>IF(A93="","",M93+N93)</f>
        <v/>
      </c>
      <c r="P93" s="9">
        <f>IF(A93="","",IF(B93&gt;0,1-O93-I93,0))</f>
        <v/>
      </c>
      <c r="Q93" s="8">
        <f>IF(A93="","",B93*P93)</f>
        <v/>
      </c>
      <c r="R93" s="9">
        <f>IF(A93="","",IF(B93&gt;0,P93-J93,0))</f>
        <v/>
      </c>
      <c r="S93" s="8">
        <f>IF(A93="","",B93*R93)</f>
        <v/>
      </c>
      <c r="T93" s="11">
        <f>IF(A93="","",IF(K93&gt;0,S93*K93,""))</f>
        <v/>
      </c>
      <c r="U93" s="11">
        <f>IF(A93="","",IFERROR(B93/Q93,0))</f>
        <v/>
      </c>
      <c r="V93" s="4">
        <f>IF(A93="","",IF(OR(S93&lt;=0,Q93&lt;=0),"Drop",IF(P93&gt;=0.6,"Profit product",IF(P93&gt;=0.5,"Traffic product","Thin - rework"))))</f>
        <v/>
      </c>
    </row>
    <row r="94">
      <c r="B94" s="7" t="n"/>
      <c r="C94" s="7" t="n"/>
      <c r="D94" s="7" t="n"/>
      <c r="E94" s="7" t="n"/>
      <c r="F94" s="10" t="n"/>
      <c r="G94" s="7" t="n"/>
      <c r="H94" s="10" t="n"/>
      <c r="I94" s="10" t="n"/>
      <c r="J94" s="10" t="n"/>
      <c r="K94" s="6" t="n"/>
      <c r="L94" s="8">
        <f>IF(A94="","",B94*F94+G94)</f>
        <v/>
      </c>
      <c r="M94" s="9">
        <f>IF(A94="","",IFERROR((C94+D94+E94)/B94,0))</f>
        <v/>
      </c>
      <c r="N94" s="9">
        <f>IF(A94="","",IFERROR(L94/B94,0)+H94)</f>
        <v/>
      </c>
      <c r="O94" s="9">
        <f>IF(A94="","",M94+N94)</f>
        <v/>
      </c>
      <c r="P94" s="9">
        <f>IF(A94="","",IF(B94&gt;0,1-O94-I94,0))</f>
        <v/>
      </c>
      <c r="Q94" s="8">
        <f>IF(A94="","",B94*P94)</f>
        <v/>
      </c>
      <c r="R94" s="9">
        <f>IF(A94="","",IF(B94&gt;0,P94-J94,0))</f>
        <v/>
      </c>
      <c r="S94" s="8">
        <f>IF(A94="","",B94*R94)</f>
        <v/>
      </c>
      <c r="T94" s="11">
        <f>IF(A94="","",IF(K94&gt;0,S94*K94,""))</f>
        <v/>
      </c>
      <c r="U94" s="11">
        <f>IF(A94="","",IFERROR(B94/Q94,0))</f>
        <v/>
      </c>
      <c r="V94" s="4">
        <f>IF(A94="","",IF(OR(S94&lt;=0,Q94&lt;=0),"Drop",IF(P94&gt;=0.6,"Profit product",IF(P94&gt;=0.5,"Traffic product","Thin - rework"))))</f>
        <v/>
      </c>
    </row>
    <row r="95">
      <c r="B95" s="7" t="n"/>
      <c r="C95" s="7" t="n"/>
      <c r="D95" s="7" t="n"/>
      <c r="E95" s="7" t="n"/>
      <c r="F95" s="10" t="n"/>
      <c r="G95" s="7" t="n"/>
      <c r="H95" s="10" t="n"/>
      <c r="I95" s="10" t="n"/>
      <c r="J95" s="10" t="n"/>
      <c r="K95" s="6" t="n"/>
      <c r="L95" s="8">
        <f>IF(A95="","",B95*F95+G95)</f>
        <v/>
      </c>
      <c r="M95" s="9">
        <f>IF(A95="","",IFERROR((C95+D95+E95)/B95,0))</f>
        <v/>
      </c>
      <c r="N95" s="9">
        <f>IF(A95="","",IFERROR(L95/B95,0)+H95)</f>
        <v/>
      </c>
      <c r="O95" s="9">
        <f>IF(A95="","",M95+N95)</f>
        <v/>
      </c>
      <c r="P95" s="9">
        <f>IF(A95="","",IF(B95&gt;0,1-O95-I95,0))</f>
        <v/>
      </c>
      <c r="Q95" s="8">
        <f>IF(A95="","",B95*P95)</f>
        <v/>
      </c>
      <c r="R95" s="9">
        <f>IF(A95="","",IF(B95&gt;0,P95-J95,0))</f>
        <v/>
      </c>
      <c r="S95" s="8">
        <f>IF(A95="","",B95*R95)</f>
        <v/>
      </c>
      <c r="T95" s="11">
        <f>IF(A95="","",IF(K95&gt;0,S95*K95,""))</f>
        <v/>
      </c>
      <c r="U95" s="11">
        <f>IF(A95="","",IFERROR(B95/Q95,0))</f>
        <v/>
      </c>
      <c r="V95" s="4">
        <f>IF(A95="","",IF(OR(S95&lt;=0,Q95&lt;=0),"Drop",IF(P95&gt;=0.6,"Profit product",IF(P95&gt;=0.5,"Traffic product","Thin - rework"))))</f>
        <v/>
      </c>
    </row>
    <row r="96">
      <c r="B96" s="7" t="n"/>
      <c r="C96" s="7" t="n"/>
      <c r="D96" s="7" t="n"/>
      <c r="E96" s="7" t="n"/>
      <c r="F96" s="10" t="n"/>
      <c r="G96" s="7" t="n"/>
      <c r="H96" s="10" t="n"/>
      <c r="I96" s="10" t="n"/>
      <c r="J96" s="10" t="n"/>
      <c r="K96" s="6" t="n"/>
      <c r="L96" s="8">
        <f>IF(A96="","",B96*F96+G96)</f>
        <v/>
      </c>
      <c r="M96" s="9">
        <f>IF(A96="","",IFERROR((C96+D96+E96)/B96,0))</f>
        <v/>
      </c>
      <c r="N96" s="9">
        <f>IF(A96="","",IFERROR(L96/B96,0)+H96)</f>
        <v/>
      </c>
      <c r="O96" s="9">
        <f>IF(A96="","",M96+N96)</f>
        <v/>
      </c>
      <c r="P96" s="9">
        <f>IF(A96="","",IF(B96&gt;0,1-O96-I96,0))</f>
        <v/>
      </c>
      <c r="Q96" s="8">
        <f>IF(A96="","",B96*P96)</f>
        <v/>
      </c>
      <c r="R96" s="9">
        <f>IF(A96="","",IF(B96&gt;0,P96-J96,0))</f>
        <v/>
      </c>
      <c r="S96" s="8">
        <f>IF(A96="","",B96*R96)</f>
        <v/>
      </c>
      <c r="T96" s="11">
        <f>IF(A96="","",IF(K96&gt;0,S96*K96,""))</f>
        <v/>
      </c>
      <c r="U96" s="11">
        <f>IF(A96="","",IFERROR(B96/Q96,0))</f>
        <v/>
      </c>
      <c r="V96" s="4">
        <f>IF(A96="","",IF(OR(S96&lt;=0,Q96&lt;=0),"Drop",IF(P96&gt;=0.6,"Profit product",IF(P96&gt;=0.5,"Traffic product","Thin - rework"))))</f>
        <v/>
      </c>
    </row>
    <row r="97">
      <c r="B97" s="7" t="n"/>
      <c r="C97" s="7" t="n"/>
      <c r="D97" s="7" t="n"/>
      <c r="E97" s="7" t="n"/>
      <c r="F97" s="10" t="n"/>
      <c r="G97" s="7" t="n"/>
      <c r="H97" s="10" t="n"/>
      <c r="I97" s="10" t="n"/>
      <c r="J97" s="10" t="n"/>
      <c r="K97" s="6" t="n"/>
      <c r="L97" s="8">
        <f>IF(A97="","",B97*F97+G97)</f>
        <v/>
      </c>
      <c r="M97" s="9">
        <f>IF(A97="","",IFERROR((C97+D97+E97)/B97,0))</f>
        <v/>
      </c>
      <c r="N97" s="9">
        <f>IF(A97="","",IFERROR(L97/B97,0)+H97)</f>
        <v/>
      </c>
      <c r="O97" s="9">
        <f>IF(A97="","",M97+N97)</f>
        <v/>
      </c>
      <c r="P97" s="9">
        <f>IF(A97="","",IF(B97&gt;0,1-O97-I97,0))</f>
        <v/>
      </c>
      <c r="Q97" s="8">
        <f>IF(A97="","",B97*P97)</f>
        <v/>
      </c>
      <c r="R97" s="9">
        <f>IF(A97="","",IF(B97&gt;0,P97-J97,0))</f>
        <v/>
      </c>
      <c r="S97" s="8">
        <f>IF(A97="","",B97*R97)</f>
        <v/>
      </c>
      <c r="T97" s="11">
        <f>IF(A97="","",IF(K97&gt;0,S97*K97,""))</f>
        <v/>
      </c>
      <c r="U97" s="11">
        <f>IF(A97="","",IFERROR(B97/Q97,0))</f>
        <v/>
      </c>
      <c r="V97" s="4">
        <f>IF(A97="","",IF(OR(S97&lt;=0,Q97&lt;=0),"Drop",IF(P97&gt;=0.6,"Profit product",IF(P97&gt;=0.5,"Traffic product","Thin - rework"))))</f>
        <v/>
      </c>
    </row>
    <row r="98">
      <c r="B98" s="7" t="n"/>
      <c r="C98" s="7" t="n"/>
      <c r="D98" s="7" t="n"/>
      <c r="E98" s="7" t="n"/>
      <c r="F98" s="10" t="n"/>
      <c r="G98" s="7" t="n"/>
      <c r="H98" s="10" t="n"/>
      <c r="I98" s="10" t="n"/>
      <c r="J98" s="10" t="n"/>
      <c r="K98" s="6" t="n"/>
      <c r="L98" s="8">
        <f>IF(A98="","",B98*F98+G98)</f>
        <v/>
      </c>
      <c r="M98" s="9">
        <f>IF(A98="","",IFERROR((C98+D98+E98)/B98,0))</f>
        <v/>
      </c>
      <c r="N98" s="9">
        <f>IF(A98="","",IFERROR(L98/B98,0)+H98)</f>
        <v/>
      </c>
      <c r="O98" s="9">
        <f>IF(A98="","",M98+N98)</f>
        <v/>
      </c>
      <c r="P98" s="9">
        <f>IF(A98="","",IF(B98&gt;0,1-O98-I98,0))</f>
        <v/>
      </c>
      <c r="Q98" s="8">
        <f>IF(A98="","",B98*P98)</f>
        <v/>
      </c>
      <c r="R98" s="9">
        <f>IF(A98="","",IF(B98&gt;0,P98-J98,0))</f>
        <v/>
      </c>
      <c r="S98" s="8">
        <f>IF(A98="","",B98*R98)</f>
        <v/>
      </c>
      <c r="T98" s="11">
        <f>IF(A98="","",IF(K98&gt;0,S98*K98,""))</f>
        <v/>
      </c>
      <c r="U98" s="11">
        <f>IF(A98="","",IFERROR(B98/Q98,0))</f>
        <v/>
      </c>
      <c r="V98" s="4">
        <f>IF(A98="","",IF(OR(S98&lt;=0,Q98&lt;=0),"Drop",IF(P98&gt;=0.6,"Profit product",IF(P98&gt;=0.5,"Traffic product","Thin - rework"))))</f>
        <v/>
      </c>
    </row>
    <row r="99">
      <c r="B99" s="7" t="n"/>
      <c r="C99" s="7" t="n"/>
      <c r="D99" s="7" t="n"/>
      <c r="E99" s="7" t="n"/>
      <c r="F99" s="10" t="n"/>
      <c r="G99" s="7" t="n"/>
      <c r="H99" s="10" t="n"/>
      <c r="I99" s="10" t="n"/>
      <c r="J99" s="10" t="n"/>
      <c r="K99" s="6" t="n"/>
      <c r="L99" s="8">
        <f>IF(A99="","",B99*F99+G99)</f>
        <v/>
      </c>
      <c r="M99" s="9">
        <f>IF(A99="","",IFERROR((C99+D99+E99)/B99,0))</f>
        <v/>
      </c>
      <c r="N99" s="9">
        <f>IF(A99="","",IFERROR(L99/B99,0)+H99)</f>
        <v/>
      </c>
      <c r="O99" s="9">
        <f>IF(A99="","",M99+N99)</f>
        <v/>
      </c>
      <c r="P99" s="9">
        <f>IF(A99="","",IF(B99&gt;0,1-O99-I99,0))</f>
        <v/>
      </c>
      <c r="Q99" s="8">
        <f>IF(A99="","",B99*P99)</f>
        <v/>
      </c>
      <c r="R99" s="9">
        <f>IF(A99="","",IF(B99&gt;0,P99-J99,0))</f>
        <v/>
      </c>
      <c r="S99" s="8">
        <f>IF(A99="","",B99*R99)</f>
        <v/>
      </c>
      <c r="T99" s="11">
        <f>IF(A99="","",IF(K99&gt;0,S99*K99,""))</f>
        <v/>
      </c>
      <c r="U99" s="11">
        <f>IF(A99="","",IFERROR(B99/Q99,0))</f>
        <v/>
      </c>
      <c r="V99" s="4">
        <f>IF(A99="","",IF(OR(S99&lt;=0,Q99&lt;=0),"Drop",IF(P99&gt;=0.6,"Profit product",IF(P99&gt;=0.5,"Traffic product","Thin - rework"))))</f>
        <v/>
      </c>
    </row>
    <row r="100">
      <c r="B100" s="7" t="n"/>
      <c r="C100" s="7" t="n"/>
      <c r="D100" s="7" t="n"/>
      <c r="E100" s="7" t="n"/>
      <c r="F100" s="10" t="n"/>
      <c r="G100" s="7" t="n"/>
      <c r="H100" s="10" t="n"/>
      <c r="I100" s="10" t="n"/>
      <c r="J100" s="10" t="n"/>
      <c r="K100" s="6" t="n"/>
      <c r="L100" s="8">
        <f>IF(A100="","",B100*F100+G100)</f>
        <v/>
      </c>
      <c r="M100" s="9">
        <f>IF(A100="","",IFERROR((C100+D100+E100)/B100,0))</f>
        <v/>
      </c>
      <c r="N100" s="9">
        <f>IF(A100="","",IFERROR(L100/B100,0)+H100)</f>
        <v/>
      </c>
      <c r="O100" s="9">
        <f>IF(A100="","",M100+N100)</f>
        <v/>
      </c>
      <c r="P100" s="9">
        <f>IF(A100="","",IF(B100&gt;0,1-O100-I100,0))</f>
        <v/>
      </c>
      <c r="Q100" s="8">
        <f>IF(A100="","",B100*P100)</f>
        <v/>
      </c>
      <c r="R100" s="9">
        <f>IF(A100="","",IF(B100&gt;0,P100-J100,0))</f>
        <v/>
      </c>
      <c r="S100" s="8">
        <f>IF(A100="","",B100*R100)</f>
        <v/>
      </c>
      <c r="T100" s="11">
        <f>IF(A100="","",IF(K100&gt;0,S100*K100,""))</f>
        <v/>
      </c>
      <c r="U100" s="11">
        <f>IF(A100="","",IFERROR(B100/Q100,0))</f>
        <v/>
      </c>
      <c r="V100" s="4">
        <f>IF(A100="","",IF(OR(S100&lt;=0,Q100&lt;=0),"Drop",IF(P100&gt;=0.6,"Profit product",IF(P100&gt;=0.5,"Traffic product","Thin - rework"))))</f>
        <v/>
      </c>
    </row>
    <row r="101">
      <c r="B101" s="7" t="n"/>
      <c r="C101" s="7" t="n"/>
      <c r="D101" s="7" t="n"/>
      <c r="E101" s="7" t="n"/>
      <c r="F101" s="10" t="n"/>
      <c r="G101" s="7" t="n"/>
      <c r="H101" s="10" t="n"/>
      <c r="I101" s="10" t="n"/>
      <c r="J101" s="10" t="n"/>
      <c r="K101" s="6" t="n"/>
      <c r="L101" s="8">
        <f>IF(A101="","",B101*F101+G101)</f>
        <v/>
      </c>
      <c r="M101" s="9">
        <f>IF(A101="","",IFERROR((C101+D101+E101)/B101,0))</f>
        <v/>
      </c>
      <c r="N101" s="9">
        <f>IF(A101="","",IFERROR(L101/B101,0)+H101)</f>
        <v/>
      </c>
      <c r="O101" s="9">
        <f>IF(A101="","",M101+N101)</f>
        <v/>
      </c>
      <c r="P101" s="9">
        <f>IF(A101="","",IF(B101&gt;0,1-O101-I101,0))</f>
        <v/>
      </c>
      <c r="Q101" s="8">
        <f>IF(A101="","",B101*P101)</f>
        <v/>
      </c>
      <c r="R101" s="9">
        <f>IF(A101="","",IF(B101&gt;0,P101-J101,0))</f>
        <v/>
      </c>
      <c r="S101" s="8">
        <f>IF(A101="","",B101*R101)</f>
        <v/>
      </c>
      <c r="T101" s="11">
        <f>IF(A101="","",IF(K101&gt;0,S101*K101,""))</f>
        <v/>
      </c>
      <c r="U101" s="11">
        <f>IF(A101="","",IFERROR(B101/Q101,0))</f>
        <v/>
      </c>
      <c r="V101" s="4">
        <f>IF(A101="","",IF(OR(S101&lt;=0,Q101&lt;=0),"Drop",IF(P101&gt;=0.6,"Profit product",IF(P101&gt;=0.5,"Traffic product","Thin - rework"))))</f>
        <v/>
      </c>
    </row>
    <row r="102">
      <c r="B102" s="7" t="n"/>
      <c r="C102" s="7" t="n"/>
      <c r="D102" s="7" t="n"/>
      <c r="E102" s="7" t="n"/>
      <c r="F102" s="10" t="n"/>
      <c r="G102" s="7" t="n"/>
      <c r="H102" s="10" t="n"/>
      <c r="I102" s="10" t="n"/>
      <c r="J102" s="10" t="n"/>
      <c r="K102" s="6" t="n"/>
      <c r="L102" s="8">
        <f>IF(A102="","",B102*F102+G102)</f>
        <v/>
      </c>
      <c r="M102" s="9">
        <f>IF(A102="","",IFERROR((C102+D102+E102)/B102,0))</f>
        <v/>
      </c>
      <c r="N102" s="9">
        <f>IF(A102="","",IFERROR(L102/B102,0)+H102)</f>
        <v/>
      </c>
      <c r="O102" s="9">
        <f>IF(A102="","",M102+N102)</f>
        <v/>
      </c>
      <c r="P102" s="9">
        <f>IF(A102="","",IF(B102&gt;0,1-O102-I102,0))</f>
        <v/>
      </c>
      <c r="Q102" s="8">
        <f>IF(A102="","",B102*P102)</f>
        <v/>
      </c>
      <c r="R102" s="9">
        <f>IF(A102="","",IF(B102&gt;0,P102-J102,0))</f>
        <v/>
      </c>
      <c r="S102" s="8">
        <f>IF(A102="","",B102*R102)</f>
        <v/>
      </c>
      <c r="T102" s="11">
        <f>IF(A102="","",IF(K102&gt;0,S102*K102,""))</f>
        <v/>
      </c>
      <c r="U102" s="11">
        <f>IF(A102="","",IFERROR(B102/Q102,0))</f>
        <v/>
      </c>
      <c r="V102" s="4">
        <f>IF(A102="","",IF(OR(S102&lt;=0,Q102&lt;=0),"Drop",IF(P102&gt;=0.6,"Profit product",IF(P102&gt;=0.5,"Traffic product","Thin - rework"))))</f>
        <v/>
      </c>
    </row>
    <row r="103">
      <c r="B103" s="7" t="n"/>
      <c r="C103" s="7" t="n"/>
      <c r="D103" s="7" t="n"/>
      <c r="E103" s="7" t="n"/>
      <c r="F103" s="10" t="n"/>
      <c r="G103" s="7" t="n"/>
      <c r="H103" s="10" t="n"/>
      <c r="I103" s="10" t="n"/>
      <c r="J103" s="10" t="n"/>
      <c r="K103" s="6" t="n"/>
      <c r="L103" s="8">
        <f>IF(A103="","",B103*F103+G103)</f>
        <v/>
      </c>
      <c r="M103" s="9">
        <f>IF(A103="","",IFERROR((C103+D103+E103)/B103,0))</f>
        <v/>
      </c>
      <c r="N103" s="9">
        <f>IF(A103="","",IFERROR(L103/B103,0)+H103)</f>
        <v/>
      </c>
      <c r="O103" s="9">
        <f>IF(A103="","",M103+N103)</f>
        <v/>
      </c>
      <c r="P103" s="9">
        <f>IF(A103="","",IF(B103&gt;0,1-O103-I103,0))</f>
        <v/>
      </c>
      <c r="Q103" s="8">
        <f>IF(A103="","",B103*P103)</f>
        <v/>
      </c>
      <c r="R103" s="9">
        <f>IF(A103="","",IF(B103&gt;0,P103-J103,0))</f>
        <v/>
      </c>
      <c r="S103" s="8">
        <f>IF(A103="","",B103*R103)</f>
        <v/>
      </c>
      <c r="T103" s="11">
        <f>IF(A103="","",IF(K103&gt;0,S103*K103,""))</f>
        <v/>
      </c>
      <c r="U103" s="11">
        <f>IF(A103="","",IFERROR(B103/Q103,0))</f>
        <v/>
      </c>
      <c r="V103" s="4">
        <f>IF(A103="","",IF(OR(S103&lt;=0,Q103&lt;=0),"Drop",IF(P103&gt;=0.6,"Profit product",IF(P103&gt;=0.5,"Traffic product","Thin - rework"))))</f>
        <v/>
      </c>
    </row>
    <row r="104">
      <c r="B104" s="7" t="n"/>
      <c r="C104" s="7" t="n"/>
      <c r="D104" s="7" t="n"/>
      <c r="E104" s="7" t="n"/>
      <c r="F104" s="10" t="n"/>
      <c r="G104" s="7" t="n"/>
      <c r="H104" s="10" t="n"/>
      <c r="I104" s="10" t="n"/>
      <c r="J104" s="10" t="n"/>
      <c r="K104" s="6" t="n"/>
      <c r="L104" s="8">
        <f>IF(A104="","",B104*F104+G104)</f>
        <v/>
      </c>
      <c r="M104" s="9">
        <f>IF(A104="","",IFERROR((C104+D104+E104)/B104,0))</f>
        <v/>
      </c>
      <c r="N104" s="9">
        <f>IF(A104="","",IFERROR(L104/B104,0)+H104)</f>
        <v/>
      </c>
      <c r="O104" s="9">
        <f>IF(A104="","",M104+N104)</f>
        <v/>
      </c>
      <c r="P104" s="9">
        <f>IF(A104="","",IF(B104&gt;0,1-O104-I104,0))</f>
        <v/>
      </c>
      <c r="Q104" s="8">
        <f>IF(A104="","",B104*P104)</f>
        <v/>
      </c>
      <c r="R104" s="9">
        <f>IF(A104="","",IF(B104&gt;0,P104-J104,0))</f>
        <v/>
      </c>
      <c r="S104" s="8">
        <f>IF(A104="","",B104*R104)</f>
        <v/>
      </c>
      <c r="T104" s="11">
        <f>IF(A104="","",IF(K104&gt;0,S104*K104,""))</f>
        <v/>
      </c>
      <c r="U104" s="11">
        <f>IF(A104="","",IFERROR(B104/Q104,0))</f>
        <v/>
      </c>
      <c r="V104" s="4">
        <f>IF(A104="","",IF(OR(S104&lt;=0,Q104&lt;=0),"Drop",IF(P104&gt;=0.6,"Profit product",IF(P104&gt;=0.5,"Traffic product","Thin - rework"))))</f>
        <v/>
      </c>
    </row>
    <row r="105">
      <c r="B105" s="7" t="n"/>
      <c r="C105" s="7" t="n"/>
      <c r="D105" s="7" t="n"/>
      <c r="E105" s="7" t="n"/>
      <c r="F105" s="10" t="n"/>
      <c r="G105" s="7" t="n"/>
      <c r="H105" s="10" t="n"/>
      <c r="I105" s="10" t="n"/>
      <c r="J105" s="10" t="n"/>
      <c r="K105" s="6" t="n"/>
      <c r="L105" s="8">
        <f>IF(A105="","",B105*F105+G105)</f>
        <v/>
      </c>
      <c r="M105" s="9">
        <f>IF(A105="","",IFERROR((C105+D105+E105)/B105,0))</f>
        <v/>
      </c>
      <c r="N105" s="9">
        <f>IF(A105="","",IFERROR(L105/B105,0)+H105)</f>
        <v/>
      </c>
      <c r="O105" s="9">
        <f>IF(A105="","",M105+N105)</f>
        <v/>
      </c>
      <c r="P105" s="9">
        <f>IF(A105="","",IF(B105&gt;0,1-O105-I105,0))</f>
        <v/>
      </c>
      <c r="Q105" s="8">
        <f>IF(A105="","",B105*P105)</f>
        <v/>
      </c>
      <c r="R105" s="9">
        <f>IF(A105="","",IF(B105&gt;0,P105-J105,0))</f>
        <v/>
      </c>
      <c r="S105" s="8">
        <f>IF(A105="","",B105*R105)</f>
        <v/>
      </c>
      <c r="T105" s="11">
        <f>IF(A105="","",IF(K105&gt;0,S105*K105,""))</f>
        <v/>
      </c>
      <c r="U105" s="11">
        <f>IF(A105="","",IFERROR(B105/Q105,0))</f>
        <v/>
      </c>
      <c r="V105" s="4">
        <f>IF(A105="","",IF(OR(S105&lt;=0,Q105&lt;=0),"Drop",IF(P105&gt;=0.6,"Profit product",IF(P105&gt;=0.5,"Traffic product","Thin - rework"))))</f>
        <v/>
      </c>
    </row>
    <row r="106">
      <c r="B106" s="7" t="n"/>
      <c r="C106" s="7" t="n"/>
      <c r="D106" s="7" t="n"/>
      <c r="E106" s="7" t="n"/>
      <c r="F106" s="10" t="n"/>
      <c r="G106" s="7" t="n"/>
      <c r="H106" s="10" t="n"/>
      <c r="I106" s="10" t="n"/>
      <c r="J106" s="10" t="n"/>
      <c r="K106" s="6" t="n"/>
      <c r="L106" s="8">
        <f>IF(A106="","",B106*F106+G106)</f>
        <v/>
      </c>
      <c r="M106" s="9">
        <f>IF(A106="","",IFERROR((C106+D106+E106)/B106,0))</f>
        <v/>
      </c>
      <c r="N106" s="9">
        <f>IF(A106="","",IFERROR(L106/B106,0)+H106)</f>
        <v/>
      </c>
      <c r="O106" s="9">
        <f>IF(A106="","",M106+N106)</f>
        <v/>
      </c>
      <c r="P106" s="9">
        <f>IF(A106="","",IF(B106&gt;0,1-O106-I106,0))</f>
        <v/>
      </c>
      <c r="Q106" s="8">
        <f>IF(A106="","",B106*P106)</f>
        <v/>
      </c>
      <c r="R106" s="9">
        <f>IF(A106="","",IF(B106&gt;0,P106-J106,0))</f>
        <v/>
      </c>
      <c r="S106" s="8">
        <f>IF(A106="","",B106*R106)</f>
        <v/>
      </c>
      <c r="T106" s="11">
        <f>IF(A106="","",IF(K106&gt;0,S106*K106,""))</f>
        <v/>
      </c>
      <c r="U106" s="11">
        <f>IF(A106="","",IFERROR(B106/Q106,0))</f>
        <v/>
      </c>
      <c r="V106" s="4">
        <f>IF(A106="","",IF(OR(S106&lt;=0,Q106&lt;=0),"Drop",IF(P106&gt;=0.6,"Profit product",IF(P106&gt;=0.5,"Traffic product","Thin - rework"))))</f>
        <v/>
      </c>
    </row>
    <row r="107">
      <c r="B107" s="7" t="n"/>
      <c r="C107" s="7" t="n"/>
      <c r="D107" s="7" t="n"/>
      <c r="E107" s="7" t="n"/>
      <c r="F107" s="10" t="n"/>
      <c r="G107" s="7" t="n"/>
      <c r="H107" s="10" t="n"/>
      <c r="I107" s="10" t="n"/>
      <c r="J107" s="10" t="n"/>
      <c r="K107" s="6" t="n"/>
      <c r="L107" s="8">
        <f>IF(A107="","",B107*F107+G107)</f>
        <v/>
      </c>
      <c r="M107" s="9">
        <f>IF(A107="","",IFERROR((C107+D107+E107)/B107,0))</f>
        <v/>
      </c>
      <c r="N107" s="9">
        <f>IF(A107="","",IFERROR(L107/B107,0)+H107)</f>
        <v/>
      </c>
      <c r="O107" s="9">
        <f>IF(A107="","",M107+N107)</f>
        <v/>
      </c>
      <c r="P107" s="9">
        <f>IF(A107="","",IF(B107&gt;0,1-O107-I107,0))</f>
        <v/>
      </c>
      <c r="Q107" s="8">
        <f>IF(A107="","",B107*P107)</f>
        <v/>
      </c>
      <c r="R107" s="9">
        <f>IF(A107="","",IF(B107&gt;0,P107-J107,0))</f>
        <v/>
      </c>
      <c r="S107" s="8">
        <f>IF(A107="","",B107*R107)</f>
        <v/>
      </c>
      <c r="T107" s="11">
        <f>IF(A107="","",IF(K107&gt;0,S107*K107,""))</f>
        <v/>
      </c>
      <c r="U107" s="11">
        <f>IF(A107="","",IFERROR(B107/Q107,0))</f>
        <v/>
      </c>
      <c r="V107" s="4">
        <f>IF(A107="","",IF(OR(S107&lt;=0,Q107&lt;=0),"Drop",IF(P107&gt;=0.6,"Profit product",IF(P107&gt;=0.5,"Traffic product","Thin - rework"))))</f>
        <v/>
      </c>
    </row>
    <row r="108">
      <c r="B108" s="7" t="n"/>
      <c r="C108" s="7" t="n"/>
      <c r="D108" s="7" t="n"/>
      <c r="E108" s="7" t="n"/>
      <c r="F108" s="10" t="n"/>
      <c r="G108" s="7" t="n"/>
      <c r="H108" s="10" t="n"/>
      <c r="I108" s="10" t="n"/>
      <c r="J108" s="10" t="n"/>
      <c r="K108" s="6" t="n"/>
      <c r="L108" s="8">
        <f>IF(A108="","",B108*F108+G108)</f>
        <v/>
      </c>
      <c r="M108" s="9">
        <f>IF(A108="","",IFERROR((C108+D108+E108)/B108,0))</f>
        <v/>
      </c>
      <c r="N108" s="9">
        <f>IF(A108="","",IFERROR(L108/B108,0)+H108)</f>
        <v/>
      </c>
      <c r="O108" s="9">
        <f>IF(A108="","",M108+N108)</f>
        <v/>
      </c>
      <c r="P108" s="9">
        <f>IF(A108="","",IF(B108&gt;0,1-O108-I108,0))</f>
        <v/>
      </c>
      <c r="Q108" s="8">
        <f>IF(A108="","",B108*P108)</f>
        <v/>
      </c>
      <c r="R108" s="9">
        <f>IF(A108="","",IF(B108&gt;0,P108-J108,0))</f>
        <v/>
      </c>
      <c r="S108" s="8">
        <f>IF(A108="","",B108*R108)</f>
        <v/>
      </c>
      <c r="T108" s="11">
        <f>IF(A108="","",IF(K108&gt;0,S108*K108,""))</f>
        <v/>
      </c>
      <c r="U108" s="11">
        <f>IF(A108="","",IFERROR(B108/Q108,0))</f>
        <v/>
      </c>
      <c r="V108" s="4">
        <f>IF(A108="","",IF(OR(S108&lt;=0,Q108&lt;=0),"Drop",IF(P108&gt;=0.6,"Profit product",IF(P108&gt;=0.5,"Traffic product","Thin - rework"))))</f>
        <v/>
      </c>
    </row>
    <row r="109">
      <c r="B109" s="7" t="n"/>
      <c r="C109" s="7" t="n"/>
      <c r="D109" s="7" t="n"/>
      <c r="E109" s="7" t="n"/>
      <c r="F109" s="10" t="n"/>
      <c r="G109" s="7" t="n"/>
      <c r="H109" s="10" t="n"/>
      <c r="I109" s="10" t="n"/>
      <c r="J109" s="10" t="n"/>
      <c r="K109" s="6" t="n"/>
      <c r="L109" s="8">
        <f>IF(A109="","",B109*F109+G109)</f>
        <v/>
      </c>
      <c r="M109" s="9">
        <f>IF(A109="","",IFERROR((C109+D109+E109)/B109,0))</f>
        <v/>
      </c>
      <c r="N109" s="9">
        <f>IF(A109="","",IFERROR(L109/B109,0)+H109)</f>
        <v/>
      </c>
      <c r="O109" s="9">
        <f>IF(A109="","",M109+N109)</f>
        <v/>
      </c>
      <c r="P109" s="9">
        <f>IF(A109="","",IF(B109&gt;0,1-O109-I109,0))</f>
        <v/>
      </c>
      <c r="Q109" s="8">
        <f>IF(A109="","",B109*P109)</f>
        <v/>
      </c>
      <c r="R109" s="9">
        <f>IF(A109="","",IF(B109&gt;0,P109-J109,0))</f>
        <v/>
      </c>
      <c r="S109" s="8">
        <f>IF(A109="","",B109*R109)</f>
        <v/>
      </c>
      <c r="T109" s="11">
        <f>IF(A109="","",IF(K109&gt;0,S109*K109,""))</f>
        <v/>
      </c>
      <c r="U109" s="11">
        <f>IF(A109="","",IFERROR(B109/Q109,0))</f>
        <v/>
      </c>
      <c r="V109" s="4">
        <f>IF(A109="","",IF(OR(S109&lt;=0,Q109&lt;=0),"Drop",IF(P109&gt;=0.6,"Profit product",IF(P109&gt;=0.5,"Traffic product","Thin - rework"))))</f>
        <v/>
      </c>
    </row>
    <row r="110">
      <c r="B110" s="7" t="n"/>
      <c r="C110" s="7" t="n"/>
      <c r="D110" s="7" t="n"/>
      <c r="E110" s="7" t="n"/>
      <c r="F110" s="10" t="n"/>
      <c r="G110" s="7" t="n"/>
      <c r="H110" s="10" t="n"/>
      <c r="I110" s="10" t="n"/>
      <c r="J110" s="10" t="n"/>
      <c r="K110" s="6" t="n"/>
      <c r="L110" s="8">
        <f>IF(A110="","",B110*F110+G110)</f>
        <v/>
      </c>
      <c r="M110" s="9">
        <f>IF(A110="","",IFERROR((C110+D110+E110)/B110,0))</f>
        <v/>
      </c>
      <c r="N110" s="9">
        <f>IF(A110="","",IFERROR(L110/B110,0)+H110)</f>
        <v/>
      </c>
      <c r="O110" s="9">
        <f>IF(A110="","",M110+N110)</f>
        <v/>
      </c>
      <c r="P110" s="9">
        <f>IF(A110="","",IF(B110&gt;0,1-O110-I110,0))</f>
        <v/>
      </c>
      <c r="Q110" s="8">
        <f>IF(A110="","",B110*P110)</f>
        <v/>
      </c>
      <c r="R110" s="9">
        <f>IF(A110="","",IF(B110&gt;0,P110-J110,0))</f>
        <v/>
      </c>
      <c r="S110" s="8">
        <f>IF(A110="","",B110*R110)</f>
        <v/>
      </c>
      <c r="T110" s="11">
        <f>IF(A110="","",IF(K110&gt;0,S110*K110,""))</f>
        <v/>
      </c>
      <c r="U110" s="11">
        <f>IF(A110="","",IFERROR(B110/Q110,0))</f>
        <v/>
      </c>
      <c r="V110" s="4">
        <f>IF(A110="","",IF(OR(S110&lt;=0,Q110&lt;=0),"Drop",IF(P110&gt;=0.6,"Profit product",IF(P110&gt;=0.5,"Traffic product","Thin - rework"))))</f>
        <v/>
      </c>
    </row>
    <row r="111">
      <c r="B111" s="7" t="n"/>
      <c r="C111" s="7" t="n"/>
      <c r="D111" s="7" t="n"/>
      <c r="E111" s="7" t="n"/>
      <c r="F111" s="10" t="n"/>
      <c r="G111" s="7" t="n"/>
      <c r="H111" s="10" t="n"/>
      <c r="I111" s="10" t="n"/>
      <c r="J111" s="10" t="n"/>
      <c r="K111" s="6" t="n"/>
      <c r="L111" s="8">
        <f>IF(A111="","",B111*F111+G111)</f>
        <v/>
      </c>
      <c r="M111" s="9">
        <f>IF(A111="","",IFERROR((C111+D111+E111)/B111,0))</f>
        <v/>
      </c>
      <c r="N111" s="9">
        <f>IF(A111="","",IFERROR(L111/B111,0)+H111)</f>
        <v/>
      </c>
      <c r="O111" s="9">
        <f>IF(A111="","",M111+N111)</f>
        <v/>
      </c>
      <c r="P111" s="9">
        <f>IF(A111="","",IF(B111&gt;0,1-O111-I111,0))</f>
        <v/>
      </c>
      <c r="Q111" s="8">
        <f>IF(A111="","",B111*P111)</f>
        <v/>
      </c>
      <c r="R111" s="9">
        <f>IF(A111="","",IF(B111&gt;0,P111-J111,0))</f>
        <v/>
      </c>
      <c r="S111" s="8">
        <f>IF(A111="","",B111*R111)</f>
        <v/>
      </c>
      <c r="T111" s="11">
        <f>IF(A111="","",IF(K111&gt;0,S111*K111,""))</f>
        <v/>
      </c>
      <c r="U111" s="11">
        <f>IF(A111="","",IFERROR(B111/Q111,0))</f>
        <v/>
      </c>
      <c r="V111" s="4">
        <f>IF(A111="","",IF(OR(S111&lt;=0,Q111&lt;=0),"Drop",IF(P111&gt;=0.6,"Profit product",IF(P111&gt;=0.5,"Traffic product","Thin - rework"))))</f>
        <v/>
      </c>
    </row>
    <row r="112">
      <c r="B112" s="7" t="n"/>
      <c r="C112" s="7" t="n"/>
      <c r="D112" s="7" t="n"/>
      <c r="E112" s="7" t="n"/>
      <c r="F112" s="10" t="n"/>
      <c r="G112" s="7" t="n"/>
      <c r="H112" s="10" t="n"/>
      <c r="I112" s="10" t="n"/>
      <c r="J112" s="10" t="n"/>
      <c r="K112" s="6" t="n"/>
      <c r="L112" s="8">
        <f>IF(A112="","",B112*F112+G112)</f>
        <v/>
      </c>
      <c r="M112" s="9">
        <f>IF(A112="","",IFERROR((C112+D112+E112)/B112,0))</f>
        <v/>
      </c>
      <c r="N112" s="9">
        <f>IF(A112="","",IFERROR(L112/B112,0)+H112)</f>
        <v/>
      </c>
      <c r="O112" s="9">
        <f>IF(A112="","",M112+N112)</f>
        <v/>
      </c>
      <c r="P112" s="9">
        <f>IF(A112="","",IF(B112&gt;0,1-O112-I112,0))</f>
        <v/>
      </c>
      <c r="Q112" s="8">
        <f>IF(A112="","",B112*P112)</f>
        <v/>
      </c>
      <c r="R112" s="9">
        <f>IF(A112="","",IF(B112&gt;0,P112-J112,0))</f>
        <v/>
      </c>
      <c r="S112" s="8">
        <f>IF(A112="","",B112*R112)</f>
        <v/>
      </c>
      <c r="T112" s="11">
        <f>IF(A112="","",IF(K112&gt;0,S112*K112,""))</f>
        <v/>
      </c>
      <c r="U112" s="11">
        <f>IF(A112="","",IFERROR(B112/Q112,0))</f>
        <v/>
      </c>
      <c r="V112" s="4">
        <f>IF(A112="","",IF(OR(S112&lt;=0,Q112&lt;=0),"Drop",IF(P112&gt;=0.6,"Profit product",IF(P112&gt;=0.5,"Traffic product","Thin - rework"))))</f>
        <v/>
      </c>
    </row>
    <row r="113">
      <c r="B113" s="7" t="n"/>
      <c r="C113" s="7" t="n"/>
      <c r="D113" s="7" t="n"/>
      <c r="E113" s="7" t="n"/>
      <c r="F113" s="10" t="n"/>
      <c r="G113" s="7" t="n"/>
      <c r="H113" s="10" t="n"/>
      <c r="I113" s="10" t="n"/>
      <c r="J113" s="10" t="n"/>
      <c r="K113" s="6" t="n"/>
      <c r="L113" s="8">
        <f>IF(A113="","",B113*F113+G113)</f>
        <v/>
      </c>
      <c r="M113" s="9">
        <f>IF(A113="","",IFERROR((C113+D113+E113)/B113,0))</f>
        <v/>
      </c>
      <c r="N113" s="9">
        <f>IF(A113="","",IFERROR(L113/B113,0)+H113)</f>
        <v/>
      </c>
      <c r="O113" s="9">
        <f>IF(A113="","",M113+N113)</f>
        <v/>
      </c>
      <c r="P113" s="9">
        <f>IF(A113="","",IF(B113&gt;0,1-O113-I113,0))</f>
        <v/>
      </c>
      <c r="Q113" s="8">
        <f>IF(A113="","",B113*P113)</f>
        <v/>
      </c>
      <c r="R113" s="9">
        <f>IF(A113="","",IF(B113&gt;0,P113-J113,0))</f>
        <v/>
      </c>
      <c r="S113" s="8">
        <f>IF(A113="","",B113*R113)</f>
        <v/>
      </c>
      <c r="T113" s="11">
        <f>IF(A113="","",IF(K113&gt;0,S113*K113,""))</f>
        <v/>
      </c>
      <c r="U113" s="11">
        <f>IF(A113="","",IFERROR(B113/Q113,0))</f>
        <v/>
      </c>
      <c r="V113" s="4">
        <f>IF(A113="","",IF(OR(S113&lt;=0,Q113&lt;=0),"Drop",IF(P113&gt;=0.6,"Profit product",IF(P113&gt;=0.5,"Traffic product","Thin - rework"))))</f>
        <v/>
      </c>
    </row>
    <row r="114">
      <c r="B114" s="7" t="n"/>
      <c r="C114" s="7" t="n"/>
      <c r="D114" s="7" t="n"/>
      <c r="E114" s="7" t="n"/>
      <c r="F114" s="10" t="n"/>
      <c r="G114" s="7" t="n"/>
      <c r="H114" s="10" t="n"/>
      <c r="I114" s="10" t="n"/>
      <c r="J114" s="10" t="n"/>
      <c r="K114" s="6" t="n"/>
      <c r="L114" s="8">
        <f>IF(A114="","",B114*F114+G114)</f>
        <v/>
      </c>
      <c r="M114" s="9">
        <f>IF(A114="","",IFERROR((C114+D114+E114)/B114,0))</f>
        <v/>
      </c>
      <c r="N114" s="9">
        <f>IF(A114="","",IFERROR(L114/B114,0)+H114)</f>
        <v/>
      </c>
      <c r="O114" s="9">
        <f>IF(A114="","",M114+N114)</f>
        <v/>
      </c>
      <c r="P114" s="9">
        <f>IF(A114="","",IF(B114&gt;0,1-O114-I114,0))</f>
        <v/>
      </c>
      <c r="Q114" s="8">
        <f>IF(A114="","",B114*P114)</f>
        <v/>
      </c>
      <c r="R114" s="9">
        <f>IF(A114="","",IF(B114&gt;0,P114-J114,0))</f>
        <v/>
      </c>
      <c r="S114" s="8">
        <f>IF(A114="","",B114*R114)</f>
        <v/>
      </c>
      <c r="T114" s="11">
        <f>IF(A114="","",IF(K114&gt;0,S114*K114,""))</f>
        <v/>
      </c>
      <c r="U114" s="11">
        <f>IF(A114="","",IFERROR(B114/Q114,0))</f>
        <v/>
      </c>
      <c r="V114" s="4">
        <f>IF(A114="","",IF(OR(S114&lt;=0,Q114&lt;=0),"Drop",IF(P114&gt;=0.6,"Profit product",IF(P114&gt;=0.5,"Traffic product","Thin - rework"))))</f>
        <v/>
      </c>
    </row>
    <row r="115">
      <c r="B115" s="7" t="n"/>
      <c r="C115" s="7" t="n"/>
      <c r="D115" s="7" t="n"/>
      <c r="E115" s="7" t="n"/>
      <c r="F115" s="10" t="n"/>
      <c r="G115" s="7" t="n"/>
      <c r="H115" s="10" t="n"/>
      <c r="I115" s="10" t="n"/>
      <c r="J115" s="10" t="n"/>
      <c r="K115" s="6" t="n"/>
      <c r="L115" s="8">
        <f>IF(A115="","",B115*F115+G115)</f>
        <v/>
      </c>
      <c r="M115" s="9">
        <f>IF(A115="","",IFERROR((C115+D115+E115)/B115,0))</f>
        <v/>
      </c>
      <c r="N115" s="9">
        <f>IF(A115="","",IFERROR(L115/B115,0)+H115)</f>
        <v/>
      </c>
      <c r="O115" s="9">
        <f>IF(A115="","",M115+N115)</f>
        <v/>
      </c>
      <c r="P115" s="9">
        <f>IF(A115="","",IF(B115&gt;0,1-O115-I115,0))</f>
        <v/>
      </c>
      <c r="Q115" s="8">
        <f>IF(A115="","",B115*P115)</f>
        <v/>
      </c>
      <c r="R115" s="9">
        <f>IF(A115="","",IF(B115&gt;0,P115-J115,0))</f>
        <v/>
      </c>
      <c r="S115" s="8">
        <f>IF(A115="","",B115*R115)</f>
        <v/>
      </c>
      <c r="T115" s="11">
        <f>IF(A115="","",IF(K115&gt;0,S115*K115,""))</f>
        <v/>
      </c>
      <c r="U115" s="11">
        <f>IF(A115="","",IFERROR(B115/Q115,0))</f>
        <v/>
      </c>
      <c r="V115" s="4">
        <f>IF(A115="","",IF(OR(S115&lt;=0,Q115&lt;=0),"Drop",IF(P115&gt;=0.6,"Profit product",IF(P115&gt;=0.5,"Traffic product","Thin - rework"))))</f>
        <v/>
      </c>
    </row>
    <row r="116">
      <c r="B116" s="7" t="n"/>
      <c r="C116" s="7" t="n"/>
      <c r="D116" s="7" t="n"/>
      <c r="E116" s="7" t="n"/>
      <c r="F116" s="10" t="n"/>
      <c r="G116" s="7" t="n"/>
      <c r="H116" s="10" t="n"/>
      <c r="I116" s="10" t="n"/>
      <c r="J116" s="10" t="n"/>
      <c r="K116" s="6" t="n"/>
      <c r="L116" s="8">
        <f>IF(A116="","",B116*F116+G116)</f>
        <v/>
      </c>
      <c r="M116" s="9">
        <f>IF(A116="","",IFERROR((C116+D116+E116)/B116,0))</f>
        <v/>
      </c>
      <c r="N116" s="9">
        <f>IF(A116="","",IFERROR(L116/B116,0)+H116)</f>
        <v/>
      </c>
      <c r="O116" s="9">
        <f>IF(A116="","",M116+N116)</f>
        <v/>
      </c>
      <c r="P116" s="9">
        <f>IF(A116="","",IF(B116&gt;0,1-O116-I116,0))</f>
        <v/>
      </c>
      <c r="Q116" s="8">
        <f>IF(A116="","",B116*P116)</f>
        <v/>
      </c>
      <c r="R116" s="9">
        <f>IF(A116="","",IF(B116&gt;0,P116-J116,0))</f>
        <v/>
      </c>
      <c r="S116" s="8">
        <f>IF(A116="","",B116*R116)</f>
        <v/>
      </c>
      <c r="T116" s="11">
        <f>IF(A116="","",IF(K116&gt;0,S116*K116,""))</f>
        <v/>
      </c>
      <c r="U116" s="11">
        <f>IF(A116="","",IFERROR(B116/Q116,0))</f>
        <v/>
      </c>
      <c r="V116" s="4">
        <f>IF(A116="","",IF(OR(S116&lt;=0,Q116&lt;=0),"Drop",IF(P116&gt;=0.6,"Profit product",IF(P116&gt;=0.5,"Traffic product","Thin - rework"))))</f>
        <v/>
      </c>
    </row>
    <row r="117">
      <c r="B117" s="7" t="n"/>
      <c r="C117" s="7" t="n"/>
      <c r="D117" s="7" t="n"/>
      <c r="E117" s="7" t="n"/>
      <c r="F117" s="10" t="n"/>
      <c r="G117" s="7" t="n"/>
      <c r="H117" s="10" t="n"/>
      <c r="I117" s="10" t="n"/>
      <c r="J117" s="10" t="n"/>
      <c r="K117" s="6" t="n"/>
      <c r="L117" s="8">
        <f>IF(A117="","",B117*F117+G117)</f>
        <v/>
      </c>
      <c r="M117" s="9">
        <f>IF(A117="","",IFERROR((C117+D117+E117)/B117,0))</f>
        <v/>
      </c>
      <c r="N117" s="9">
        <f>IF(A117="","",IFERROR(L117/B117,0)+H117)</f>
        <v/>
      </c>
      <c r="O117" s="9">
        <f>IF(A117="","",M117+N117)</f>
        <v/>
      </c>
      <c r="P117" s="9">
        <f>IF(A117="","",IF(B117&gt;0,1-O117-I117,0))</f>
        <v/>
      </c>
      <c r="Q117" s="8">
        <f>IF(A117="","",B117*P117)</f>
        <v/>
      </c>
      <c r="R117" s="9">
        <f>IF(A117="","",IF(B117&gt;0,P117-J117,0))</f>
        <v/>
      </c>
      <c r="S117" s="8">
        <f>IF(A117="","",B117*R117)</f>
        <v/>
      </c>
      <c r="T117" s="11">
        <f>IF(A117="","",IF(K117&gt;0,S117*K117,""))</f>
        <v/>
      </c>
      <c r="U117" s="11">
        <f>IF(A117="","",IFERROR(B117/Q117,0))</f>
        <v/>
      </c>
      <c r="V117" s="4">
        <f>IF(A117="","",IF(OR(S117&lt;=0,Q117&lt;=0),"Drop",IF(P117&gt;=0.6,"Profit product",IF(P117&gt;=0.5,"Traffic product","Thin - rework"))))</f>
        <v/>
      </c>
    </row>
    <row r="118">
      <c r="B118" s="7" t="n"/>
      <c r="C118" s="7" t="n"/>
      <c r="D118" s="7" t="n"/>
      <c r="E118" s="7" t="n"/>
      <c r="F118" s="10" t="n"/>
      <c r="G118" s="7" t="n"/>
      <c r="H118" s="10" t="n"/>
      <c r="I118" s="10" t="n"/>
      <c r="J118" s="10" t="n"/>
      <c r="K118" s="6" t="n"/>
      <c r="L118" s="8">
        <f>IF(A118="","",B118*F118+G118)</f>
        <v/>
      </c>
      <c r="M118" s="9">
        <f>IF(A118="","",IFERROR((C118+D118+E118)/B118,0))</f>
        <v/>
      </c>
      <c r="N118" s="9">
        <f>IF(A118="","",IFERROR(L118/B118,0)+H118)</f>
        <v/>
      </c>
      <c r="O118" s="9">
        <f>IF(A118="","",M118+N118)</f>
        <v/>
      </c>
      <c r="P118" s="9">
        <f>IF(A118="","",IF(B118&gt;0,1-O118-I118,0))</f>
        <v/>
      </c>
      <c r="Q118" s="8">
        <f>IF(A118="","",B118*P118)</f>
        <v/>
      </c>
      <c r="R118" s="9">
        <f>IF(A118="","",IF(B118&gt;0,P118-J118,0))</f>
        <v/>
      </c>
      <c r="S118" s="8">
        <f>IF(A118="","",B118*R118)</f>
        <v/>
      </c>
      <c r="T118" s="11">
        <f>IF(A118="","",IF(K118&gt;0,S118*K118,""))</f>
        <v/>
      </c>
      <c r="U118" s="11">
        <f>IF(A118="","",IFERROR(B118/Q118,0))</f>
        <v/>
      </c>
      <c r="V118" s="4">
        <f>IF(A118="","",IF(OR(S118&lt;=0,Q118&lt;=0),"Drop",IF(P118&gt;=0.6,"Profit product",IF(P118&gt;=0.5,"Traffic product","Thin - rework"))))</f>
        <v/>
      </c>
    </row>
    <row r="119">
      <c r="B119" s="7" t="n"/>
      <c r="C119" s="7" t="n"/>
      <c r="D119" s="7" t="n"/>
      <c r="E119" s="7" t="n"/>
      <c r="F119" s="10" t="n"/>
      <c r="G119" s="7" t="n"/>
      <c r="H119" s="10" t="n"/>
      <c r="I119" s="10" t="n"/>
      <c r="J119" s="10" t="n"/>
      <c r="K119" s="6" t="n"/>
      <c r="L119" s="8">
        <f>IF(A119="","",B119*F119+G119)</f>
        <v/>
      </c>
      <c r="M119" s="9">
        <f>IF(A119="","",IFERROR((C119+D119+E119)/B119,0))</f>
        <v/>
      </c>
      <c r="N119" s="9">
        <f>IF(A119="","",IFERROR(L119/B119,0)+H119)</f>
        <v/>
      </c>
      <c r="O119" s="9">
        <f>IF(A119="","",M119+N119)</f>
        <v/>
      </c>
      <c r="P119" s="9">
        <f>IF(A119="","",IF(B119&gt;0,1-O119-I119,0))</f>
        <v/>
      </c>
      <c r="Q119" s="8">
        <f>IF(A119="","",B119*P119)</f>
        <v/>
      </c>
      <c r="R119" s="9">
        <f>IF(A119="","",IF(B119&gt;0,P119-J119,0))</f>
        <v/>
      </c>
      <c r="S119" s="8">
        <f>IF(A119="","",B119*R119)</f>
        <v/>
      </c>
      <c r="T119" s="11">
        <f>IF(A119="","",IF(K119&gt;0,S119*K119,""))</f>
        <v/>
      </c>
      <c r="U119" s="11">
        <f>IF(A119="","",IFERROR(B119/Q119,0))</f>
        <v/>
      </c>
      <c r="V119" s="4">
        <f>IF(A119="","",IF(OR(S119&lt;=0,Q119&lt;=0),"Drop",IF(P119&gt;=0.6,"Profit product",IF(P119&gt;=0.5,"Traffic product","Thin - rework"))))</f>
        <v/>
      </c>
    </row>
    <row r="120">
      <c r="B120" s="7" t="n"/>
      <c r="C120" s="7" t="n"/>
      <c r="D120" s="7" t="n"/>
      <c r="E120" s="7" t="n"/>
      <c r="F120" s="10" t="n"/>
      <c r="G120" s="7" t="n"/>
      <c r="H120" s="10" t="n"/>
      <c r="I120" s="10" t="n"/>
      <c r="J120" s="10" t="n"/>
      <c r="K120" s="6" t="n"/>
      <c r="L120" s="8">
        <f>IF(A120="","",B120*F120+G120)</f>
        <v/>
      </c>
      <c r="M120" s="9">
        <f>IF(A120="","",IFERROR((C120+D120+E120)/B120,0))</f>
        <v/>
      </c>
      <c r="N120" s="9">
        <f>IF(A120="","",IFERROR(L120/B120,0)+H120)</f>
        <v/>
      </c>
      <c r="O120" s="9">
        <f>IF(A120="","",M120+N120)</f>
        <v/>
      </c>
      <c r="P120" s="9">
        <f>IF(A120="","",IF(B120&gt;0,1-O120-I120,0))</f>
        <v/>
      </c>
      <c r="Q120" s="8">
        <f>IF(A120="","",B120*P120)</f>
        <v/>
      </c>
      <c r="R120" s="9">
        <f>IF(A120="","",IF(B120&gt;0,P120-J120,0))</f>
        <v/>
      </c>
      <c r="S120" s="8">
        <f>IF(A120="","",B120*R120)</f>
        <v/>
      </c>
      <c r="T120" s="11">
        <f>IF(A120="","",IF(K120&gt;0,S120*K120,""))</f>
        <v/>
      </c>
      <c r="U120" s="11">
        <f>IF(A120="","",IFERROR(B120/Q120,0))</f>
        <v/>
      </c>
      <c r="V120" s="4">
        <f>IF(A120="","",IF(OR(S120&lt;=0,Q120&lt;=0),"Drop",IF(P120&gt;=0.6,"Profit product",IF(P120&gt;=0.5,"Traffic product","Thin - rework"))))</f>
        <v/>
      </c>
    </row>
    <row r="121">
      <c r="B121" s="7" t="n"/>
      <c r="C121" s="7" t="n"/>
      <c r="D121" s="7" t="n"/>
      <c r="E121" s="7" t="n"/>
      <c r="F121" s="10" t="n"/>
      <c r="G121" s="7" t="n"/>
      <c r="H121" s="10" t="n"/>
      <c r="I121" s="10" t="n"/>
      <c r="J121" s="10" t="n"/>
      <c r="K121" s="6" t="n"/>
      <c r="L121" s="8">
        <f>IF(A121="","",B121*F121+G121)</f>
        <v/>
      </c>
      <c r="M121" s="9">
        <f>IF(A121="","",IFERROR((C121+D121+E121)/B121,0))</f>
        <v/>
      </c>
      <c r="N121" s="9">
        <f>IF(A121="","",IFERROR(L121/B121,0)+H121)</f>
        <v/>
      </c>
      <c r="O121" s="9">
        <f>IF(A121="","",M121+N121)</f>
        <v/>
      </c>
      <c r="P121" s="9">
        <f>IF(A121="","",IF(B121&gt;0,1-O121-I121,0))</f>
        <v/>
      </c>
      <c r="Q121" s="8">
        <f>IF(A121="","",B121*P121)</f>
        <v/>
      </c>
      <c r="R121" s="9">
        <f>IF(A121="","",IF(B121&gt;0,P121-J121,0))</f>
        <v/>
      </c>
      <c r="S121" s="8">
        <f>IF(A121="","",B121*R121)</f>
        <v/>
      </c>
      <c r="T121" s="11">
        <f>IF(A121="","",IF(K121&gt;0,S121*K121,""))</f>
        <v/>
      </c>
      <c r="U121" s="11">
        <f>IF(A121="","",IFERROR(B121/Q121,0))</f>
        <v/>
      </c>
      <c r="V121" s="4">
        <f>IF(A121="","",IF(OR(S121&lt;=0,Q121&lt;=0),"Drop",IF(P121&gt;=0.6,"Profit product",IF(P121&gt;=0.5,"Traffic product","Thin - rework"))))</f>
        <v/>
      </c>
    </row>
    <row r="122">
      <c r="B122" s="7" t="n"/>
      <c r="C122" s="7" t="n"/>
      <c r="D122" s="7" t="n"/>
      <c r="E122" s="7" t="n"/>
      <c r="F122" s="10" t="n"/>
      <c r="G122" s="7" t="n"/>
      <c r="H122" s="10" t="n"/>
      <c r="I122" s="10" t="n"/>
      <c r="J122" s="10" t="n"/>
      <c r="K122" s="6" t="n"/>
      <c r="L122" s="8">
        <f>IF(A122="","",B122*F122+G122)</f>
        <v/>
      </c>
      <c r="M122" s="9">
        <f>IF(A122="","",IFERROR((C122+D122+E122)/B122,0))</f>
        <v/>
      </c>
      <c r="N122" s="9">
        <f>IF(A122="","",IFERROR(L122/B122,0)+H122)</f>
        <v/>
      </c>
      <c r="O122" s="9">
        <f>IF(A122="","",M122+N122)</f>
        <v/>
      </c>
      <c r="P122" s="9">
        <f>IF(A122="","",IF(B122&gt;0,1-O122-I122,0))</f>
        <v/>
      </c>
      <c r="Q122" s="8">
        <f>IF(A122="","",B122*P122)</f>
        <v/>
      </c>
      <c r="R122" s="9">
        <f>IF(A122="","",IF(B122&gt;0,P122-J122,0))</f>
        <v/>
      </c>
      <c r="S122" s="8">
        <f>IF(A122="","",B122*R122)</f>
        <v/>
      </c>
      <c r="T122" s="11">
        <f>IF(A122="","",IF(K122&gt;0,S122*K122,""))</f>
        <v/>
      </c>
      <c r="U122" s="11">
        <f>IF(A122="","",IFERROR(B122/Q122,0))</f>
        <v/>
      </c>
      <c r="V122" s="4">
        <f>IF(A122="","",IF(OR(S122&lt;=0,Q122&lt;=0),"Drop",IF(P122&gt;=0.6,"Profit product",IF(P122&gt;=0.5,"Traffic product","Thin - rework"))))</f>
        <v/>
      </c>
    </row>
    <row r="123">
      <c r="B123" s="7" t="n"/>
      <c r="C123" s="7" t="n"/>
      <c r="D123" s="7" t="n"/>
      <c r="E123" s="7" t="n"/>
      <c r="F123" s="10" t="n"/>
      <c r="G123" s="7" t="n"/>
      <c r="H123" s="10" t="n"/>
      <c r="I123" s="10" t="n"/>
      <c r="J123" s="10" t="n"/>
      <c r="K123" s="6" t="n"/>
      <c r="L123" s="8">
        <f>IF(A123="","",B123*F123+G123)</f>
        <v/>
      </c>
      <c r="M123" s="9">
        <f>IF(A123="","",IFERROR((C123+D123+E123)/B123,0))</f>
        <v/>
      </c>
      <c r="N123" s="9">
        <f>IF(A123="","",IFERROR(L123/B123,0)+H123)</f>
        <v/>
      </c>
      <c r="O123" s="9">
        <f>IF(A123="","",M123+N123)</f>
        <v/>
      </c>
      <c r="P123" s="9">
        <f>IF(A123="","",IF(B123&gt;0,1-O123-I123,0))</f>
        <v/>
      </c>
      <c r="Q123" s="8">
        <f>IF(A123="","",B123*P123)</f>
        <v/>
      </c>
      <c r="R123" s="9">
        <f>IF(A123="","",IF(B123&gt;0,P123-J123,0))</f>
        <v/>
      </c>
      <c r="S123" s="8">
        <f>IF(A123="","",B123*R123)</f>
        <v/>
      </c>
      <c r="T123" s="11">
        <f>IF(A123="","",IF(K123&gt;0,S123*K123,""))</f>
        <v/>
      </c>
      <c r="U123" s="11">
        <f>IF(A123="","",IFERROR(B123/Q123,0))</f>
        <v/>
      </c>
      <c r="V123" s="4">
        <f>IF(A123="","",IF(OR(S123&lt;=0,Q123&lt;=0),"Drop",IF(P123&gt;=0.6,"Profit product",IF(P123&gt;=0.5,"Traffic product","Thin - rework"))))</f>
        <v/>
      </c>
    </row>
    <row r="124">
      <c r="B124" s="7" t="n"/>
      <c r="C124" s="7" t="n"/>
      <c r="D124" s="7" t="n"/>
      <c r="E124" s="7" t="n"/>
      <c r="F124" s="10" t="n"/>
      <c r="G124" s="7" t="n"/>
      <c r="H124" s="10" t="n"/>
      <c r="I124" s="10" t="n"/>
      <c r="J124" s="10" t="n"/>
      <c r="K124" s="6" t="n"/>
      <c r="L124" s="8">
        <f>IF(A124="","",B124*F124+G124)</f>
        <v/>
      </c>
      <c r="M124" s="9">
        <f>IF(A124="","",IFERROR((C124+D124+E124)/B124,0))</f>
        <v/>
      </c>
      <c r="N124" s="9">
        <f>IF(A124="","",IFERROR(L124/B124,0)+H124)</f>
        <v/>
      </c>
      <c r="O124" s="9">
        <f>IF(A124="","",M124+N124)</f>
        <v/>
      </c>
      <c r="P124" s="9">
        <f>IF(A124="","",IF(B124&gt;0,1-O124-I124,0))</f>
        <v/>
      </c>
      <c r="Q124" s="8">
        <f>IF(A124="","",B124*P124)</f>
        <v/>
      </c>
      <c r="R124" s="9">
        <f>IF(A124="","",IF(B124&gt;0,P124-J124,0))</f>
        <v/>
      </c>
      <c r="S124" s="8">
        <f>IF(A124="","",B124*R124)</f>
        <v/>
      </c>
      <c r="T124" s="11">
        <f>IF(A124="","",IF(K124&gt;0,S124*K124,""))</f>
        <v/>
      </c>
      <c r="U124" s="11">
        <f>IF(A124="","",IFERROR(B124/Q124,0))</f>
        <v/>
      </c>
      <c r="V124" s="4">
        <f>IF(A124="","",IF(OR(S124&lt;=0,Q124&lt;=0),"Drop",IF(P124&gt;=0.6,"Profit product",IF(P124&gt;=0.5,"Traffic product","Thin - rework"))))</f>
        <v/>
      </c>
    </row>
    <row r="125">
      <c r="B125" s="7" t="n"/>
      <c r="C125" s="7" t="n"/>
      <c r="D125" s="7" t="n"/>
      <c r="E125" s="7" t="n"/>
      <c r="F125" s="10" t="n"/>
      <c r="G125" s="7" t="n"/>
      <c r="H125" s="10" t="n"/>
      <c r="I125" s="10" t="n"/>
      <c r="J125" s="10" t="n"/>
      <c r="K125" s="6" t="n"/>
      <c r="L125" s="8">
        <f>IF(A125="","",B125*F125+G125)</f>
        <v/>
      </c>
      <c r="M125" s="9">
        <f>IF(A125="","",IFERROR((C125+D125+E125)/B125,0))</f>
        <v/>
      </c>
      <c r="N125" s="9">
        <f>IF(A125="","",IFERROR(L125/B125,0)+H125)</f>
        <v/>
      </c>
      <c r="O125" s="9">
        <f>IF(A125="","",M125+N125)</f>
        <v/>
      </c>
      <c r="P125" s="9">
        <f>IF(A125="","",IF(B125&gt;0,1-O125-I125,0))</f>
        <v/>
      </c>
      <c r="Q125" s="8">
        <f>IF(A125="","",B125*P125)</f>
        <v/>
      </c>
      <c r="R125" s="9">
        <f>IF(A125="","",IF(B125&gt;0,P125-J125,0))</f>
        <v/>
      </c>
      <c r="S125" s="8">
        <f>IF(A125="","",B125*R125)</f>
        <v/>
      </c>
      <c r="T125" s="11">
        <f>IF(A125="","",IF(K125&gt;0,S125*K125,""))</f>
        <v/>
      </c>
      <c r="U125" s="11">
        <f>IF(A125="","",IFERROR(B125/Q125,0))</f>
        <v/>
      </c>
      <c r="V125" s="4">
        <f>IF(A125="","",IF(OR(S125&lt;=0,Q125&lt;=0),"Drop",IF(P125&gt;=0.6,"Profit product",IF(P125&gt;=0.5,"Traffic product","Thin - rework"))))</f>
        <v/>
      </c>
    </row>
    <row r="126">
      <c r="B126" s="7" t="n"/>
      <c r="C126" s="7" t="n"/>
      <c r="D126" s="7" t="n"/>
      <c r="E126" s="7" t="n"/>
      <c r="F126" s="10" t="n"/>
      <c r="G126" s="7" t="n"/>
      <c r="H126" s="10" t="n"/>
      <c r="I126" s="10" t="n"/>
      <c r="J126" s="10" t="n"/>
      <c r="K126" s="6" t="n"/>
      <c r="L126" s="8">
        <f>IF(A126="","",B126*F126+G126)</f>
        <v/>
      </c>
      <c r="M126" s="9">
        <f>IF(A126="","",IFERROR((C126+D126+E126)/B126,0))</f>
        <v/>
      </c>
      <c r="N126" s="9">
        <f>IF(A126="","",IFERROR(L126/B126,0)+H126)</f>
        <v/>
      </c>
      <c r="O126" s="9">
        <f>IF(A126="","",M126+N126)</f>
        <v/>
      </c>
      <c r="P126" s="9">
        <f>IF(A126="","",IF(B126&gt;0,1-O126-I126,0))</f>
        <v/>
      </c>
      <c r="Q126" s="8">
        <f>IF(A126="","",B126*P126)</f>
        <v/>
      </c>
      <c r="R126" s="9">
        <f>IF(A126="","",IF(B126&gt;0,P126-J126,0))</f>
        <v/>
      </c>
      <c r="S126" s="8">
        <f>IF(A126="","",B126*R126)</f>
        <v/>
      </c>
      <c r="T126" s="11">
        <f>IF(A126="","",IF(K126&gt;0,S126*K126,""))</f>
        <v/>
      </c>
      <c r="U126" s="11">
        <f>IF(A126="","",IFERROR(B126/Q126,0))</f>
        <v/>
      </c>
      <c r="V126" s="4">
        <f>IF(A126="","",IF(OR(S126&lt;=0,Q126&lt;=0),"Drop",IF(P126&gt;=0.6,"Profit product",IF(P126&gt;=0.5,"Traffic product","Thin - rework"))))</f>
        <v/>
      </c>
    </row>
    <row r="127">
      <c r="B127" s="7" t="n"/>
      <c r="C127" s="7" t="n"/>
      <c r="D127" s="7" t="n"/>
      <c r="E127" s="7" t="n"/>
      <c r="F127" s="10" t="n"/>
      <c r="G127" s="7" t="n"/>
      <c r="H127" s="10" t="n"/>
      <c r="I127" s="10" t="n"/>
      <c r="J127" s="10" t="n"/>
      <c r="K127" s="6" t="n"/>
      <c r="L127" s="8">
        <f>IF(A127="","",B127*F127+G127)</f>
        <v/>
      </c>
      <c r="M127" s="9">
        <f>IF(A127="","",IFERROR((C127+D127+E127)/B127,0))</f>
        <v/>
      </c>
      <c r="N127" s="9">
        <f>IF(A127="","",IFERROR(L127/B127,0)+H127)</f>
        <v/>
      </c>
      <c r="O127" s="9">
        <f>IF(A127="","",M127+N127)</f>
        <v/>
      </c>
      <c r="P127" s="9">
        <f>IF(A127="","",IF(B127&gt;0,1-O127-I127,0))</f>
        <v/>
      </c>
      <c r="Q127" s="8">
        <f>IF(A127="","",B127*P127)</f>
        <v/>
      </c>
      <c r="R127" s="9">
        <f>IF(A127="","",IF(B127&gt;0,P127-J127,0))</f>
        <v/>
      </c>
      <c r="S127" s="8">
        <f>IF(A127="","",B127*R127)</f>
        <v/>
      </c>
      <c r="T127" s="11">
        <f>IF(A127="","",IF(K127&gt;0,S127*K127,""))</f>
        <v/>
      </c>
      <c r="U127" s="11">
        <f>IF(A127="","",IFERROR(B127/Q127,0))</f>
        <v/>
      </c>
      <c r="V127" s="4">
        <f>IF(A127="","",IF(OR(S127&lt;=0,Q127&lt;=0),"Drop",IF(P127&gt;=0.6,"Profit product",IF(P127&gt;=0.5,"Traffic product","Thin - rework"))))</f>
        <v/>
      </c>
    </row>
    <row r="128">
      <c r="B128" s="7" t="n"/>
      <c r="C128" s="7" t="n"/>
      <c r="D128" s="7" t="n"/>
      <c r="E128" s="7" t="n"/>
      <c r="F128" s="10" t="n"/>
      <c r="G128" s="7" t="n"/>
      <c r="H128" s="10" t="n"/>
      <c r="I128" s="10" t="n"/>
      <c r="J128" s="10" t="n"/>
      <c r="K128" s="6" t="n"/>
      <c r="L128" s="8">
        <f>IF(A128="","",B128*F128+G128)</f>
        <v/>
      </c>
      <c r="M128" s="9">
        <f>IF(A128="","",IFERROR((C128+D128+E128)/B128,0))</f>
        <v/>
      </c>
      <c r="N128" s="9">
        <f>IF(A128="","",IFERROR(L128/B128,0)+H128)</f>
        <v/>
      </c>
      <c r="O128" s="9">
        <f>IF(A128="","",M128+N128)</f>
        <v/>
      </c>
      <c r="P128" s="9">
        <f>IF(A128="","",IF(B128&gt;0,1-O128-I128,0))</f>
        <v/>
      </c>
      <c r="Q128" s="8">
        <f>IF(A128="","",B128*P128)</f>
        <v/>
      </c>
      <c r="R128" s="9">
        <f>IF(A128="","",IF(B128&gt;0,P128-J128,0))</f>
        <v/>
      </c>
      <c r="S128" s="8">
        <f>IF(A128="","",B128*R128)</f>
        <v/>
      </c>
      <c r="T128" s="11">
        <f>IF(A128="","",IF(K128&gt;0,S128*K128,""))</f>
        <v/>
      </c>
      <c r="U128" s="11">
        <f>IF(A128="","",IFERROR(B128/Q128,0))</f>
        <v/>
      </c>
      <c r="V128" s="4">
        <f>IF(A128="","",IF(OR(S128&lt;=0,Q128&lt;=0),"Drop",IF(P128&gt;=0.6,"Profit product",IF(P128&gt;=0.5,"Traffic product","Thin - rework"))))</f>
        <v/>
      </c>
    </row>
    <row r="129">
      <c r="B129" s="7" t="n"/>
      <c r="C129" s="7" t="n"/>
      <c r="D129" s="7" t="n"/>
      <c r="E129" s="7" t="n"/>
      <c r="F129" s="10" t="n"/>
      <c r="G129" s="7" t="n"/>
      <c r="H129" s="10" t="n"/>
      <c r="I129" s="10" t="n"/>
      <c r="J129" s="10" t="n"/>
      <c r="K129" s="6" t="n"/>
      <c r="L129" s="8">
        <f>IF(A129="","",B129*F129+G129)</f>
        <v/>
      </c>
      <c r="M129" s="9">
        <f>IF(A129="","",IFERROR((C129+D129+E129)/B129,0))</f>
        <v/>
      </c>
      <c r="N129" s="9">
        <f>IF(A129="","",IFERROR(L129/B129,0)+H129)</f>
        <v/>
      </c>
      <c r="O129" s="9">
        <f>IF(A129="","",M129+N129)</f>
        <v/>
      </c>
      <c r="P129" s="9">
        <f>IF(A129="","",IF(B129&gt;0,1-O129-I129,0))</f>
        <v/>
      </c>
      <c r="Q129" s="8">
        <f>IF(A129="","",B129*P129)</f>
        <v/>
      </c>
      <c r="R129" s="9">
        <f>IF(A129="","",IF(B129&gt;0,P129-J129,0))</f>
        <v/>
      </c>
      <c r="S129" s="8">
        <f>IF(A129="","",B129*R129)</f>
        <v/>
      </c>
      <c r="T129" s="11">
        <f>IF(A129="","",IF(K129&gt;0,S129*K129,""))</f>
        <v/>
      </c>
      <c r="U129" s="11">
        <f>IF(A129="","",IFERROR(B129/Q129,0))</f>
        <v/>
      </c>
      <c r="V129" s="4">
        <f>IF(A129="","",IF(OR(S129&lt;=0,Q129&lt;=0),"Drop",IF(P129&gt;=0.6,"Profit product",IF(P129&gt;=0.5,"Traffic product","Thin - rework"))))</f>
        <v/>
      </c>
    </row>
    <row r="130">
      <c r="B130" s="7" t="n"/>
      <c r="C130" s="7" t="n"/>
      <c r="D130" s="7" t="n"/>
      <c r="E130" s="7" t="n"/>
      <c r="F130" s="10" t="n"/>
      <c r="G130" s="7" t="n"/>
      <c r="H130" s="10" t="n"/>
      <c r="I130" s="10" t="n"/>
      <c r="J130" s="10" t="n"/>
      <c r="K130" s="6" t="n"/>
      <c r="L130" s="8">
        <f>IF(A130="","",B130*F130+G130)</f>
        <v/>
      </c>
      <c r="M130" s="9">
        <f>IF(A130="","",IFERROR((C130+D130+E130)/B130,0))</f>
        <v/>
      </c>
      <c r="N130" s="9">
        <f>IF(A130="","",IFERROR(L130/B130,0)+H130)</f>
        <v/>
      </c>
      <c r="O130" s="9">
        <f>IF(A130="","",M130+N130)</f>
        <v/>
      </c>
      <c r="P130" s="9">
        <f>IF(A130="","",IF(B130&gt;0,1-O130-I130,0))</f>
        <v/>
      </c>
      <c r="Q130" s="8">
        <f>IF(A130="","",B130*P130)</f>
        <v/>
      </c>
      <c r="R130" s="9">
        <f>IF(A130="","",IF(B130&gt;0,P130-J130,0))</f>
        <v/>
      </c>
      <c r="S130" s="8">
        <f>IF(A130="","",B130*R130)</f>
        <v/>
      </c>
      <c r="T130" s="11">
        <f>IF(A130="","",IF(K130&gt;0,S130*K130,""))</f>
        <v/>
      </c>
      <c r="U130" s="11">
        <f>IF(A130="","",IFERROR(B130/Q130,0))</f>
        <v/>
      </c>
      <c r="V130" s="4">
        <f>IF(A130="","",IF(OR(S130&lt;=0,Q130&lt;=0),"Drop",IF(P130&gt;=0.6,"Profit product",IF(P130&gt;=0.5,"Traffic product","Thin - rework"))))</f>
        <v/>
      </c>
    </row>
    <row r="131">
      <c r="B131" s="7" t="n"/>
      <c r="C131" s="7" t="n"/>
      <c r="D131" s="7" t="n"/>
      <c r="E131" s="7" t="n"/>
      <c r="F131" s="10" t="n"/>
      <c r="G131" s="7" t="n"/>
      <c r="H131" s="10" t="n"/>
      <c r="I131" s="10" t="n"/>
      <c r="J131" s="10" t="n"/>
      <c r="K131" s="6" t="n"/>
      <c r="L131" s="8">
        <f>IF(A131="","",B131*F131+G131)</f>
        <v/>
      </c>
      <c r="M131" s="9">
        <f>IF(A131="","",IFERROR((C131+D131+E131)/B131,0))</f>
        <v/>
      </c>
      <c r="N131" s="9">
        <f>IF(A131="","",IFERROR(L131/B131,0)+H131)</f>
        <v/>
      </c>
      <c r="O131" s="9">
        <f>IF(A131="","",M131+N131)</f>
        <v/>
      </c>
      <c r="P131" s="9">
        <f>IF(A131="","",IF(B131&gt;0,1-O131-I131,0))</f>
        <v/>
      </c>
      <c r="Q131" s="8">
        <f>IF(A131="","",B131*P131)</f>
        <v/>
      </c>
      <c r="R131" s="9">
        <f>IF(A131="","",IF(B131&gt;0,P131-J131,0))</f>
        <v/>
      </c>
      <c r="S131" s="8">
        <f>IF(A131="","",B131*R131)</f>
        <v/>
      </c>
      <c r="T131" s="11">
        <f>IF(A131="","",IF(K131&gt;0,S131*K131,""))</f>
        <v/>
      </c>
      <c r="U131" s="11">
        <f>IF(A131="","",IFERROR(B131/Q131,0))</f>
        <v/>
      </c>
      <c r="V131" s="4">
        <f>IF(A131="","",IF(OR(S131&lt;=0,Q131&lt;=0),"Drop",IF(P131&gt;=0.6,"Profit product",IF(P131&gt;=0.5,"Traffic product","Thin - rework"))))</f>
        <v/>
      </c>
    </row>
    <row r="132">
      <c r="B132" s="7" t="n"/>
      <c r="C132" s="7" t="n"/>
      <c r="D132" s="7" t="n"/>
      <c r="E132" s="7" t="n"/>
      <c r="F132" s="10" t="n"/>
      <c r="G132" s="7" t="n"/>
      <c r="H132" s="10" t="n"/>
      <c r="I132" s="10" t="n"/>
      <c r="J132" s="10" t="n"/>
      <c r="K132" s="6" t="n"/>
      <c r="L132" s="8">
        <f>IF(A132="","",B132*F132+G132)</f>
        <v/>
      </c>
      <c r="M132" s="9">
        <f>IF(A132="","",IFERROR((C132+D132+E132)/B132,0))</f>
        <v/>
      </c>
      <c r="N132" s="9">
        <f>IF(A132="","",IFERROR(L132/B132,0)+H132)</f>
        <v/>
      </c>
      <c r="O132" s="9">
        <f>IF(A132="","",M132+N132)</f>
        <v/>
      </c>
      <c r="P132" s="9">
        <f>IF(A132="","",IF(B132&gt;0,1-O132-I132,0))</f>
        <v/>
      </c>
      <c r="Q132" s="8">
        <f>IF(A132="","",B132*P132)</f>
        <v/>
      </c>
      <c r="R132" s="9">
        <f>IF(A132="","",IF(B132&gt;0,P132-J132,0))</f>
        <v/>
      </c>
      <c r="S132" s="8">
        <f>IF(A132="","",B132*R132)</f>
        <v/>
      </c>
      <c r="T132" s="11">
        <f>IF(A132="","",IF(K132&gt;0,S132*K132,""))</f>
        <v/>
      </c>
      <c r="U132" s="11">
        <f>IF(A132="","",IFERROR(B132/Q132,0))</f>
        <v/>
      </c>
      <c r="V132" s="4">
        <f>IF(A132="","",IF(OR(S132&lt;=0,Q132&lt;=0),"Drop",IF(P132&gt;=0.6,"Profit product",IF(P132&gt;=0.5,"Traffic product","Thin - rework"))))</f>
        <v/>
      </c>
    </row>
    <row r="133">
      <c r="B133" s="7" t="n"/>
      <c r="C133" s="7" t="n"/>
      <c r="D133" s="7" t="n"/>
      <c r="E133" s="7" t="n"/>
      <c r="F133" s="10" t="n"/>
      <c r="G133" s="7" t="n"/>
      <c r="H133" s="10" t="n"/>
      <c r="I133" s="10" t="n"/>
      <c r="J133" s="10" t="n"/>
      <c r="K133" s="6" t="n"/>
      <c r="L133" s="8">
        <f>IF(A133="","",B133*F133+G133)</f>
        <v/>
      </c>
      <c r="M133" s="9">
        <f>IF(A133="","",IFERROR((C133+D133+E133)/B133,0))</f>
        <v/>
      </c>
      <c r="N133" s="9">
        <f>IF(A133="","",IFERROR(L133/B133,0)+H133)</f>
        <v/>
      </c>
      <c r="O133" s="9">
        <f>IF(A133="","",M133+N133)</f>
        <v/>
      </c>
      <c r="P133" s="9">
        <f>IF(A133="","",IF(B133&gt;0,1-O133-I133,0))</f>
        <v/>
      </c>
      <c r="Q133" s="8">
        <f>IF(A133="","",B133*P133)</f>
        <v/>
      </c>
      <c r="R133" s="9">
        <f>IF(A133="","",IF(B133&gt;0,P133-J133,0))</f>
        <v/>
      </c>
      <c r="S133" s="8">
        <f>IF(A133="","",B133*R133)</f>
        <v/>
      </c>
      <c r="T133" s="11">
        <f>IF(A133="","",IF(K133&gt;0,S133*K133,""))</f>
        <v/>
      </c>
      <c r="U133" s="11">
        <f>IF(A133="","",IFERROR(B133/Q133,0))</f>
        <v/>
      </c>
      <c r="V133" s="4">
        <f>IF(A133="","",IF(OR(S133&lt;=0,Q133&lt;=0),"Drop",IF(P133&gt;=0.6,"Profit product",IF(P133&gt;=0.5,"Traffic product","Thin - rework"))))</f>
        <v/>
      </c>
    </row>
    <row r="134">
      <c r="B134" s="7" t="n"/>
      <c r="C134" s="7" t="n"/>
      <c r="D134" s="7" t="n"/>
      <c r="E134" s="7" t="n"/>
      <c r="F134" s="10" t="n"/>
      <c r="G134" s="7" t="n"/>
      <c r="H134" s="10" t="n"/>
      <c r="I134" s="10" t="n"/>
      <c r="J134" s="10" t="n"/>
      <c r="K134" s="6" t="n"/>
      <c r="L134" s="8">
        <f>IF(A134="","",B134*F134+G134)</f>
        <v/>
      </c>
      <c r="M134" s="9">
        <f>IF(A134="","",IFERROR((C134+D134+E134)/B134,0))</f>
        <v/>
      </c>
      <c r="N134" s="9">
        <f>IF(A134="","",IFERROR(L134/B134,0)+H134)</f>
        <v/>
      </c>
      <c r="O134" s="9">
        <f>IF(A134="","",M134+N134)</f>
        <v/>
      </c>
      <c r="P134" s="9">
        <f>IF(A134="","",IF(B134&gt;0,1-O134-I134,0))</f>
        <v/>
      </c>
      <c r="Q134" s="8">
        <f>IF(A134="","",B134*P134)</f>
        <v/>
      </c>
      <c r="R134" s="9">
        <f>IF(A134="","",IF(B134&gt;0,P134-J134,0))</f>
        <v/>
      </c>
      <c r="S134" s="8">
        <f>IF(A134="","",B134*R134)</f>
        <v/>
      </c>
      <c r="T134" s="11">
        <f>IF(A134="","",IF(K134&gt;0,S134*K134,""))</f>
        <v/>
      </c>
      <c r="U134" s="11">
        <f>IF(A134="","",IFERROR(B134/Q134,0))</f>
        <v/>
      </c>
      <c r="V134" s="4">
        <f>IF(A134="","",IF(OR(S134&lt;=0,Q134&lt;=0),"Drop",IF(P134&gt;=0.6,"Profit product",IF(P134&gt;=0.5,"Traffic product","Thin - rework"))))</f>
        <v/>
      </c>
    </row>
    <row r="135">
      <c r="B135" s="7" t="n"/>
      <c r="C135" s="7" t="n"/>
      <c r="D135" s="7" t="n"/>
      <c r="E135" s="7" t="n"/>
      <c r="F135" s="10" t="n"/>
      <c r="G135" s="7" t="n"/>
      <c r="H135" s="10" t="n"/>
      <c r="I135" s="10" t="n"/>
      <c r="J135" s="10" t="n"/>
      <c r="K135" s="6" t="n"/>
      <c r="L135" s="8">
        <f>IF(A135="","",B135*F135+G135)</f>
        <v/>
      </c>
      <c r="M135" s="9">
        <f>IF(A135="","",IFERROR((C135+D135+E135)/B135,0))</f>
        <v/>
      </c>
      <c r="N135" s="9">
        <f>IF(A135="","",IFERROR(L135/B135,0)+H135)</f>
        <v/>
      </c>
      <c r="O135" s="9">
        <f>IF(A135="","",M135+N135)</f>
        <v/>
      </c>
      <c r="P135" s="9">
        <f>IF(A135="","",IF(B135&gt;0,1-O135-I135,0))</f>
        <v/>
      </c>
      <c r="Q135" s="8">
        <f>IF(A135="","",B135*P135)</f>
        <v/>
      </c>
      <c r="R135" s="9">
        <f>IF(A135="","",IF(B135&gt;0,P135-J135,0))</f>
        <v/>
      </c>
      <c r="S135" s="8">
        <f>IF(A135="","",B135*R135)</f>
        <v/>
      </c>
      <c r="T135" s="11">
        <f>IF(A135="","",IF(K135&gt;0,S135*K135,""))</f>
        <v/>
      </c>
      <c r="U135" s="11">
        <f>IF(A135="","",IFERROR(B135/Q135,0))</f>
        <v/>
      </c>
      <c r="V135" s="4">
        <f>IF(A135="","",IF(OR(S135&lt;=0,Q135&lt;=0),"Drop",IF(P135&gt;=0.6,"Profit product",IF(P135&gt;=0.5,"Traffic product","Thin - rework"))))</f>
        <v/>
      </c>
    </row>
    <row r="136">
      <c r="B136" s="7" t="n"/>
      <c r="C136" s="7" t="n"/>
      <c r="D136" s="7" t="n"/>
      <c r="E136" s="7" t="n"/>
      <c r="F136" s="10" t="n"/>
      <c r="G136" s="7" t="n"/>
      <c r="H136" s="10" t="n"/>
      <c r="I136" s="10" t="n"/>
      <c r="J136" s="10" t="n"/>
      <c r="K136" s="6" t="n"/>
      <c r="L136" s="8">
        <f>IF(A136="","",B136*F136+G136)</f>
        <v/>
      </c>
      <c r="M136" s="9">
        <f>IF(A136="","",IFERROR((C136+D136+E136)/B136,0))</f>
        <v/>
      </c>
      <c r="N136" s="9">
        <f>IF(A136="","",IFERROR(L136/B136,0)+H136)</f>
        <v/>
      </c>
      <c r="O136" s="9">
        <f>IF(A136="","",M136+N136)</f>
        <v/>
      </c>
      <c r="P136" s="9">
        <f>IF(A136="","",IF(B136&gt;0,1-O136-I136,0))</f>
        <v/>
      </c>
      <c r="Q136" s="8">
        <f>IF(A136="","",B136*P136)</f>
        <v/>
      </c>
      <c r="R136" s="9">
        <f>IF(A136="","",IF(B136&gt;0,P136-J136,0))</f>
        <v/>
      </c>
      <c r="S136" s="8">
        <f>IF(A136="","",B136*R136)</f>
        <v/>
      </c>
      <c r="T136" s="11">
        <f>IF(A136="","",IF(K136&gt;0,S136*K136,""))</f>
        <v/>
      </c>
      <c r="U136" s="11">
        <f>IF(A136="","",IFERROR(B136/Q136,0))</f>
        <v/>
      </c>
      <c r="V136" s="4">
        <f>IF(A136="","",IF(OR(S136&lt;=0,Q136&lt;=0),"Drop",IF(P136&gt;=0.6,"Profit product",IF(P136&gt;=0.5,"Traffic product","Thin - rework"))))</f>
        <v/>
      </c>
    </row>
    <row r="137">
      <c r="B137" s="7" t="n"/>
      <c r="C137" s="7" t="n"/>
      <c r="D137" s="7" t="n"/>
      <c r="E137" s="7" t="n"/>
      <c r="F137" s="10" t="n"/>
      <c r="G137" s="7" t="n"/>
      <c r="H137" s="10" t="n"/>
      <c r="I137" s="10" t="n"/>
      <c r="J137" s="10" t="n"/>
      <c r="K137" s="6" t="n"/>
      <c r="L137" s="8">
        <f>IF(A137="","",B137*F137+G137)</f>
        <v/>
      </c>
      <c r="M137" s="9">
        <f>IF(A137="","",IFERROR((C137+D137+E137)/B137,0))</f>
        <v/>
      </c>
      <c r="N137" s="9">
        <f>IF(A137="","",IFERROR(L137/B137,0)+H137)</f>
        <v/>
      </c>
      <c r="O137" s="9">
        <f>IF(A137="","",M137+N137)</f>
        <v/>
      </c>
      <c r="P137" s="9">
        <f>IF(A137="","",IF(B137&gt;0,1-O137-I137,0))</f>
        <v/>
      </c>
      <c r="Q137" s="8">
        <f>IF(A137="","",B137*P137)</f>
        <v/>
      </c>
      <c r="R137" s="9">
        <f>IF(A137="","",IF(B137&gt;0,P137-J137,0))</f>
        <v/>
      </c>
      <c r="S137" s="8">
        <f>IF(A137="","",B137*R137)</f>
        <v/>
      </c>
      <c r="T137" s="11">
        <f>IF(A137="","",IF(K137&gt;0,S137*K137,""))</f>
        <v/>
      </c>
      <c r="U137" s="11">
        <f>IF(A137="","",IFERROR(B137/Q137,0))</f>
        <v/>
      </c>
      <c r="V137" s="4">
        <f>IF(A137="","",IF(OR(S137&lt;=0,Q137&lt;=0),"Drop",IF(P137&gt;=0.6,"Profit product",IF(P137&gt;=0.5,"Traffic product","Thin - rework"))))</f>
        <v/>
      </c>
    </row>
    <row r="138">
      <c r="B138" s="7" t="n"/>
      <c r="C138" s="7" t="n"/>
      <c r="D138" s="7" t="n"/>
      <c r="E138" s="7" t="n"/>
      <c r="F138" s="10" t="n"/>
      <c r="G138" s="7" t="n"/>
      <c r="H138" s="10" t="n"/>
      <c r="I138" s="10" t="n"/>
      <c r="J138" s="10" t="n"/>
      <c r="K138" s="6" t="n"/>
      <c r="L138" s="8">
        <f>IF(A138="","",B138*F138+G138)</f>
        <v/>
      </c>
      <c r="M138" s="9">
        <f>IF(A138="","",IFERROR((C138+D138+E138)/B138,0))</f>
        <v/>
      </c>
      <c r="N138" s="9">
        <f>IF(A138="","",IFERROR(L138/B138,0)+H138)</f>
        <v/>
      </c>
      <c r="O138" s="9">
        <f>IF(A138="","",M138+N138)</f>
        <v/>
      </c>
      <c r="P138" s="9">
        <f>IF(A138="","",IF(B138&gt;0,1-O138-I138,0))</f>
        <v/>
      </c>
      <c r="Q138" s="8">
        <f>IF(A138="","",B138*P138)</f>
        <v/>
      </c>
      <c r="R138" s="9">
        <f>IF(A138="","",IF(B138&gt;0,P138-J138,0))</f>
        <v/>
      </c>
      <c r="S138" s="8">
        <f>IF(A138="","",B138*R138)</f>
        <v/>
      </c>
      <c r="T138" s="11">
        <f>IF(A138="","",IF(K138&gt;0,S138*K138,""))</f>
        <v/>
      </c>
      <c r="U138" s="11">
        <f>IF(A138="","",IFERROR(B138/Q138,0))</f>
        <v/>
      </c>
      <c r="V138" s="4">
        <f>IF(A138="","",IF(OR(S138&lt;=0,Q138&lt;=0),"Drop",IF(P138&gt;=0.6,"Profit product",IF(P138&gt;=0.5,"Traffic product","Thin - rework"))))</f>
        <v/>
      </c>
    </row>
    <row r="139">
      <c r="B139" s="7" t="n"/>
      <c r="C139" s="7" t="n"/>
      <c r="D139" s="7" t="n"/>
      <c r="E139" s="7" t="n"/>
      <c r="F139" s="10" t="n"/>
      <c r="G139" s="7" t="n"/>
      <c r="H139" s="10" t="n"/>
      <c r="I139" s="10" t="n"/>
      <c r="J139" s="10" t="n"/>
      <c r="K139" s="6" t="n"/>
      <c r="L139" s="8">
        <f>IF(A139="","",B139*F139+G139)</f>
        <v/>
      </c>
      <c r="M139" s="9">
        <f>IF(A139="","",IFERROR((C139+D139+E139)/B139,0))</f>
        <v/>
      </c>
      <c r="N139" s="9">
        <f>IF(A139="","",IFERROR(L139/B139,0)+H139)</f>
        <v/>
      </c>
      <c r="O139" s="9">
        <f>IF(A139="","",M139+N139)</f>
        <v/>
      </c>
      <c r="P139" s="9">
        <f>IF(A139="","",IF(B139&gt;0,1-O139-I139,0))</f>
        <v/>
      </c>
      <c r="Q139" s="8">
        <f>IF(A139="","",B139*P139)</f>
        <v/>
      </c>
      <c r="R139" s="9">
        <f>IF(A139="","",IF(B139&gt;0,P139-J139,0))</f>
        <v/>
      </c>
      <c r="S139" s="8">
        <f>IF(A139="","",B139*R139)</f>
        <v/>
      </c>
      <c r="T139" s="11">
        <f>IF(A139="","",IF(K139&gt;0,S139*K139,""))</f>
        <v/>
      </c>
      <c r="U139" s="11">
        <f>IF(A139="","",IFERROR(B139/Q139,0))</f>
        <v/>
      </c>
      <c r="V139" s="4">
        <f>IF(A139="","",IF(OR(S139&lt;=0,Q139&lt;=0),"Drop",IF(P139&gt;=0.6,"Profit product",IF(P139&gt;=0.5,"Traffic product","Thin - rework"))))</f>
        <v/>
      </c>
    </row>
    <row r="140">
      <c r="B140" s="7" t="n"/>
      <c r="C140" s="7" t="n"/>
      <c r="D140" s="7" t="n"/>
      <c r="E140" s="7" t="n"/>
      <c r="F140" s="10" t="n"/>
      <c r="G140" s="7" t="n"/>
      <c r="H140" s="10" t="n"/>
      <c r="I140" s="10" t="n"/>
      <c r="J140" s="10" t="n"/>
      <c r="K140" s="6" t="n"/>
      <c r="L140" s="8">
        <f>IF(A140="","",B140*F140+G140)</f>
        <v/>
      </c>
      <c r="M140" s="9">
        <f>IF(A140="","",IFERROR((C140+D140+E140)/B140,0))</f>
        <v/>
      </c>
      <c r="N140" s="9">
        <f>IF(A140="","",IFERROR(L140/B140,0)+H140)</f>
        <v/>
      </c>
      <c r="O140" s="9">
        <f>IF(A140="","",M140+N140)</f>
        <v/>
      </c>
      <c r="P140" s="9">
        <f>IF(A140="","",IF(B140&gt;0,1-O140-I140,0))</f>
        <v/>
      </c>
      <c r="Q140" s="8">
        <f>IF(A140="","",B140*P140)</f>
        <v/>
      </c>
      <c r="R140" s="9">
        <f>IF(A140="","",IF(B140&gt;0,P140-J140,0))</f>
        <v/>
      </c>
      <c r="S140" s="8">
        <f>IF(A140="","",B140*R140)</f>
        <v/>
      </c>
      <c r="T140" s="11">
        <f>IF(A140="","",IF(K140&gt;0,S140*K140,""))</f>
        <v/>
      </c>
      <c r="U140" s="11">
        <f>IF(A140="","",IFERROR(B140/Q140,0))</f>
        <v/>
      </c>
      <c r="V140" s="4">
        <f>IF(A140="","",IF(OR(S140&lt;=0,Q140&lt;=0),"Drop",IF(P140&gt;=0.6,"Profit product",IF(P140&gt;=0.5,"Traffic product","Thin - rework"))))</f>
        <v/>
      </c>
    </row>
    <row r="141">
      <c r="B141" s="7" t="n"/>
      <c r="C141" s="7" t="n"/>
      <c r="D141" s="7" t="n"/>
      <c r="E141" s="7" t="n"/>
      <c r="F141" s="10" t="n"/>
      <c r="G141" s="7" t="n"/>
      <c r="H141" s="10" t="n"/>
      <c r="I141" s="10" t="n"/>
      <c r="J141" s="10" t="n"/>
      <c r="K141" s="6" t="n"/>
      <c r="L141" s="8">
        <f>IF(A141="","",B141*F141+G141)</f>
        <v/>
      </c>
      <c r="M141" s="9">
        <f>IF(A141="","",IFERROR((C141+D141+E141)/B141,0))</f>
        <v/>
      </c>
      <c r="N141" s="9">
        <f>IF(A141="","",IFERROR(L141/B141,0)+H141)</f>
        <v/>
      </c>
      <c r="O141" s="9">
        <f>IF(A141="","",M141+N141)</f>
        <v/>
      </c>
      <c r="P141" s="9">
        <f>IF(A141="","",IF(B141&gt;0,1-O141-I141,0))</f>
        <v/>
      </c>
      <c r="Q141" s="8">
        <f>IF(A141="","",B141*P141)</f>
        <v/>
      </c>
      <c r="R141" s="9">
        <f>IF(A141="","",IF(B141&gt;0,P141-J141,0))</f>
        <v/>
      </c>
      <c r="S141" s="8">
        <f>IF(A141="","",B141*R141)</f>
        <v/>
      </c>
      <c r="T141" s="11">
        <f>IF(A141="","",IF(K141&gt;0,S141*K141,""))</f>
        <v/>
      </c>
      <c r="U141" s="11">
        <f>IF(A141="","",IFERROR(B141/Q141,0))</f>
        <v/>
      </c>
      <c r="V141" s="4">
        <f>IF(A141="","",IF(OR(S141&lt;=0,Q141&lt;=0),"Drop",IF(P141&gt;=0.6,"Profit product",IF(P141&gt;=0.5,"Traffic product","Thin - rework"))))</f>
        <v/>
      </c>
    </row>
    <row r="142">
      <c r="B142" s="7" t="n"/>
      <c r="C142" s="7" t="n"/>
      <c r="D142" s="7" t="n"/>
      <c r="E142" s="7" t="n"/>
      <c r="F142" s="10" t="n"/>
      <c r="G142" s="7" t="n"/>
      <c r="H142" s="10" t="n"/>
      <c r="I142" s="10" t="n"/>
      <c r="J142" s="10" t="n"/>
      <c r="K142" s="6" t="n"/>
      <c r="L142" s="8">
        <f>IF(A142="","",B142*F142+G142)</f>
        <v/>
      </c>
      <c r="M142" s="9">
        <f>IF(A142="","",IFERROR((C142+D142+E142)/B142,0))</f>
        <v/>
      </c>
      <c r="N142" s="9">
        <f>IF(A142="","",IFERROR(L142/B142,0)+H142)</f>
        <v/>
      </c>
      <c r="O142" s="9">
        <f>IF(A142="","",M142+N142)</f>
        <v/>
      </c>
      <c r="P142" s="9">
        <f>IF(A142="","",IF(B142&gt;0,1-O142-I142,0))</f>
        <v/>
      </c>
      <c r="Q142" s="8">
        <f>IF(A142="","",B142*P142)</f>
        <v/>
      </c>
      <c r="R142" s="9">
        <f>IF(A142="","",IF(B142&gt;0,P142-J142,0))</f>
        <v/>
      </c>
      <c r="S142" s="8">
        <f>IF(A142="","",B142*R142)</f>
        <v/>
      </c>
      <c r="T142" s="11">
        <f>IF(A142="","",IF(K142&gt;0,S142*K142,""))</f>
        <v/>
      </c>
      <c r="U142" s="11">
        <f>IF(A142="","",IFERROR(B142/Q142,0))</f>
        <v/>
      </c>
      <c r="V142" s="4">
        <f>IF(A142="","",IF(OR(S142&lt;=0,Q142&lt;=0),"Drop",IF(P142&gt;=0.6,"Profit product",IF(P142&gt;=0.5,"Traffic product","Thin - rework"))))</f>
        <v/>
      </c>
    </row>
    <row r="143">
      <c r="B143" s="7" t="n"/>
      <c r="C143" s="7" t="n"/>
      <c r="D143" s="7" t="n"/>
      <c r="E143" s="7" t="n"/>
      <c r="F143" s="10" t="n"/>
      <c r="G143" s="7" t="n"/>
      <c r="H143" s="10" t="n"/>
      <c r="I143" s="10" t="n"/>
      <c r="J143" s="10" t="n"/>
      <c r="K143" s="6" t="n"/>
      <c r="L143" s="8">
        <f>IF(A143="","",B143*F143+G143)</f>
        <v/>
      </c>
      <c r="M143" s="9">
        <f>IF(A143="","",IFERROR((C143+D143+E143)/B143,0))</f>
        <v/>
      </c>
      <c r="N143" s="9">
        <f>IF(A143="","",IFERROR(L143/B143,0)+H143)</f>
        <v/>
      </c>
      <c r="O143" s="9">
        <f>IF(A143="","",M143+N143)</f>
        <v/>
      </c>
      <c r="P143" s="9">
        <f>IF(A143="","",IF(B143&gt;0,1-O143-I143,0))</f>
        <v/>
      </c>
      <c r="Q143" s="8">
        <f>IF(A143="","",B143*P143)</f>
        <v/>
      </c>
      <c r="R143" s="9">
        <f>IF(A143="","",IF(B143&gt;0,P143-J143,0))</f>
        <v/>
      </c>
      <c r="S143" s="8">
        <f>IF(A143="","",B143*R143)</f>
        <v/>
      </c>
      <c r="T143" s="11">
        <f>IF(A143="","",IF(K143&gt;0,S143*K143,""))</f>
        <v/>
      </c>
      <c r="U143" s="11">
        <f>IF(A143="","",IFERROR(B143/Q143,0))</f>
        <v/>
      </c>
      <c r="V143" s="4">
        <f>IF(A143="","",IF(OR(S143&lt;=0,Q143&lt;=0),"Drop",IF(P143&gt;=0.6,"Profit product",IF(P143&gt;=0.5,"Traffic product","Thin - rework"))))</f>
        <v/>
      </c>
    </row>
    <row r="144">
      <c r="B144" s="7" t="n"/>
      <c r="C144" s="7" t="n"/>
      <c r="D144" s="7" t="n"/>
      <c r="E144" s="7" t="n"/>
      <c r="F144" s="10" t="n"/>
      <c r="G144" s="7" t="n"/>
      <c r="H144" s="10" t="n"/>
      <c r="I144" s="10" t="n"/>
      <c r="J144" s="10" t="n"/>
      <c r="K144" s="6" t="n"/>
      <c r="L144" s="8">
        <f>IF(A144="","",B144*F144+G144)</f>
        <v/>
      </c>
      <c r="M144" s="9">
        <f>IF(A144="","",IFERROR((C144+D144+E144)/B144,0))</f>
        <v/>
      </c>
      <c r="N144" s="9">
        <f>IF(A144="","",IFERROR(L144/B144,0)+H144)</f>
        <v/>
      </c>
      <c r="O144" s="9">
        <f>IF(A144="","",M144+N144)</f>
        <v/>
      </c>
      <c r="P144" s="9">
        <f>IF(A144="","",IF(B144&gt;0,1-O144-I144,0))</f>
        <v/>
      </c>
      <c r="Q144" s="8">
        <f>IF(A144="","",B144*P144)</f>
        <v/>
      </c>
      <c r="R144" s="9">
        <f>IF(A144="","",IF(B144&gt;0,P144-J144,0))</f>
        <v/>
      </c>
      <c r="S144" s="8">
        <f>IF(A144="","",B144*R144)</f>
        <v/>
      </c>
      <c r="T144" s="11">
        <f>IF(A144="","",IF(K144&gt;0,S144*K144,""))</f>
        <v/>
      </c>
      <c r="U144" s="11">
        <f>IF(A144="","",IFERROR(B144/Q144,0))</f>
        <v/>
      </c>
      <c r="V144" s="4">
        <f>IF(A144="","",IF(OR(S144&lt;=0,Q144&lt;=0),"Drop",IF(P144&gt;=0.6,"Profit product",IF(P144&gt;=0.5,"Traffic product","Thin - rework"))))</f>
        <v/>
      </c>
    </row>
    <row r="145">
      <c r="B145" s="7" t="n"/>
      <c r="C145" s="7" t="n"/>
      <c r="D145" s="7" t="n"/>
      <c r="E145" s="7" t="n"/>
      <c r="F145" s="10" t="n"/>
      <c r="G145" s="7" t="n"/>
      <c r="H145" s="10" t="n"/>
      <c r="I145" s="10" t="n"/>
      <c r="J145" s="10" t="n"/>
      <c r="K145" s="6" t="n"/>
      <c r="L145" s="8">
        <f>IF(A145="","",B145*F145+G145)</f>
        <v/>
      </c>
      <c r="M145" s="9">
        <f>IF(A145="","",IFERROR((C145+D145+E145)/B145,0))</f>
        <v/>
      </c>
      <c r="N145" s="9">
        <f>IF(A145="","",IFERROR(L145/B145,0)+H145)</f>
        <v/>
      </c>
      <c r="O145" s="9">
        <f>IF(A145="","",M145+N145)</f>
        <v/>
      </c>
      <c r="P145" s="9">
        <f>IF(A145="","",IF(B145&gt;0,1-O145-I145,0))</f>
        <v/>
      </c>
      <c r="Q145" s="8">
        <f>IF(A145="","",B145*P145)</f>
        <v/>
      </c>
      <c r="R145" s="9">
        <f>IF(A145="","",IF(B145&gt;0,P145-J145,0))</f>
        <v/>
      </c>
      <c r="S145" s="8">
        <f>IF(A145="","",B145*R145)</f>
        <v/>
      </c>
      <c r="T145" s="11">
        <f>IF(A145="","",IF(K145&gt;0,S145*K145,""))</f>
        <v/>
      </c>
      <c r="U145" s="11">
        <f>IF(A145="","",IFERROR(B145/Q145,0))</f>
        <v/>
      </c>
      <c r="V145" s="4">
        <f>IF(A145="","",IF(OR(S145&lt;=0,Q145&lt;=0),"Drop",IF(P145&gt;=0.6,"Profit product",IF(P145&gt;=0.5,"Traffic product","Thin - rework"))))</f>
        <v/>
      </c>
    </row>
    <row r="146">
      <c r="B146" s="7" t="n"/>
      <c r="C146" s="7" t="n"/>
      <c r="D146" s="7" t="n"/>
      <c r="E146" s="7" t="n"/>
      <c r="F146" s="10" t="n"/>
      <c r="G146" s="7" t="n"/>
      <c r="H146" s="10" t="n"/>
      <c r="I146" s="10" t="n"/>
      <c r="J146" s="10" t="n"/>
      <c r="K146" s="6" t="n"/>
      <c r="L146" s="8">
        <f>IF(A146="","",B146*F146+G146)</f>
        <v/>
      </c>
      <c r="M146" s="9">
        <f>IF(A146="","",IFERROR((C146+D146+E146)/B146,0))</f>
        <v/>
      </c>
      <c r="N146" s="9">
        <f>IF(A146="","",IFERROR(L146/B146,0)+H146)</f>
        <v/>
      </c>
      <c r="O146" s="9">
        <f>IF(A146="","",M146+N146)</f>
        <v/>
      </c>
      <c r="P146" s="9">
        <f>IF(A146="","",IF(B146&gt;0,1-O146-I146,0))</f>
        <v/>
      </c>
      <c r="Q146" s="8">
        <f>IF(A146="","",B146*P146)</f>
        <v/>
      </c>
      <c r="R146" s="9">
        <f>IF(A146="","",IF(B146&gt;0,P146-J146,0))</f>
        <v/>
      </c>
      <c r="S146" s="8">
        <f>IF(A146="","",B146*R146)</f>
        <v/>
      </c>
      <c r="T146" s="11">
        <f>IF(A146="","",IF(K146&gt;0,S146*K146,""))</f>
        <v/>
      </c>
      <c r="U146" s="11">
        <f>IF(A146="","",IFERROR(B146/Q146,0))</f>
        <v/>
      </c>
      <c r="V146" s="4">
        <f>IF(A146="","",IF(OR(S146&lt;=0,Q146&lt;=0),"Drop",IF(P146&gt;=0.6,"Profit product",IF(P146&gt;=0.5,"Traffic product","Thin - rework"))))</f>
        <v/>
      </c>
    </row>
    <row r="147">
      <c r="B147" s="7" t="n"/>
      <c r="C147" s="7" t="n"/>
      <c r="D147" s="7" t="n"/>
      <c r="E147" s="7" t="n"/>
      <c r="F147" s="10" t="n"/>
      <c r="G147" s="7" t="n"/>
      <c r="H147" s="10" t="n"/>
      <c r="I147" s="10" t="n"/>
      <c r="J147" s="10" t="n"/>
      <c r="K147" s="6" t="n"/>
      <c r="L147" s="8">
        <f>IF(A147="","",B147*F147+G147)</f>
        <v/>
      </c>
      <c r="M147" s="9">
        <f>IF(A147="","",IFERROR((C147+D147+E147)/B147,0))</f>
        <v/>
      </c>
      <c r="N147" s="9">
        <f>IF(A147="","",IFERROR(L147/B147,0)+H147)</f>
        <v/>
      </c>
      <c r="O147" s="9">
        <f>IF(A147="","",M147+N147)</f>
        <v/>
      </c>
      <c r="P147" s="9">
        <f>IF(A147="","",IF(B147&gt;0,1-O147-I147,0))</f>
        <v/>
      </c>
      <c r="Q147" s="8">
        <f>IF(A147="","",B147*P147)</f>
        <v/>
      </c>
      <c r="R147" s="9">
        <f>IF(A147="","",IF(B147&gt;0,P147-J147,0))</f>
        <v/>
      </c>
      <c r="S147" s="8">
        <f>IF(A147="","",B147*R147)</f>
        <v/>
      </c>
      <c r="T147" s="11">
        <f>IF(A147="","",IF(K147&gt;0,S147*K147,""))</f>
        <v/>
      </c>
      <c r="U147" s="11">
        <f>IF(A147="","",IFERROR(B147/Q147,0))</f>
        <v/>
      </c>
      <c r="V147" s="4">
        <f>IF(A147="","",IF(OR(S147&lt;=0,Q147&lt;=0),"Drop",IF(P147&gt;=0.6,"Profit product",IF(P147&gt;=0.5,"Traffic product","Thin - rework"))))</f>
        <v/>
      </c>
    </row>
    <row r="148">
      <c r="B148" s="7" t="n"/>
      <c r="C148" s="7" t="n"/>
      <c r="D148" s="7" t="n"/>
      <c r="E148" s="7" t="n"/>
      <c r="F148" s="10" t="n"/>
      <c r="G148" s="7" t="n"/>
      <c r="H148" s="10" t="n"/>
      <c r="I148" s="10" t="n"/>
      <c r="J148" s="10" t="n"/>
      <c r="K148" s="6" t="n"/>
      <c r="L148" s="8">
        <f>IF(A148="","",B148*F148+G148)</f>
        <v/>
      </c>
      <c r="M148" s="9">
        <f>IF(A148="","",IFERROR((C148+D148+E148)/B148,0))</f>
        <v/>
      </c>
      <c r="N148" s="9">
        <f>IF(A148="","",IFERROR(L148/B148,0)+H148)</f>
        <v/>
      </c>
      <c r="O148" s="9">
        <f>IF(A148="","",M148+N148)</f>
        <v/>
      </c>
      <c r="P148" s="9">
        <f>IF(A148="","",IF(B148&gt;0,1-O148-I148,0))</f>
        <v/>
      </c>
      <c r="Q148" s="8">
        <f>IF(A148="","",B148*P148)</f>
        <v/>
      </c>
      <c r="R148" s="9">
        <f>IF(A148="","",IF(B148&gt;0,P148-J148,0))</f>
        <v/>
      </c>
      <c r="S148" s="8">
        <f>IF(A148="","",B148*R148)</f>
        <v/>
      </c>
      <c r="T148" s="11">
        <f>IF(A148="","",IF(K148&gt;0,S148*K148,""))</f>
        <v/>
      </c>
      <c r="U148" s="11">
        <f>IF(A148="","",IFERROR(B148/Q148,0))</f>
        <v/>
      </c>
      <c r="V148" s="4">
        <f>IF(A148="","",IF(OR(S148&lt;=0,Q148&lt;=0),"Drop",IF(P148&gt;=0.6,"Profit product",IF(P148&gt;=0.5,"Traffic product","Thin - rework"))))</f>
        <v/>
      </c>
    </row>
    <row r="149">
      <c r="B149" s="7" t="n"/>
      <c r="C149" s="7" t="n"/>
      <c r="D149" s="7" t="n"/>
      <c r="E149" s="7" t="n"/>
      <c r="F149" s="10" t="n"/>
      <c r="G149" s="7" t="n"/>
      <c r="H149" s="10" t="n"/>
      <c r="I149" s="10" t="n"/>
      <c r="J149" s="10" t="n"/>
      <c r="K149" s="6" t="n"/>
      <c r="L149" s="8">
        <f>IF(A149="","",B149*F149+G149)</f>
        <v/>
      </c>
      <c r="M149" s="9">
        <f>IF(A149="","",IFERROR((C149+D149+E149)/B149,0))</f>
        <v/>
      </c>
      <c r="N149" s="9">
        <f>IF(A149="","",IFERROR(L149/B149,0)+H149)</f>
        <v/>
      </c>
      <c r="O149" s="9">
        <f>IF(A149="","",M149+N149)</f>
        <v/>
      </c>
      <c r="P149" s="9">
        <f>IF(A149="","",IF(B149&gt;0,1-O149-I149,0))</f>
        <v/>
      </c>
      <c r="Q149" s="8">
        <f>IF(A149="","",B149*P149)</f>
        <v/>
      </c>
      <c r="R149" s="9">
        <f>IF(A149="","",IF(B149&gt;0,P149-J149,0))</f>
        <v/>
      </c>
      <c r="S149" s="8">
        <f>IF(A149="","",B149*R149)</f>
        <v/>
      </c>
      <c r="T149" s="11">
        <f>IF(A149="","",IF(K149&gt;0,S149*K149,""))</f>
        <v/>
      </c>
      <c r="U149" s="11">
        <f>IF(A149="","",IFERROR(B149/Q149,0))</f>
        <v/>
      </c>
      <c r="V149" s="4">
        <f>IF(A149="","",IF(OR(S149&lt;=0,Q149&lt;=0),"Drop",IF(P149&gt;=0.6,"Profit product",IF(P149&gt;=0.5,"Traffic product","Thin - rework"))))</f>
        <v/>
      </c>
    </row>
    <row r="150">
      <c r="B150" s="7" t="n"/>
      <c r="C150" s="7" t="n"/>
      <c r="D150" s="7" t="n"/>
      <c r="E150" s="7" t="n"/>
      <c r="F150" s="10" t="n"/>
      <c r="G150" s="7" t="n"/>
      <c r="H150" s="10" t="n"/>
      <c r="I150" s="10" t="n"/>
      <c r="J150" s="10" t="n"/>
      <c r="K150" s="6" t="n"/>
      <c r="L150" s="8">
        <f>IF(A150="","",B150*F150+G150)</f>
        <v/>
      </c>
      <c r="M150" s="9">
        <f>IF(A150="","",IFERROR((C150+D150+E150)/B150,0))</f>
        <v/>
      </c>
      <c r="N150" s="9">
        <f>IF(A150="","",IFERROR(L150/B150,0)+H150)</f>
        <v/>
      </c>
      <c r="O150" s="9">
        <f>IF(A150="","",M150+N150)</f>
        <v/>
      </c>
      <c r="P150" s="9">
        <f>IF(A150="","",IF(B150&gt;0,1-O150-I150,0))</f>
        <v/>
      </c>
      <c r="Q150" s="8">
        <f>IF(A150="","",B150*P150)</f>
        <v/>
      </c>
      <c r="R150" s="9">
        <f>IF(A150="","",IF(B150&gt;0,P150-J150,0))</f>
        <v/>
      </c>
      <c r="S150" s="8">
        <f>IF(A150="","",B150*R150)</f>
        <v/>
      </c>
      <c r="T150" s="11">
        <f>IF(A150="","",IF(K150&gt;0,S150*K150,""))</f>
        <v/>
      </c>
      <c r="U150" s="11">
        <f>IF(A150="","",IFERROR(B150/Q150,0))</f>
        <v/>
      </c>
      <c r="V150" s="4">
        <f>IF(A150="","",IF(OR(S150&lt;=0,Q150&lt;=0),"Drop",IF(P150&gt;=0.6,"Profit product",IF(P150&gt;=0.5,"Traffic product","Thin - rework"))))</f>
        <v/>
      </c>
    </row>
    <row r="151">
      <c r="B151" s="7" t="n"/>
      <c r="C151" s="7" t="n"/>
      <c r="D151" s="7" t="n"/>
      <c r="E151" s="7" t="n"/>
      <c r="F151" s="10" t="n"/>
      <c r="G151" s="7" t="n"/>
      <c r="H151" s="10" t="n"/>
      <c r="I151" s="10" t="n"/>
      <c r="J151" s="10" t="n"/>
      <c r="K151" s="6" t="n"/>
      <c r="L151" s="8">
        <f>IF(A151="","",B151*F151+G151)</f>
        <v/>
      </c>
      <c r="M151" s="9">
        <f>IF(A151="","",IFERROR((C151+D151+E151)/B151,0))</f>
        <v/>
      </c>
      <c r="N151" s="9">
        <f>IF(A151="","",IFERROR(L151/B151,0)+H151)</f>
        <v/>
      </c>
      <c r="O151" s="9">
        <f>IF(A151="","",M151+N151)</f>
        <v/>
      </c>
      <c r="P151" s="9">
        <f>IF(A151="","",IF(B151&gt;0,1-O151-I151,0))</f>
        <v/>
      </c>
      <c r="Q151" s="8">
        <f>IF(A151="","",B151*P151)</f>
        <v/>
      </c>
      <c r="R151" s="9">
        <f>IF(A151="","",IF(B151&gt;0,P151-J151,0))</f>
        <v/>
      </c>
      <c r="S151" s="8">
        <f>IF(A151="","",B151*R151)</f>
        <v/>
      </c>
      <c r="T151" s="11">
        <f>IF(A151="","",IF(K151&gt;0,S151*K151,""))</f>
        <v/>
      </c>
      <c r="U151" s="11">
        <f>IF(A151="","",IFERROR(B151/Q151,0))</f>
        <v/>
      </c>
      <c r="V151" s="4">
        <f>IF(A151="","",IF(OR(S151&lt;=0,Q151&lt;=0),"Drop",IF(P151&gt;=0.6,"Profit product",IF(P151&gt;=0.5,"Traffic product","Thin - rework"))))</f>
        <v/>
      </c>
    </row>
    <row r="152">
      <c r="B152" s="7" t="n"/>
      <c r="C152" s="7" t="n"/>
      <c r="D152" s="7" t="n"/>
      <c r="E152" s="7" t="n"/>
      <c r="F152" s="10" t="n"/>
      <c r="G152" s="7" t="n"/>
      <c r="H152" s="10" t="n"/>
      <c r="I152" s="10" t="n"/>
      <c r="J152" s="10" t="n"/>
      <c r="K152" s="6" t="n"/>
      <c r="L152" s="8">
        <f>IF(A152="","",B152*F152+G152)</f>
        <v/>
      </c>
      <c r="M152" s="9">
        <f>IF(A152="","",IFERROR((C152+D152+E152)/B152,0))</f>
        <v/>
      </c>
      <c r="N152" s="9">
        <f>IF(A152="","",IFERROR(L152/B152,0)+H152)</f>
        <v/>
      </c>
      <c r="O152" s="9">
        <f>IF(A152="","",M152+N152)</f>
        <v/>
      </c>
      <c r="P152" s="9">
        <f>IF(A152="","",IF(B152&gt;0,1-O152-I152,0))</f>
        <v/>
      </c>
      <c r="Q152" s="8">
        <f>IF(A152="","",B152*P152)</f>
        <v/>
      </c>
      <c r="R152" s="9">
        <f>IF(A152="","",IF(B152&gt;0,P152-J152,0))</f>
        <v/>
      </c>
      <c r="S152" s="8">
        <f>IF(A152="","",B152*R152)</f>
        <v/>
      </c>
      <c r="T152" s="11">
        <f>IF(A152="","",IF(K152&gt;0,S152*K152,""))</f>
        <v/>
      </c>
      <c r="U152" s="11">
        <f>IF(A152="","",IFERROR(B152/Q152,0))</f>
        <v/>
      </c>
      <c r="V152" s="4">
        <f>IF(A152="","",IF(OR(S152&lt;=0,Q152&lt;=0),"Drop",IF(P152&gt;=0.6,"Profit product",IF(P152&gt;=0.5,"Traffic product","Thin - rework"))))</f>
        <v/>
      </c>
    </row>
    <row r="153">
      <c r="B153" s="7" t="n"/>
      <c r="C153" s="7" t="n"/>
      <c r="D153" s="7" t="n"/>
      <c r="E153" s="7" t="n"/>
      <c r="F153" s="10" t="n"/>
      <c r="G153" s="7" t="n"/>
      <c r="H153" s="10" t="n"/>
      <c r="I153" s="10" t="n"/>
      <c r="J153" s="10" t="n"/>
      <c r="K153" s="6" t="n"/>
      <c r="L153" s="8">
        <f>IF(A153="","",B153*F153+G153)</f>
        <v/>
      </c>
      <c r="M153" s="9">
        <f>IF(A153="","",IFERROR((C153+D153+E153)/B153,0))</f>
        <v/>
      </c>
      <c r="N153" s="9">
        <f>IF(A153="","",IFERROR(L153/B153,0)+H153)</f>
        <v/>
      </c>
      <c r="O153" s="9">
        <f>IF(A153="","",M153+N153)</f>
        <v/>
      </c>
      <c r="P153" s="9">
        <f>IF(A153="","",IF(B153&gt;0,1-O153-I153,0))</f>
        <v/>
      </c>
      <c r="Q153" s="8">
        <f>IF(A153="","",B153*P153)</f>
        <v/>
      </c>
      <c r="R153" s="9">
        <f>IF(A153="","",IF(B153&gt;0,P153-J153,0))</f>
        <v/>
      </c>
      <c r="S153" s="8">
        <f>IF(A153="","",B153*R153)</f>
        <v/>
      </c>
      <c r="T153" s="11">
        <f>IF(A153="","",IF(K153&gt;0,S153*K153,""))</f>
        <v/>
      </c>
      <c r="U153" s="11">
        <f>IF(A153="","",IFERROR(B153/Q153,0))</f>
        <v/>
      </c>
      <c r="V153" s="4">
        <f>IF(A153="","",IF(OR(S153&lt;=0,Q153&lt;=0),"Drop",IF(P153&gt;=0.6,"Profit product",IF(P153&gt;=0.5,"Traffic product","Thin - rework"))))</f>
        <v/>
      </c>
    </row>
    <row r="154">
      <c r="B154" s="7" t="n"/>
      <c r="C154" s="7" t="n"/>
      <c r="D154" s="7" t="n"/>
      <c r="E154" s="7" t="n"/>
      <c r="F154" s="10" t="n"/>
      <c r="G154" s="7" t="n"/>
      <c r="H154" s="10" t="n"/>
      <c r="I154" s="10" t="n"/>
      <c r="J154" s="10" t="n"/>
      <c r="K154" s="6" t="n"/>
      <c r="L154" s="8">
        <f>IF(A154="","",B154*F154+G154)</f>
        <v/>
      </c>
      <c r="M154" s="9">
        <f>IF(A154="","",IFERROR((C154+D154+E154)/B154,0))</f>
        <v/>
      </c>
      <c r="N154" s="9">
        <f>IF(A154="","",IFERROR(L154/B154,0)+H154)</f>
        <v/>
      </c>
      <c r="O154" s="9">
        <f>IF(A154="","",M154+N154)</f>
        <v/>
      </c>
      <c r="P154" s="9">
        <f>IF(A154="","",IF(B154&gt;0,1-O154-I154,0))</f>
        <v/>
      </c>
      <c r="Q154" s="8">
        <f>IF(A154="","",B154*P154)</f>
        <v/>
      </c>
      <c r="R154" s="9">
        <f>IF(A154="","",IF(B154&gt;0,P154-J154,0))</f>
        <v/>
      </c>
      <c r="S154" s="8">
        <f>IF(A154="","",B154*R154)</f>
        <v/>
      </c>
      <c r="T154" s="11">
        <f>IF(A154="","",IF(K154&gt;0,S154*K154,""))</f>
        <v/>
      </c>
      <c r="U154" s="11">
        <f>IF(A154="","",IFERROR(B154/Q154,0))</f>
        <v/>
      </c>
      <c r="V154" s="4">
        <f>IF(A154="","",IF(OR(S154&lt;=0,Q154&lt;=0),"Drop",IF(P154&gt;=0.6,"Profit product",IF(P154&gt;=0.5,"Traffic product","Thin - rework"))))</f>
        <v/>
      </c>
    </row>
    <row r="155">
      <c r="B155" s="7" t="n"/>
      <c r="C155" s="7" t="n"/>
      <c r="D155" s="7" t="n"/>
      <c r="E155" s="7" t="n"/>
      <c r="F155" s="10" t="n"/>
      <c r="G155" s="7" t="n"/>
      <c r="H155" s="10" t="n"/>
      <c r="I155" s="10" t="n"/>
      <c r="J155" s="10" t="n"/>
      <c r="K155" s="6" t="n"/>
      <c r="L155" s="8">
        <f>IF(A155="","",B155*F155+G155)</f>
        <v/>
      </c>
      <c r="M155" s="9">
        <f>IF(A155="","",IFERROR((C155+D155+E155)/B155,0))</f>
        <v/>
      </c>
      <c r="N155" s="9">
        <f>IF(A155="","",IFERROR(L155/B155,0)+H155)</f>
        <v/>
      </c>
      <c r="O155" s="9">
        <f>IF(A155="","",M155+N155)</f>
        <v/>
      </c>
      <c r="P155" s="9">
        <f>IF(A155="","",IF(B155&gt;0,1-O155-I155,0))</f>
        <v/>
      </c>
      <c r="Q155" s="8">
        <f>IF(A155="","",B155*P155)</f>
        <v/>
      </c>
      <c r="R155" s="9">
        <f>IF(A155="","",IF(B155&gt;0,P155-J155,0))</f>
        <v/>
      </c>
      <c r="S155" s="8">
        <f>IF(A155="","",B155*R155)</f>
        <v/>
      </c>
      <c r="T155" s="11">
        <f>IF(A155="","",IF(K155&gt;0,S155*K155,""))</f>
        <v/>
      </c>
      <c r="U155" s="11">
        <f>IF(A155="","",IFERROR(B155/Q155,0))</f>
        <v/>
      </c>
      <c r="V155" s="4">
        <f>IF(A155="","",IF(OR(S155&lt;=0,Q155&lt;=0),"Drop",IF(P155&gt;=0.6,"Profit product",IF(P155&gt;=0.5,"Traffic product","Thin - rework"))))</f>
        <v/>
      </c>
    </row>
    <row r="156">
      <c r="B156" s="7" t="n"/>
      <c r="C156" s="7" t="n"/>
      <c r="D156" s="7" t="n"/>
      <c r="E156" s="7" t="n"/>
      <c r="F156" s="10" t="n"/>
      <c r="G156" s="7" t="n"/>
      <c r="H156" s="10" t="n"/>
      <c r="I156" s="10" t="n"/>
      <c r="J156" s="10" t="n"/>
      <c r="K156" s="6" t="n"/>
      <c r="L156" s="8">
        <f>IF(A156="","",B156*F156+G156)</f>
        <v/>
      </c>
      <c r="M156" s="9">
        <f>IF(A156="","",IFERROR((C156+D156+E156)/B156,0))</f>
        <v/>
      </c>
      <c r="N156" s="9">
        <f>IF(A156="","",IFERROR(L156/B156,0)+H156)</f>
        <v/>
      </c>
      <c r="O156" s="9">
        <f>IF(A156="","",M156+N156)</f>
        <v/>
      </c>
      <c r="P156" s="9">
        <f>IF(A156="","",IF(B156&gt;0,1-O156-I156,0))</f>
        <v/>
      </c>
      <c r="Q156" s="8">
        <f>IF(A156="","",B156*P156)</f>
        <v/>
      </c>
      <c r="R156" s="9">
        <f>IF(A156="","",IF(B156&gt;0,P156-J156,0))</f>
        <v/>
      </c>
      <c r="S156" s="8">
        <f>IF(A156="","",B156*R156)</f>
        <v/>
      </c>
      <c r="T156" s="11">
        <f>IF(A156="","",IF(K156&gt;0,S156*K156,""))</f>
        <v/>
      </c>
      <c r="U156" s="11">
        <f>IF(A156="","",IFERROR(B156/Q156,0))</f>
        <v/>
      </c>
      <c r="V156" s="4">
        <f>IF(A156="","",IF(OR(S156&lt;=0,Q156&lt;=0),"Drop",IF(P156&gt;=0.6,"Profit product",IF(P156&gt;=0.5,"Traffic product","Thin - rework"))))</f>
        <v/>
      </c>
    </row>
    <row r="157">
      <c r="B157" s="7" t="n"/>
      <c r="C157" s="7" t="n"/>
      <c r="D157" s="7" t="n"/>
      <c r="E157" s="7" t="n"/>
      <c r="F157" s="10" t="n"/>
      <c r="G157" s="7" t="n"/>
      <c r="H157" s="10" t="n"/>
      <c r="I157" s="10" t="n"/>
      <c r="J157" s="10" t="n"/>
      <c r="K157" s="6" t="n"/>
      <c r="L157" s="8">
        <f>IF(A157="","",B157*F157+G157)</f>
        <v/>
      </c>
      <c r="M157" s="9">
        <f>IF(A157="","",IFERROR((C157+D157+E157)/B157,0))</f>
        <v/>
      </c>
      <c r="N157" s="9">
        <f>IF(A157="","",IFERROR(L157/B157,0)+H157)</f>
        <v/>
      </c>
      <c r="O157" s="9">
        <f>IF(A157="","",M157+N157)</f>
        <v/>
      </c>
      <c r="P157" s="9">
        <f>IF(A157="","",IF(B157&gt;0,1-O157-I157,0))</f>
        <v/>
      </c>
      <c r="Q157" s="8">
        <f>IF(A157="","",B157*P157)</f>
        <v/>
      </c>
      <c r="R157" s="9">
        <f>IF(A157="","",IF(B157&gt;0,P157-J157,0))</f>
        <v/>
      </c>
      <c r="S157" s="8">
        <f>IF(A157="","",B157*R157)</f>
        <v/>
      </c>
      <c r="T157" s="11">
        <f>IF(A157="","",IF(K157&gt;0,S157*K157,""))</f>
        <v/>
      </c>
      <c r="U157" s="11">
        <f>IF(A157="","",IFERROR(B157/Q157,0))</f>
        <v/>
      </c>
      <c r="V157" s="4">
        <f>IF(A157="","",IF(OR(S157&lt;=0,Q157&lt;=0),"Drop",IF(P157&gt;=0.6,"Profit product",IF(P157&gt;=0.5,"Traffic product","Thin - rework"))))</f>
        <v/>
      </c>
    </row>
    <row r="158">
      <c r="B158" s="7" t="n"/>
      <c r="C158" s="7" t="n"/>
      <c r="D158" s="7" t="n"/>
      <c r="E158" s="7" t="n"/>
      <c r="F158" s="10" t="n"/>
      <c r="G158" s="7" t="n"/>
      <c r="H158" s="10" t="n"/>
      <c r="I158" s="10" t="n"/>
      <c r="J158" s="10" t="n"/>
      <c r="K158" s="6" t="n"/>
      <c r="L158" s="8">
        <f>IF(A158="","",B158*F158+G158)</f>
        <v/>
      </c>
      <c r="M158" s="9">
        <f>IF(A158="","",IFERROR((C158+D158+E158)/B158,0))</f>
        <v/>
      </c>
      <c r="N158" s="9">
        <f>IF(A158="","",IFERROR(L158/B158,0)+H158)</f>
        <v/>
      </c>
      <c r="O158" s="9">
        <f>IF(A158="","",M158+N158)</f>
        <v/>
      </c>
      <c r="P158" s="9">
        <f>IF(A158="","",IF(B158&gt;0,1-O158-I158,0))</f>
        <v/>
      </c>
      <c r="Q158" s="8">
        <f>IF(A158="","",B158*P158)</f>
        <v/>
      </c>
      <c r="R158" s="9">
        <f>IF(A158="","",IF(B158&gt;0,P158-J158,0))</f>
        <v/>
      </c>
      <c r="S158" s="8">
        <f>IF(A158="","",B158*R158)</f>
        <v/>
      </c>
      <c r="T158" s="11">
        <f>IF(A158="","",IF(K158&gt;0,S158*K158,""))</f>
        <v/>
      </c>
      <c r="U158" s="11">
        <f>IF(A158="","",IFERROR(B158/Q158,0))</f>
        <v/>
      </c>
      <c r="V158" s="4">
        <f>IF(A158="","",IF(OR(S158&lt;=0,Q158&lt;=0),"Drop",IF(P158&gt;=0.6,"Profit product",IF(P158&gt;=0.5,"Traffic product","Thin - rework"))))</f>
        <v/>
      </c>
    </row>
    <row r="159">
      <c r="B159" s="7" t="n"/>
      <c r="C159" s="7" t="n"/>
      <c r="D159" s="7" t="n"/>
      <c r="E159" s="7" t="n"/>
      <c r="F159" s="10" t="n"/>
      <c r="G159" s="7" t="n"/>
      <c r="H159" s="10" t="n"/>
      <c r="I159" s="10" t="n"/>
      <c r="J159" s="10" t="n"/>
      <c r="K159" s="6" t="n"/>
      <c r="L159" s="8">
        <f>IF(A159="","",B159*F159+G159)</f>
        <v/>
      </c>
      <c r="M159" s="9">
        <f>IF(A159="","",IFERROR((C159+D159+E159)/B159,0))</f>
        <v/>
      </c>
      <c r="N159" s="9">
        <f>IF(A159="","",IFERROR(L159/B159,0)+H159)</f>
        <v/>
      </c>
      <c r="O159" s="9">
        <f>IF(A159="","",M159+N159)</f>
        <v/>
      </c>
      <c r="P159" s="9">
        <f>IF(A159="","",IF(B159&gt;0,1-O159-I159,0))</f>
        <v/>
      </c>
      <c r="Q159" s="8">
        <f>IF(A159="","",B159*P159)</f>
        <v/>
      </c>
      <c r="R159" s="9">
        <f>IF(A159="","",IF(B159&gt;0,P159-J159,0))</f>
        <v/>
      </c>
      <c r="S159" s="8">
        <f>IF(A159="","",B159*R159)</f>
        <v/>
      </c>
      <c r="T159" s="11">
        <f>IF(A159="","",IF(K159&gt;0,S159*K159,""))</f>
        <v/>
      </c>
      <c r="U159" s="11">
        <f>IF(A159="","",IFERROR(B159/Q159,0))</f>
        <v/>
      </c>
      <c r="V159" s="4">
        <f>IF(A159="","",IF(OR(S159&lt;=0,Q159&lt;=0),"Drop",IF(P159&gt;=0.6,"Profit product",IF(P159&gt;=0.5,"Traffic product","Thin - rework"))))</f>
        <v/>
      </c>
    </row>
    <row r="160">
      <c r="B160" s="7" t="n"/>
      <c r="C160" s="7" t="n"/>
      <c r="D160" s="7" t="n"/>
      <c r="E160" s="7" t="n"/>
      <c r="F160" s="10" t="n"/>
      <c r="G160" s="7" t="n"/>
      <c r="H160" s="10" t="n"/>
      <c r="I160" s="10" t="n"/>
      <c r="J160" s="10" t="n"/>
      <c r="K160" s="6" t="n"/>
      <c r="L160" s="8">
        <f>IF(A160="","",B160*F160+G160)</f>
        <v/>
      </c>
      <c r="M160" s="9">
        <f>IF(A160="","",IFERROR((C160+D160+E160)/B160,0))</f>
        <v/>
      </c>
      <c r="N160" s="9">
        <f>IF(A160="","",IFERROR(L160/B160,0)+H160)</f>
        <v/>
      </c>
      <c r="O160" s="9">
        <f>IF(A160="","",M160+N160)</f>
        <v/>
      </c>
      <c r="P160" s="9">
        <f>IF(A160="","",IF(B160&gt;0,1-O160-I160,0))</f>
        <v/>
      </c>
      <c r="Q160" s="8">
        <f>IF(A160="","",B160*P160)</f>
        <v/>
      </c>
      <c r="R160" s="9">
        <f>IF(A160="","",IF(B160&gt;0,P160-J160,0))</f>
        <v/>
      </c>
      <c r="S160" s="8">
        <f>IF(A160="","",B160*R160)</f>
        <v/>
      </c>
      <c r="T160" s="11">
        <f>IF(A160="","",IF(K160&gt;0,S160*K160,""))</f>
        <v/>
      </c>
      <c r="U160" s="11">
        <f>IF(A160="","",IFERROR(B160/Q160,0))</f>
        <v/>
      </c>
      <c r="V160" s="4">
        <f>IF(A160="","",IF(OR(S160&lt;=0,Q160&lt;=0),"Drop",IF(P160&gt;=0.6,"Profit product",IF(P160&gt;=0.5,"Traffic product","Thin - rework"))))</f>
        <v/>
      </c>
    </row>
    <row r="161">
      <c r="B161" s="7" t="n"/>
      <c r="C161" s="7" t="n"/>
      <c r="D161" s="7" t="n"/>
      <c r="E161" s="7" t="n"/>
      <c r="F161" s="10" t="n"/>
      <c r="G161" s="7" t="n"/>
      <c r="H161" s="10" t="n"/>
      <c r="I161" s="10" t="n"/>
      <c r="J161" s="10" t="n"/>
      <c r="K161" s="6" t="n"/>
      <c r="L161" s="8">
        <f>IF(A161="","",B161*F161+G161)</f>
        <v/>
      </c>
      <c r="M161" s="9">
        <f>IF(A161="","",IFERROR((C161+D161+E161)/B161,0))</f>
        <v/>
      </c>
      <c r="N161" s="9">
        <f>IF(A161="","",IFERROR(L161/B161,0)+H161)</f>
        <v/>
      </c>
      <c r="O161" s="9">
        <f>IF(A161="","",M161+N161)</f>
        <v/>
      </c>
      <c r="P161" s="9">
        <f>IF(A161="","",IF(B161&gt;0,1-O161-I161,0))</f>
        <v/>
      </c>
      <c r="Q161" s="8">
        <f>IF(A161="","",B161*P161)</f>
        <v/>
      </c>
      <c r="R161" s="9">
        <f>IF(A161="","",IF(B161&gt;0,P161-J161,0))</f>
        <v/>
      </c>
      <c r="S161" s="8">
        <f>IF(A161="","",B161*R161)</f>
        <v/>
      </c>
      <c r="T161" s="11">
        <f>IF(A161="","",IF(K161&gt;0,S161*K161,""))</f>
        <v/>
      </c>
      <c r="U161" s="11">
        <f>IF(A161="","",IFERROR(B161/Q161,0))</f>
        <v/>
      </c>
      <c r="V161" s="4">
        <f>IF(A161="","",IF(OR(S161&lt;=0,Q161&lt;=0),"Drop",IF(P161&gt;=0.6,"Profit product",IF(P161&gt;=0.5,"Traffic product","Thin - rework"))))</f>
        <v/>
      </c>
    </row>
    <row r="162">
      <c r="B162" s="7" t="n"/>
      <c r="C162" s="7" t="n"/>
      <c r="D162" s="7" t="n"/>
      <c r="E162" s="7" t="n"/>
      <c r="F162" s="10" t="n"/>
      <c r="G162" s="7" t="n"/>
      <c r="H162" s="10" t="n"/>
      <c r="I162" s="10" t="n"/>
      <c r="J162" s="10" t="n"/>
      <c r="K162" s="6" t="n"/>
      <c r="L162" s="8">
        <f>IF(A162="","",B162*F162+G162)</f>
        <v/>
      </c>
      <c r="M162" s="9">
        <f>IF(A162="","",IFERROR((C162+D162+E162)/B162,0))</f>
        <v/>
      </c>
      <c r="N162" s="9">
        <f>IF(A162="","",IFERROR(L162/B162,0)+H162)</f>
        <v/>
      </c>
      <c r="O162" s="9">
        <f>IF(A162="","",M162+N162)</f>
        <v/>
      </c>
      <c r="P162" s="9">
        <f>IF(A162="","",IF(B162&gt;0,1-O162-I162,0))</f>
        <v/>
      </c>
      <c r="Q162" s="8">
        <f>IF(A162="","",B162*P162)</f>
        <v/>
      </c>
      <c r="R162" s="9">
        <f>IF(A162="","",IF(B162&gt;0,P162-J162,0))</f>
        <v/>
      </c>
      <c r="S162" s="8">
        <f>IF(A162="","",B162*R162)</f>
        <v/>
      </c>
      <c r="T162" s="11">
        <f>IF(A162="","",IF(K162&gt;0,S162*K162,""))</f>
        <v/>
      </c>
      <c r="U162" s="11">
        <f>IF(A162="","",IFERROR(B162/Q162,0))</f>
        <v/>
      </c>
      <c r="V162" s="4">
        <f>IF(A162="","",IF(OR(S162&lt;=0,Q162&lt;=0),"Drop",IF(P162&gt;=0.6,"Profit product",IF(P162&gt;=0.5,"Traffic product","Thin - rework"))))</f>
        <v/>
      </c>
    </row>
    <row r="163">
      <c r="B163" s="7" t="n"/>
      <c r="C163" s="7" t="n"/>
      <c r="D163" s="7" t="n"/>
      <c r="E163" s="7" t="n"/>
      <c r="F163" s="10" t="n"/>
      <c r="G163" s="7" t="n"/>
      <c r="H163" s="10" t="n"/>
      <c r="I163" s="10" t="n"/>
      <c r="J163" s="10" t="n"/>
      <c r="K163" s="6" t="n"/>
      <c r="L163" s="8">
        <f>IF(A163="","",B163*F163+G163)</f>
        <v/>
      </c>
      <c r="M163" s="9">
        <f>IF(A163="","",IFERROR((C163+D163+E163)/B163,0))</f>
        <v/>
      </c>
      <c r="N163" s="9">
        <f>IF(A163="","",IFERROR(L163/B163,0)+H163)</f>
        <v/>
      </c>
      <c r="O163" s="9">
        <f>IF(A163="","",M163+N163)</f>
        <v/>
      </c>
      <c r="P163" s="9">
        <f>IF(A163="","",IF(B163&gt;0,1-O163-I163,0))</f>
        <v/>
      </c>
      <c r="Q163" s="8">
        <f>IF(A163="","",B163*P163)</f>
        <v/>
      </c>
      <c r="R163" s="9">
        <f>IF(A163="","",IF(B163&gt;0,P163-J163,0))</f>
        <v/>
      </c>
      <c r="S163" s="8">
        <f>IF(A163="","",B163*R163)</f>
        <v/>
      </c>
      <c r="T163" s="11">
        <f>IF(A163="","",IF(K163&gt;0,S163*K163,""))</f>
        <v/>
      </c>
      <c r="U163" s="11">
        <f>IF(A163="","",IFERROR(B163/Q163,0))</f>
        <v/>
      </c>
      <c r="V163" s="4">
        <f>IF(A163="","",IF(OR(S163&lt;=0,Q163&lt;=0),"Drop",IF(P163&gt;=0.6,"Profit product",IF(P163&gt;=0.5,"Traffic product","Thin - rework"))))</f>
        <v/>
      </c>
    </row>
    <row r="164">
      <c r="B164" s="7" t="n"/>
      <c r="C164" s="7" t="n"/>
      <c r="D164" s="7" t="n"/>
      <c r="E164" s="7" t="n"/>
      <c r="F164" s="10" t="n"/>
      <c r="G164" s="7" t="n"/>
      <c r="H164" s="10" t="n"/>
      <c r="I164" s="10" t="n"/>
      <c r="J164" s="10" t="n"/>
      <c r="K164" s="6" t="n"/>
      <c r="L164" s="8">
        <f>IF(A164="","",B164*F164+G164)</f>
        <v/>
      </c>
      <c r="M164" s="9">
        <f>IF(A164="","",IFERROR((C164+D164+E164)/B164,0))</f>
        <v/>
      </c>
      <c r="N164" s="9">
        <f>IF(A164="","",IFERROR(L164/B164,0)+H164)</f>
        <v/>
      </c>
      <c r="O164" s="9">
        <f>IF(A164="","",M164+N164)</f>
        <v/>
      </c>
      <c r="P164" s="9">
        <f>IF(A164="","",IF(B164&gt;0,1-O164-I164,0))</f>
        <v/>
      </c>
      <c r="Q164" s="8">
        <f>IF(A164="","",B164*P164)</f>
        <v/>
      </c>
      <c r="R164" s="9">
        <f>IF(A164="","",IF(B164&gt;0,P164-J164,0))</f>
        <v/>
      </c>
      <c r="S164" s="8">
        <f>IF(A164="","",B164*R164)</f>
        <v/>
      </c>
      <c r="T164" s="11">
        <f>IF(A164="","",IF(K164&gt;0,S164*K164,""))</f>
        <v/>
      </c>
      <c r="U164" s="11">
        <f>IF(A164="","",IFERROR(B164/Q164,0))</f>
        <v/>
      </c>
      <c r="V164" s="4">
        <f>IF(A164="","",IF(OR(S164&lt;=0,Q164&lt;=0),"Drop",IF(P164&gt;=0.6,"Profit product",IF(P164&gt;=0.5,"Traffic product","Thin - rework"))))</f>
        <v/>
      </c>
    </row>
    <row r="165">
      <c r="B165" s="7" t="n"/>
      <c r="C165" s="7" t="n"/>
      <c r="D165" s="7" t="n"/>
      <c r="E165" s="7" t="n"/>
      <c r="F165" s="10" t="n"/>
      <c r="G165" s="7" t="n"/>
      <c r="H165" s="10" t="n"/>
      <c r="I165" s="10" t="n"/>
      <c r="J165" s="10" t="n"/>
      <c r="K165" s="6" t="n"/>
      <c r="L165" s="8">
        <f>IF(A165="","",B165*F165+G165)</f>
        <v/>
      </c>
      <c r="M165" s="9">
        <f>IF(A165="","",IFERROR((C165+D165+E165)/B165,0))</f>
        <v/>
      </c>
      <c r="N165" s="9">
        <f>IF(A165="","",IFERROR(L165/B165,0)+H165)</f>
        <v/>
      </c>
      <c r="O165" s="9">
        <f>IF(A165="","",M165+N165)</f>
        <v/>
      </c>
      <c r="P165" s="9">
        <f>IF(A165="","",IF(B165&gt;0,1-O165-I165,0))</f>
        <v/>
      </c>
      <c r="Q165" s="8">
        <f>IF(A165="","",B165*P165)</f>
        <v/>
      </c>
      <c r="R165" s="9">
        <f>IF(A165="","",IF(B165&gt;0,P165-J165,0))</f>
        <v/>
      </c>
      <c r="S165" s="8">
        <f>IF(A165="","",B165*R165)</f>
        <v/>
      </c>
      <c r="T165" s="11">
        <f>IF(A165="","",IF(K165&gt;0,S165*K165,""))</f>
        <v/>
      </c>
      <c r="U165" s="11">
        <f>IF(A165="","",IFERROR(B165/Q165,0))</f>
        <v/>
      </c>
      <c r="V165" s="4">
        <f>IF(A165="","",IF(OR(S165&lt;=0,Q165&lt;=0),"Drop",IF(P165&gt;=0.6,"Profit product",IF(P165&gt;=0.5,"Traffic product","Thin - rework"))))</f>
        <v/>
      </c>
    </row>
    <row r="166">
      <c r="B166" s="7" t="n"/>
      <c r="C166" s="7" t="n"/>
      <c r="D166" s="7" t="n"/>
      <c r="E166" s="7" t="n"/>
      <c r="F166" s="10" t="n"/>
      <c r="G166" s="7" t="n"/>
      <c r="H166" s="10" t="n"/>
      <c r="I166" s="10" t="n"/>
      <c r="J166" s="10" t="n"/>
      <c r="K166" s="6" t="n"/>
      <c r="L166" s="8">
        <f>IF(A166="","",B166*F166+G166)</f>
        <v/>
      </c>
      <c r="M166" s="9">
        <f>IF(A166="","",IFERROR((C166+D166+E166)/B166,0))</f>
        <v/>
      </c>
      <c r="N166" s="9">
        <f>IF(A166="","",IFERROR(L166/B166,0)+H166)</f>
        <v/>
      </c>
      <c r="O166" s="9">
        <f>IF(A166="","",M166+N166)</f>
        <v/>
      </c>
      <c r="P166" s="9">
        <f>IF(A166="","",IF(B166&gt;0,1-O166-I166,0))</f>
        <v/>
      </c>
      <c r="Q166" s="8">
        <f>IF(A166="","",B166*P166)</f>
        <v/>
      </c>
      <c r="R166" s="9">
        <f>IF(A166="","",IF(B166&gt;0,P166-J166,0))</f>
        <v/>
      </c>
      <c r="S166" s="8">
        <f>IF(A166="","",B166*R166)</f>
        <v/>
      </c>
      <c r="T166" s="11">
        <f>IF(A166="","",IF(K166&gt;0,S166*K166,""))</f>
        <v/>
      </c>
      <c r="U166" s="11">
        <f>IF(A166="","",IFERROR(B166/Q166,0))</f>
        <v/>
      </c>
      <c r="V166" s="4">
        <f>IF(A166="","",IF(OR(S166&lt;=0,Q166&lt;=0),"Drop",IF(P166&gt;=0.6,"Profit product",IF(P166&gt;=0.5,"Traffic product","Thin - rework"))))</f>
        <v/>
      </c>
    </row>
    <row r="167">
      <c r="B167" s="7" t="n"/>
      <c r="C167" s="7" t="n"/>
      <c r="D167" s="7" t="n"/>
      <c r="E167" s="7" t="n"/>
      <c r="F167" s="10" t="n"/>
      <c r="G167" s="7" t="n"/>
      <c r="H167" s="10" t="n"/>
      <c r="I167" s="10" t="n"/>
      <c r="J167" s="10" t="n"/>
      <c r="K167" s="6" t="n"/>
      <c r="L167" s="8">
        <f>IF(A167="","",B167*F167+G167)</f>
        <v/>
      </c>
      <c r="M167" s="9">
        <f>IF(A167="","",IFERROR((C167+D167+E167)/B167,0))</f>
        <v/>
      </c>
      <c r="N167" s="9">
        <f>IF(A167="","",IFERROR(L167/B167,0)+H167)</f>
        <v/>
      </c>
      <c r="O167" s="9">
        <f>IF(A167="","",M167+N167)</f>
        <v/>
      </c>
      <c r="P167" s="9">
        <f>IF(A167="","",IF(B167&gt;0,1-O167-I167,0))</f>
        <v/>
      </c>
      <c r="Q167" s="8">
        <f>IF(A167="","",B167*P167)</f>
        <v/>
      </c>
      <c r="R167" s="9">
        <f>IF(A167="","",IF(B167&gt;0,P167-J167,0))</f>
        <v/>
      </c>
      <c r="S167" s="8">
        <f>IF(A167="","",B167*R167)</f>
        <v/>
      </c>
      <c r="T167" s="11">
        <f>IF(A167="","",IF(K167&gt;0,S167*K167,""))</f>
        <v/>
      </c>
      <c r="U167" s="11">
        <f>IF(A167="","",IFERROR(B167/Q167,0))</f>
        <v/>
      </c>
      <c r="V167" s="4">
        <f>IF(A167="","",IF(OR(S167&lt;=0,Q167&lt;=0),"Drop",IF(P167&gt;=0.6,"Profit product",IF(P167&gt;=0.5,"Traffic product","Thin - rework"))))</f>
        <v/>
      </c>
    </row>
    <row r="168">
      <c r="B168" s="7" t="n"/>
      <c r="C168" s="7" t="n"/>
      <c r="D168" s="7" t="n"/>
      <c r="E168" s="7" t="n"/>
      <c r="F168" s="10" t="n"/>
      <c r="G168" s="7" t="n"/>
      <c r="H168" s="10" t="n"/>
      <c r="I168" s="10" t="n"/>
      <c r="J168" s="10" t="n"/>
      <c r="K168" s="6" t="n"/>
      <c r="L168" s="8">
        <f>IF(A168="","",B168*F168+G168)</f>
        <v/>
      </c>
      <c r="M168" s="9">
        <f>IF(A168="","",IFERROR((C168+D168+E168)/B168,0))</f>
        <v/>
      </c>
      <c r="N168" s="9">
        <f>IF(A168="","",IFERROR(L168/B168,0)+H168)</f>
        <v/>
      </c>
      <c r="O168" s="9">
        <f>IF(A168="","",M168+N168)</f>
        <v/>
      </c>
      <c r="P168" s="9">
        <f>IF(A168="","",IF(B168&gt;0,1-O168-I168,0))</f>
        <v/>
      </c>
      <c r="Q168" s="8">
        <f>IF(A168="","",B168*P168)</f>
        <v/>
      </c>
      <c r="R168" s="9">
        <f>IF(A168="","",IF(B168&gt;0,P168-J168,0))</f>
        <v/>
      </c>
      <c r="S168" s="8">
        <f>IF(A168="","",B168*R168)</f>
        <v/>
      </c>
      <c r="T168" s="11">
        <f>IF(A168="","",IF(K168&gt;0,S168*K168,""))</f>
        <v/>
      </c>
      <c r="U168" s="11">
        <f>IF(A168="","",IFERROR(B168/Q168,0))</f>
        <v/>
      </c>
      <c r="V168" s="4">
        <f>IF(A168="","",IF(OR(S168&lt;=0,Q168&lt;=0),"Drop",IF(P168&gt;=0.6,"Profit product",IF(P168&gt;=0.5,"Traffic product","Thin - rework"))))</f>
        <v/>
      </c>
    </row>
    <row r="169">
      <c r="B169" s="7" t="n"/>
      <c r="C169" s="7" t="n"/>
      <c r="D169" s="7" t="n"/>
      <c r="E169" s="7" t="n"/>
      <c r="F169" s="10" t="n"/>
      <c r="G169" s="7" t="n"/>
      <c r="H169" s="10" t="n"/>
      <c r="I169" s="10" t="n"/>
      <c r="J169" s="10" t="n"/>
      <c r="K169" s="6" t="n"/>
      <c r="L169" s="8">
        <f>IF(A169="","",B169*F169+G169)</f>
        <v/>
      </c>
      <c r="M169" s="9">
        <f>IF(A169="","",IFERROR((C169+D169+E169)/B169,0))</f>
        <v/>
      </c>
      <c r="N169" s="9">
        <f>IF(A169="","",IFERROR(L169/B169,0)+H169)</f>
        <v/>
      </c>
      <c r="O169" s="9">
        <f>IF(A169="","",M169+N169)</f>
        <v/>
      </c>
      <c r="P169" s="9">
        <f>IF(A169="","",IF(B169&gt;0,1-O169-I169,0))</f>
        <v/>
      </c>
      <c r="Q169" s="8">
        <f>IF(A169="","",B169*P169)</f>
        <v/>
      </c>
      <c r="R169" s="9">
        <f>IF(A169="","",IF(B169&gt;0,P169-J169,0))</f>
        <v/>
      </c>
      <c r="S169" s="8">
        <f>IF(A169="","",B169*R169)</f>
        <v/>
      </c>
      <c r="T169" s="11">
        <f>IF(A169="","",IF(K169&gt;0,S169*K169,""))</f>
        <v/>
      </c>
      <c r="U169" s="11">
        <f>IF(A169="","",IFERROR(B169/Q169,0))</f>
        <v/>
      </c>
      <c r="V169" s="4">
        <f>IF(A169="","",IF(OR(S169&lt;=0,Q169&lt;=0),"Drop",IF(P169&gt;=0.6,"Profit product",IF(P169&gt;=0.5,"Traffic product","Thin - rework"))))</f>
        <v/>
      </c>
    </row>
    <row r="170">
      <c r="B170" s="7" t="n"/>
      <c r="C170" s="7" t="n"/>
      <c r="D170" s="7" t="n"/>
      <c r="E170" s="7" t="n"/>
      <c r="F170" s="10" t="n"/>
      <c r="G170" s="7" t="n"/>
      <c r="H170" s="10" t="n"/>
      <c r="I170" s="10" t="n"/>
      <c r="J170" s="10" t="n"/>
      <c r="K170" s="6" t="n"/>
      <c r="L170" s="8">
        <f>IF(A170="","",B170*F170+G170)</f>
        <v/>
      </c>
      <c r="M170" s="9">
        <f>IF(A170="","",IFERROR((C170+D170+E170)/B170,0))</f>
        <v/>
      </c>
      <c r="N170" s="9">
        <f>IF(A170="","",IFERROR(L170/B170,0)+H170)</f>
        <v/>
      </c>
      <c r="O170" s="9">
        <f>IF(A170="","",M170+N170)</f>
        <v/>
      </c>
      <c r="P170" s="9">
        <f>IF(A170="","",IF(B170&gt;0,1-O170-I170,0))</f>
        <v/>
      </c>
      <c r="Q170" s="8">
        <f>IF(A170="","",B170*P170)</f>
        <v/>
      </c>
      <c r="R170" s="9">
        <f>IF(A170="","",IF(B170&gt;0,P170-J170,0))</f>
        <v/>
      </c>
      <c r="S170" s="8">
        <f>IF(A170="","",B170*R170)</f>
        <v/>
      </c>
      <c r="T170" s="11">
        <f>IF(A170="","",IF(K170&gt;0,S170*K170,""))</f>
        <v/>
      </c>
      <c r="U170" s="11">
        <f>IF(A170="","",IFERROR(B170/Q170,0))</f>
        <v/>
      </c>
      <c r="V170" s="4">
        <f>IF(A170="","",IF(OR(S170&lt;=0,Q170&lt;=0),"Drop",IF(P170&gt;=0.6,"Profit product",IF(P170&gt;=0.5,"Traffic product","Thin - rework"))))</f>
        <v/>
      </c>
    </row>
    <row r="171">
      <c r="B171" s="7" t="n"/>
      <c r="C171" s="7" t="n"/>
      <c r="D171" s="7" t="n"/>
      <c r="E171" s="7" t="n"/>
      <c r="F171" s="10" t="n"/>
      <c r="G171" s="7" t="n"/>
      <c r="H171" s="10" t="n"/>
      <c r="I171" s="10" t="n"/>
      <c r="J171" s="10" t="n"/>
      <c r="K171" s="6" t="n"/>
      <c r="L171" s="8">
        <f>IF(A171="","",B171*F171+G171)</f>
        <v/>
      </c>
      <c r="M171" s="9">
        <f>IF(A171="","",IFERROR((C171+D171+E171)/B171,0))</f>
        <v/>
      </c>
      <c r="N171" s="9">
        <f>IF(A171="","",IFERROR(L171/B171,0)+H171)</f>
        <v/>
      </c>
      <c r="O171" s="9">
        <f>IF(A171="","",M171+N171)</f>
        <v/>
      </c>
      <c r="P171" s="9">
        <f>IF(A171="","",IF(B171&gt;0,1-O171-I171,0))</f>
        <v/>
      </c>
      <c r="Q171" s="8">
        <f>IF(A171="","",B171*P171)</f>
        <v/>
      </c>
      <c r="R171" s="9">
        <f>IF(A171="","",IF(B171&gt;0,P171-J171,0))</f>
        <v/>
      </c>
      <c r="S171" s="8">
        <f>IF(A171="","",B171*R171)</f>
        <v/>
      </c>
      <c r="T171" s="11">
        <f>IF(A171="","",IF(K171&gt;0,S171*K171,""))</f>
        <v/>
      </c>
      <c r="U171" s="11">
        <f>IF(A171="","",IFERROR(B171/Q171,0))</f>
        <v/>
      </c>
      <c r="V171" s="4">
        <f>IF(A171="","",IF(OR(S171&lt;=0,Q171&lt;=0),"Drop",IF(P171&gt;=0.6,"Profit product",IF(P171&gt;=0.5,"Traffic product","Thin - rework"))))</f>
        <v/>
      </c>
    </row>
    <row r="172">
      <c r="B172" s="7" t="n"/>
      <c r="C172" s="7" t="n"/>
      <c r="D172" s="7" t="n"/>
      <c r="E172" s="7" t="n"/>
      <c r="F172" s="10" t="n"/>
      <c r="G172" s="7" t="n"/>
      <c r="H172" s="10" t="n"/>
      <c r="I172" s="10" t="n"/>
      <c r="J172" s="10" t="n"/>
      <c r="K172" s="6" t="n"/>
      <c r="L172" s="8">
        <f>IF(A172="","",B172*F172+G172)</f>
        <v/>
      </c>
      <c r="M172" s="9">
        <f>IF(A172="","",IFERROR((C172+D172+E172)/B172,0))</f>
        <v/>
      </c>
      <c r="N172" s="9">
        <f>IF(A172="","",IFERROR(L172/B172,0)+H172)</f>
        <v/>
      </c>
      <c r="O172" s="9">
        <f>IF(A172="","",M172+N172)</f>
        <v/>
      </c>
      <c r="P172" s="9">
        <f>IF(A172="","",IF(B172&gt;0,1-O172-I172,0))</f>
        <v/>
      </c>
      <c r="Q172" s="8">
        <f>IF(A172="","",B172*P172)</f>
        <v/>
      </c>
      <c r="R172" s="9">
        <f>IF(A172="","",IF(B172&gt;0,P172-J172,0))</f>
        <v/>
      </c>
      <c r="S172" s="8">
        <f>IF(A172="","",B172*R172)</f>
        <v/>
      </c>
      <c r="T172" s="11">
        <f>IF(A172="","",IF(K172&gt;0,S172*K172,""))</f>
        <v/>
      </c>
      <c r="U172" s="11">
        <f>IF(A172="","",IFERROR(B172/Q172,0))</f>
        <v/>
      </c>
      <c r="V172" s="4">
        <f>IF(A172="","",IF(OR(S172&lt;=0,Q172&lt;=0),"Drop",IF(P172&gt;=0.6,"Profit product",IF(P172&gt;=0.5,"Traffic product","Thin - rework"))))</f>
        <v/>
      </c>
    </row>
    <row r="173">
      <c r="B173" s="7" t="n"/>
      <c r="C173" s="7" t="n"/>
      <c r="D173" s="7" t="n"/>
      <c r="E173" s="7" t="n"/>
      <c r="F173" s="10" t="n"/>
      <c r="G173" s="7" t="n"/>
      <c r="H173" s="10" t="n"/>
      <c r="I173" s="10" t="n"/>
      <c r="J173" s="10" t="n"/>
      <c r="K173" s="6" t="n"/>
      <c r="L173" s="8">
        <f>IF(A173="","",B173*F173+G173)</f>
        <v/>
      </c>
      <c r="M173" s="9">
        <f>IF(A173="","",IFERROR((C173+D173+E173)/B173,0))</f>
        <v/>
      </c>
      <c r="N173" s="9">
        <f>IF(A173="","",IFERROR(L173/B173,0)+H173)</f>
        <v/>
      </c>
      <c r="O173" s="9">
        <f>IF(A173="","",M173+N173)</f>
        <v/>
      </c>
      <c r="P173" s="9">
        <f>IF(A173="","",IF(B173&gt;0,1-O173-I173,0))</f>
        <v/>
      </c>
      <c r="Q173" s="8">
        <f>IF(A173="","",B173*P173)</f>
        <v/>
      </c>
      <c r="R173" s="9">
        <f>IF(A173="","",IF(B173&gt;0,P173-J173,0))</f>
        <v/>
      </c>
      <c r="S173" s="8">
        <f>IF(A173="","",B173*R173)</f>
        <v/>
      </c>
      <c r="T173" s="11">
        <f>IF(A173="","",IF(K173&gt;0,S173*K173,""))</f>
        <v/>
      </c>
      <c r="U173" s="11">
        <f>IF(A173="","",IFERROR(B173/Q173,0))</f>
        <v/>
      </c>
      <c r="V173" s="4">
        <f>IF(A173="","",IF(OR(S173&lt;=0,Q173&lt;=0),"Drop",IF(P173&gt;=0.6,"Profit product",IF(P173&gt;=0.5,"Traffic product","Thin - rework"))))</f>
        <v/>
      </c>
    </row>
    <row r="174">
      <c r="B174" s="7" t="n"/>
      <c r="C174" s="7" t="n"/>
      <c r="D174" s="7" t="n"/>
      <c r="E174" s="7" t="n"/>
      <c r="F174" s="10" t="n"/>
      <c r="G174" s="7" t="n"/>
      <c r="H174" s="10" t="n"/>
      <c r="I174" s="10" t="n"/>
      <c r="J174" s="10" t="n"/>
      <c r="K174" s="6" t="n"/>
      <c r="L174" s="8">
        <f>IF(A174="","",B174*F174+G174)</f>
        <v/>
      </c>
      <c r="M174" s="9">
        <f>IF(A174="","",IFERROR((C174+D174+E174)/B174,0))</f>
        <v/>
      </c>
      <c r="N174" s="9">
        <f>IF(A174="","",IFERROR(L174/B174,0)+H174)</f>
        <v/>
      </c>
      <c r="O174" s="9">
        <f>IF(A174="","",M174+N174)</f>
        <v/>
      </c>
      <c r="P174" s="9">
        <f>IF(A174="","",IF(B174&gt;0,1-O174-I174,0))</f>
        <v/>
      </c>
      <c r="Q174" s="8">
        <f>IF(A174="","",B174*P174)</f>
        <v/>
      </c>
      <c r="R174" s="9">
        <f>IF(A174="","",IF(B174&gt;0,P174-J174,0))</f>
        <v/>
      </c>
      <c r="S174" s="8">
        <f>IF(A174="","",B174*R174)</f>
        <v/>
      </c>
      <c r="T174" s="11">
        <f>IF(A174="","",IF(K174&gt;0,S174*K174,""))</f>
        <v/>
      </c>
      <c r="U174" s="11">
        <f>IF(A174="","",IFERROR(B174/Q174,0))</f>
        <v/>
      </c>
      <c r="V174" s="4">
        <f>IF(A174="","",IF(OR(S174&lt;=0,Q174&lt;=0),"Drop",IF(P174&gt;=0.6,"Profit product",IF(P174&gt;=0.5,"Traffic product","Thin - rework"))))</f>
        <v/>
      </c>
    </row>
    <row r="175">
      <c r="B175" s="7" t="n"/>
      <c r="C175" s="7" t="n"/>
      <c r="D175" s="7" t="n"/>
      <c r="E175" s="7" t="n"/>
      <c r="F175" s="10" t="n"/>
      <c r="G175" s="7" t="n"/>
      <c r="H175" s="10" t="n"/>
      <c r="I175" s="10" t="n"/>
      <c r="J175" s="10" t="n"/>
      <c r="K175" s="6" t="n"/>
      <c r="L175" s="8">
        <f>IF(A175="","",B175*F175+G175)</f>
        <v/>
      </c>
      <c r="M175" s="9">
        <f>IF(A175="","",IFERROR((C175+D175+E175)/B175,0))</f>
        <v/>
      </c>
      <c r="N175" s="9">
        <f>IF(A175="","",IFERROR(L175/B175,0)+H175)</f>
        <v/>
      </c>
      <c r="O175" s="9">
        <f>IF(A175="","",M175+N175)</f>
        <v/>
      </c>
      <c r="P175" s="9">
        <f>IF(A175="","",IF(B175&gt;0,1-O175-I175,0))</f>
        <v/>
      </c>
      <c r="Q175" s="8">
        <f>IF(A175="","",B175*P175)</f>
        <v/>
      </c>
      <c r="R175" s="9">
        <f>IF(A175="","",IF(B175&gt;0,P175-J175,0))</f>
        <v/>
      </c>
      <c r="S175" s="8">
        <f>IF(A175="","",B175*R175)</f>
        <v/>
      </c>
      <c r="T175" s="11">
        <f>IF(A175="","",IF(K175&gt;0,S175*K175,""))</f>
        <v/>
      </c>
      <c r="U175" s="11">
        <f>IF(A175="","",IFERROR(B175/Q175,0))</f>
        <v/>
      </c>
      <c r="V175" s="4">
        <f>IF(A175="","",IF(OR(S175&lt;=0,Q175&lt;=0),"Drop",IF(P175&gt;=0.6,"Profit product",IF(P175&gt;=0.5,"Traffic product","Thin - rework"))))</f>
        <v/>
      </c>
    </row>
    <row r="176">
      <c r="B176" s="7" t="n"/>
      <c r="C176" s="7" t="n"/>
      <c r="D176" s="7" t="n"/>
      <c r="E176" s="7" t="n"/>
      <c r="F176" s="10" t="n"/>
      <c r="G176" s="7" t="n"/>
      <c r="H176" s="10" t="n"/>
      <c r="I176" s="10" t="n"/>
      <c r="J176" s="10" t="n"/>
      <c r="K176" s="6" t="n"/>
      <c r="L176" s="8">
        <f>IF(A176="","",B176*F176+G176)</f>
        <v/>
      </c>
      <c r="M176" s="9">
        <f>IF(A176="","",IFERROR((C176+D176+E176)/B176,0))</f>
        <v/>
      </c>
      <c r="N176" s="9">
        <f>IF(A176="","",IFERROR(L176/B176,0)+H176)</f>
        <v/>
      </c>
      <c r="O176" s="9">
        <f>IF(A176="","",M176+N176)</f>
        <v/>
      </c>
      <c r="P176" s="9">
        <f>IF(A176="","",IF(B176&gt;0,1-O176-I176,0))</f>
        <v/>
      </c>
      <c r="Q176" s="8">
        <f>IF(A176="","",B176*P176)</f>
        <v/>
      </c>
      <c r="R176" s="9">
        <f>IF(A176="","",IF(B176&gt;0,P176-J176,0))</f>
        <v/>
      </c>
      <c r="S176" s="8">
        <f>IF(A176="","",B176*R176)</f>
        <v/>
      </c>
      <c r="T176" s="11">
        <f>IF(A176="","",IF(K176&gt;0,S176*K176,""))</f>
        <v/>
      </c>
      <c r="U176" s="11">
        <f>IF(A176="","",IFERROR(B176/Q176,0))</f>
        <v/>
      </c>
      <c r="V176" s="4">
        <f>IF(A176="","",IF(OR(S176&lt;=0,Q176&lt;=0),"Drop",IF(P176&gt;=0.6,"Profit product",IF(P176&gt;=0.5,"Traffic product","Thin - rework"))))</f>
        <v/>
      </c>
    </row>
    <row r="177">
      <c r="B177" s="7" t="n"/>
      <c r="C177" s="7" t="n"/>
      <c r="D177" s="7" t="n"/>
      <c r="E177" s="7" t="n"/>
      <c r="F177" s="10" t="n"/>
      <c r="G177" s="7" t="n"/>
      <c r="H177" s="10" t="n"/>
      <c r="I177" s="10" t="n"/>
      <c r="J177" s="10" t="n"/>
      <c r="K177" s="6" t="n"/>
      <c r="L177" s="8">
        <f>IF(A177="","",B177*F177+G177)</f>
        <v/>
      </c>
      <c r="M177" s="9">
        <f>IF(A177="","",IFERROR((C177+D177+E177)/B177,0))</f>
        <v/>
      </c>
      <c r="N177" s="9">
        <f>IF(A177="","",IFERROR(L177/B177,0)+H177)</f>
        <v/>
      </c>
      <c r="O177" s="9">
        <f>IF(A177="","",M177+N177)</f>
        <v/>
      </c>
      <c r="P177" s="9">
        <f>IF(A177="","",IF(B177&gt;0,1-O177-I177,0))</f>
        <v/>
      </c>
      <c r="Q177" s="8">
        <f>IF(A177="","",B177*P177)</f>
        <v/>
      </c>
      <c r="R177" s="9">
        <f>IF(A177="","",IF(B177&gt;0,P177-J177,0))</f>
        <v/>
      </c>
      <c r="S177" s="8">
        <f>IF(A177="","",B177*R177)</f>
        <v/>
      </c>
      <c r="T177" s="11">
        <f>IF(A177="","",IF(K177&gt;0,S177*K177,""))</f>
        <v/>
      </c>
      <c r="U177" s="11">
        <f>IF(A177="","",IFERROR(B177/Q177,0))</f>
        <v/>
      </c>
      <c r="V177" s="4">
        <f>IF(A177="","",IF(OR(S177&lt;=0,Q177&lt;=0),"Drop",IF(P177&gt;=0.6,"Profit product",IF(P177&gt;=0.5,"Traffic product","Thin - rework"))))</f>
        <v/>
      </c>
    </row>
    <row r="178">
      <c r="B178" s="7" t="n"/>
      <c r="C178" s="7" t="n"/>
      <c r="D178" s="7" t="n"/>
      <c r="E178" s="7" t="n"/>
      <c r="F178" s="10" t="n"/>
      <c r="G178" s="7" t="n"/>
      <c r="H178" s="10" t="n"/>
      <c r="I178" s="10" t="n"/>
      <c r="J178" s="10" t="n"/>
      <c r="K178" s="6" t="n"/>
      <c r="L178" s="8">
        <f>IF(A178="","",B178*F178+G178)</f>
        <v/>
      </c>
      <c r="M178" s="9">
        <f>IF(A178="","",IFERROR((C178+D178+E178)/B178,0))</f>
        <v/>
      </c>
      <c r="N178" s="9">
        <f>IF(A178="","",IFERROR(L178/B178,0)+H178)</f>
        <v/>
      </c>
      <c r="O178" s="9">
        <f>IF(A178="","",M178+N178)</f>
        <v/>
      </c>
      <c r="P178" s="9">
        <f>IF(A178="","",IF(B178&gt;0,1-O178-I178,0))</f>
        <v/>
      </c>
      <c r="Q178" s="8">
        <f>IF(A178="","",B178*P178)</f>
        <v/>
      </c>
      <c r="R178" s="9">
        <f>IF(A178="","",IF(B178&gt;0,P178-J178,0))</f>
        <v/>
      </c>
      <c r="S178" s="8">
        <f>IF(A178="","",B178*R178)</f>
        <v/>
      </c>
      <c r="T178" s="11">
        <f>IF(A178="","",IF(K178&gt;0,S178*K178,""))</f>
        <v/>
      </c>
      <c r="U178" s="11">
        <f>IF(A178="","",IFERROR(B178/Q178,0))</f>
        <v/>
      </c>
      <c r="V178" s="4">
        <f>IF(A178="","",IF(OR(S178&lt;=0,Q178&lt;=0),"Drop",IF(P178&gt;=0.6,"Profit product",IF(P178&gt;=0.5,"Traffic product","Thin - rework"))))</f>
        <v/>
      </c>
    </row>
    <row r="179">
      <c r="B179" s="7" t="n"/>
      <c r="C179" s="7" t="n"/>
      <c r="D179" s="7" t="n"/>
      <c r="E179" s="7" t="n"/>
      <c r="F179" s="10" t="n"/>
      <c r="G179" s="7" t="n"/>
      <c r="H179" s="10" t="n"/>
      <c r="I179" s="10" t="n"/>
      <c r="J179" s="10" t="n"/>
      <c r="K179" s="6" t="n"/>
      <c r="L179" s="8">
        <f>IF(A179="","",B179*F179+G179)</f>
        <v/>
      </c>
      <c r="M179" s="9">
        <f>IF(A179="","",IFERROR((C179+D179+E179)/B179,0))</f>
        <v/>
      </c>
      <c r="N179" s="9">
        <f>IF(A179="","",IFERROR(L179/B179,0)+H179)</f>
        <v/>
      </c>
      <c r="O179" s="9">
        <f>IF(A179="","",M179+N179)</f>
        <v/>
      </c>
      <c r="P179" s="9">
        <f>IF(A179="","",IF(B179&gt;0,1-O179-I179,0))</f>
        <v/>
      </c>
      <c r="Q179" s="8">
        <f>IF(A179="","",B179*P179)</f>
        <v/>
      </c>
      <c r="R179" s="9">
        <f>IF(A179="","",IF(B179&gt;0,P179-J179,0))</f>
        <v/>
      </c>
      <c r="S179" s="8">
        <f>IF(A179="","",B179*R179)</f>
        <v/>
      </c>
      <c r="T179" s="11">
        <f>IF(A179="","",IF(K179&gt;0,S179*K179,""))</f>
        <v/>
      </c>
      <c r="U179" s="11">
        <f>IF(A179="","",IFERROR(B179/Q179,0))</f>
        <v/>
      </c>
      <c r="V179" s="4">
        <f>IF(A179="","",IF(OR(S179&lt;=0,Q179&lt;=0),"Drop",IF(P179&gt;=0.6,"Profit product",IF(P179&gt;=0.5,"Traffic product","Thin - rework"))))</f>
        <v/>
      </c>
    </row>
    <row r="180">
      <c r="B180" s="7" t="n"/>
      <c r="C180" s="7" t="n"/>
      <c r="D180" s="7" t="n"/>
      <c r="E180" s="7" t="n"/>
      <c r="F180" s="10" t="n"/>
      <c r="G180" s="7" t="n"/>
      <c r="H180" s="10" t="n"/>
      <c r="I180" s="10" t="n"/>
      <c r="J180" s="10" t="n"/>
      <c r="K180" s="6" t="n"/>
      <c r="L180" s="8">
        <f>IF(A180="","",B180*F180+G180)</f>
        <v/>
      </c>
      <c r="M180" s="9">
        <f>IF(A180="","",IFERROR((C180+D180+E180)/B180,0))</f>
        <v/>
      </c>
      <c r="N180" s="9">
        <f>IF(A180="","",IFERROR(L180/B180,0)+H180)</f>
        <v/>
      </c>
      <c r="O180" s="9">
        <f>IF(A180="","",M180+N180)</f>
        <v/>
      </c>
      <c r="P180" s="9">
        <f>IF(A180="","",IF(B180&gt;0,1-O180-I180,0))</f>
        <v/>
      </c>
      <c r="Q180" s="8">
        <f>IF(A180="","",B180*P180)</f>
        <v/>
      </c>
      <c r="R180" s="9">
        <f>IF(A180="","",IF(B180&gt;0,P180-J180,0))</f>
        <v/>
      </c>
      <c r="S180" s="8">
        <f>IF(A180="","",B180*R180)</f>
        <v/>
      </c>
      <c r="T180" s="11">
        <f>IF(A180="","",IF(K180&gt;0,S180*K180,""))</f>
        <v/>
      </c>
      <c r="U180" s="11">
        <f>IF(A180="","",IFERROR(B180/Q180,0))</f>
        <v/>
      </c>
      <c r="V180" s="4">
        <f>IF(A180="","",IF(OR(S180&lt;=0,Q180&lt;=0),"Drop",IF(P180&gt;=0.6,"Profit product",IF(P180&gt;=0.5,"Traffic product","Thin - rework"))))</f>
        <v/>
      </c>
    </row>
    <row r="181">
      <c r="B181" s="7" t="n"/>
      <c r="C181" s="7" t="n"/>
      <c r="D181" s="7" t="n"/>
      <c r="E181" s="7" t="n"/>
      <c r="F181" s="10" t="n"/>
      <c r="G181" s="7" t="n"/>
      <c r="H181" s="10" t="n"/>
      <c r="I181" s="10" t="n"/>
      <c r="J181" s="10" t="n"/>
      <c r="K181" s="6" t="n"/>
      <c r="L181" s="8">
        <f>IF(A181="","",B181*F181+G181)</f>
        <v/>
      </c>
      <c r="M181" s="9">
        <f>IF(A181="","",IFERROR((C181+D181+E181)/B181,0))</f>
        <v/>
      </c>
      <c r="N181" s="9">
        <f>IF(A181="","",IFERROR(L181/B181,0)+H181)</f>
        <v/>
      </c>
      <c r="O181" s="9">
        <f>IF(A181="","",M181+N181)</f>
        <v/>
      </c>
      <c r="P181" s="9">
        <f>IF(A181="","",IF(B181&gt;0,1-O181-I181,0))</f>
        <v/>
      </c>
      <c r="Q181" s="8">
        <f>IF(A181="","",B181*P181)</f>
        <v/>
      </c>
      <c r="R181" s="9">
        <f>IF(A181="","",IF(B181&gt;0,P181-J181,0))</f>
        <v/>
      </c>
      <c r="S181" s="8">
        <f>IF(A181="","",B181*R181)</f>
        <v/>
      </c>
      <c r="T181" s="11">
        <f>IF(A181="","",IF(K181&gt;0,S181*K181,""))</f>
        <v/>
      </c>
      <c r="U181" s="11">
        <f>IF(A181="","",IFERROR(B181/Q181,0))</f>
        <v/>
      </c>
      <c r="V181" s="4">
        <f>IF(A181="","",IF(OR(S181&lt;=0,Q181&lt;=0),"Drop",IF(P181&gt;=0.6,"Profit product",IF(P181&gt;=0.5,"Traffic product","Thin - rework"))))</f>
        <v/>
      </c>
    </row>
    <row r="182">
      <c r="B182" s="7" t="n"/>
      <c r="C182" s="7" t="n"/>
      <c r="D182" s="7" t="n"/>
      <c r="E182" s="7" t="n"/>
      <c r="F182" s="10" t="n"/>
      <c r="G182" s="7" t="n"/>
      <c r="H182" s="10" t="n"/>
      <c r="I182" s="10" t="n"/>
      <c r="J182" s="10" t="n"/>
      <c r="K182" s="6" t="n"/>
      <c r="L182" s="8">
        <f>IF(A182="","",B182*F182+G182)</f>
        <v/>
      </c>
      <c r="M182" s="9">
        <f>IF(A182="","",IFERROR((C182+D182+E182)/B182,0))</f>
        <v/>
      </c>
      <c r="N182" s="9">
        <f>IF(A182="","",IFERROR(L182/B182,0)+H182)</f>
        <v/>
      </c>
      <c r="O182" s="9">
        <f>IF(A182="","",M182+N182)</f>
        <v/>
      </c>
      <c r="P182" s="9">
        <f>IF(A182="","",IF(B182&gt;0,1-O182-I182,0))</f>
        <v/>
      </c>
      <c r="Q182" s="8">
        <f>IF(A182="","",B182*P182)</f>
        <v/>
      </c>
      <c r="R182" s="9">
        <f>IF(A182="","",IF(B182&gt;0,P182-J182,0))</f>
        <v/>
      </c>
      <c r="S182" s="8">
        <f>IF(A182="","",B182*R182)</f>
        <v/>
      </c>
      <c r="T182" s="11">
        <f>IF(A182="","",IF(K182&gt;0,S182*K182,""))</f>
        <v/>
      </c>
      <c r="U182" s="11">
        <f>IF(A182="","",IFERROR(B182/Q182,0))</f>
        <v/>
      </c>
      <c r="V182" s="4">
        <f>IF(A182="","",IF(OR(S182&lt;=0,Q182&lt;=0),"Drop",IF(P182&gt;=0.6,"Profit product",IF(P182&gt;=0.5,"Traffic product","Thin - rework"))))</f>
        <v/>
      </c>
    </row>
    <row r="183">
      <c r="B183" s="7" t="n"/>
      <c r="C183" s="7" t="n"/>
      <c r="D183" s="7" t="n"/>
      <c r="E183" s="7" t="n"/>
      <c r="F183" s="10" t="n"/>
      <c r="G183" s="7" t="n"/>
      <c r="H183" s="10" t="n"/>
      <c r="I183" s="10" t="n"/>
      <c r="J183" s="10" t="n"/>
      <c r="K183" s="6" t="n"/>
      <c r="L183" s="8">
        <f>IF(A183="","",B183*F183+G183)</f>
        <v/>
      </c>
      <c r="M183" s="9">
        <f>IF(A183="","",IFERROR((C183+D183+E183)/B183,0))</f>
        <v/>
      </c>
      <c r="N183" s="9">
        <f>IF(A183="","",IFERROR(L183/B183,0)+H183)</f>
        <v/>
      </c>
      <c r="O183" s="9">
        <f>IF(A183="","",M183+N183)</f>
        <v/>
      </c>
      <c r="P183" s="9">
        <f>IF(A183="","",IF(B183&gt;0,1-O183-I183,0))</f>
        <v/>
      </c>
      <c r="Q183" s="8">
        <f>IF(A183="","",B183*P183)</f>
        <v/>
      </c>
      <c r="R183" s="9">
        <f>IF(A183="","",IF(B183&gt;0,P183-J183,0))</f>
        <v/>
      </c>
      <c r="S183" s="8">
        <f>IF(A183="","",B183*R183)</f>
        <v/>
      </c>
      <c r="T183" s="11">
        <f>IF(A183="","",IF(K183&gt;0,S183*K183,""))</f>
        <v/>
      </c>
      <c r="U183" s="11">
        <f>IF(A183="","",IFERROR(B183/Q183,0))</f>
        <v/>
      </c>
      <c r="V183" s="4">
        <f>IF(A183="","",IF(OR(S183&lt;=0,Q183&lt;=0),"Drop",IF(P183&gt;=0.6,"Profit product",IF(P183&gt;=0.5,"Traffic product","Thin - rework"))))</f>
        <v/>
      </c>
    </row>
    <row r="184">
      <c r="B184" s="7" t="n"/>
      <c r="C184" s="7" t="n"/>
      <c r="D184" s="7" t="n"/>
      <c r="E184" s="7" t="n"/>
      <c r="F184" s="10" t="n"/>
      <c r="G184" s="7" t="n"/>
      <c r="H184" s="10" t="n"/>
      <c r="I184" s="10" t="n"/>
      <c r="J184" s="10" t="n"/>
      <c r="K184" s="6" t="n"/>
      <c r="L184" s="8">
        <f>IF(A184="","",B184*F184+G184)</f>
        <v/>
      </c>
      <c r="M184" s="9">
        <f>IF(A184="","",IFERROR((C184+D184+E184)/B184,0))</f>
        <v/>
      </c>
      <c r="N184" s="9">
        <f>IF(A184="","",IFERROR(L184/B184,0)+H184)</f>
        <v/>
      </c>
      <c r="O184" s="9">
        <f>IF(A184="","",M184+N184)</f>
        <v/>
      </c>
      <c r="P184" s="9">
        <f>IF(A184="","",IF(B184&gt;0,1-O184-I184,0))</f>
        <v/>
      </c>
      <c r="Q184" s="8">
        <f>IF(A184="","",B184*P184)</f>
        <v/>
      </c>
      <c r="R184" s="9">
        <f>IF(A184="","",IF(B184&gt;0,P184-J184,0))</f>
        <v/>
      </c>
      <c r="S184" s="8">
        <f>IF(A184="","",B184*R184)</f>
        <v/>
      </c>
      <c r="T184" s="11">
        <f>IF(A184="","",IF(K184&gt;0,S184*K184,""))</f>
        <v/>
      </c>
      <c r="U184" s="11">
        <f>IF(A184="","",IFERROR(B184/Q184,0))</f>
        <v/>
      </c>
      <c r="V184" s="4">
        <f>IF(A184="","",IF(OR(S184&lt;=0,Q184&lt;=0),"Drop",IF(P184&gt;=0.6,"Profit product",IF(P184&gt;=0.5,"Traffic product","Thin - rework"))))</f>
        <v/>
      </c>
    </row>
    <row r="185">
      <c r="B185" s="7" t="n"/>
      <c r="C185" s="7" t="n"/>
      <c r="D185" s="7" t="n"/>
      <c r="E185" s="7" t="n"/>
      <c r="F185" s="10" t="n"/>
      <c r="G185" s="7" t="n"/>
      <c r="H185" s="10" t="n"/>
      <c r="I185" s="10" t="n"/>
      <c r="J185" s="10" t="n"/>
      <c r="K185" s="6" t="n"/>
      <c r="L185" s="8">
        <f>IF(A185="","",B185*F185+G185)</f>
        <v/>
      </c>
      <c r="M185" s="9">
        <f>IF(A185="","",IFERROR((C185+D185+E185)/B185,0))</f>
        <v/>
      </c>
      <c r="N185" s="9">
        <f>IF(A185="","",IFERROR(L185/B185,0)+H185)</f>
        <v/>
      </c>
      <c r="O185" s="9">
        <f>IF(A185="","",M185+N185)</f>
        <v/>
      </c>
      <c r="P185" s="9">
        <f>IF(A185="","",IF(B185&gt;0,1-O185-I185,0))</f>
        <v/>
      </c>
      <c r="Q185" s="8">
        <f>IF(A185="","",B185*P185)</f>
        <v/>
      </c>
      <c r="R185" s="9">
        <f>IF(A185="","",IF(B185&gt;0,P185-J185,0))</f>
        <v/>
      </c>
      <c r="S185" s="8">
        <f>IF(A185="","",B185*R185)</f>
        <v/>
      </c>
      <c r="T185" s="11">
        <f>IF(A185="","",IF(K185&gt;0,S185*K185,""))</f>
        <v/>
      </c>
      <c r="U185" s="11">
        <f>IF(A185="","",IFERROR(B185/Q185,0))</f>
        <v/>
      </c>
      <c r="V185" s="4">
        <f>IF(A185="","",IF(OR(S185&lt;=0,Q185&lt;=0),"Drop",IF(P185&gt;=0.6,"Profit product",IF(P185&gt;=0.5,"Traffic product","Thin - rework"))))</f>
        <v/>
      </c>
    </row>
    <row r="186">
      <c r="B186" s="7" t="n"/>
      <c r="C186" s="7" t="n"/>
      <c r="D186" s="7" t="n"/>
      <c r="E186" s="7" t="n"/>
      <c r="F186" s="10" t="n"/>
      <c r="G186" s="7" t="n"/>
      <c r="H186" s="10" t="n"/>
      <c r="I186" s="10" t="n"/>
      <c r="J186" s="10" t="n"/>
      <c r="K186" s="6" t="n"/>
      <c r="L186" s="8">
        <f>IF(A186="","",B186*F186+G186)</f>
        <v/>
      </c>
      <c r="M186" s="9">
        <f>IF(A186="","",IFERROR((C186+D186+E186)/B186,0))</f>
        <v/>
      </c>
      <c r="N186" s="9">
        <f>IF(A186="","",IFERROR(L186/B186,0)+H186)</f>
        <v/>
      </c>
      <c r="O186" s="9">
        <f>IF(A186="","",M186+N186)</f>
        <v/>
      </c>
      <c r="P186" s="9">
        <f>IF(A186="","",IF(B186&gt;0,1-O186-I186,0))</f>
        <v/>
      </c>
      <c r="Q186" s="8">
        <f>IF(A186="","",B186*P186)</f>
        <v/>
      </c>
      <c r="R186" s="9">
        <f>IF(A186="","",IF(B186&gt;0,P186-J186,0))</f>
        <v/>
      </c>
      <c r="S186" s="8">
        <f>IF(A186="","",B186*R186)</f>
        <v/>
      </c>
      <c r="T186" s="11">
        <f>IF(A186="","",IF(K186&gt;0,S186*K186,""))</f>
        <v/>
      </c>
      <c r="U186" s="11">
        <f>IF(A186="","",IFERROR(B186/Q186,0))</f>
        <v/>
      </c>
      <c r="V186" s="4">
        <f>IF(A186="","",IF(OR(S186&lt;=0,Q186&lt;=0),"Drop",IF(P186&gt;=0.6,"Profit product",IF(P186&gt;=0.5,"Traffic product","Thin - rework"))))</f>
        <v/>
      </c>
    </row>
    <row r="187">
      <c r="B187" s="7" t="n"/>
      <c r="C187" s="7" t="n"/>
      <c r="D187" s="7" t="n"/>
      <c r="E187" s="7" t="n"/>
      <c r="F187" s="10" t="n"/>
      <c r="G187" s="7" t="n"/>
      <c r="H187" s="10" t="n"/>
      <c r="I187" s="10" t="n"/>
      <c r="J187" s="10" t="n"/>
      <c r="K187" s="6" t="n"/>
      <c r="L187" s="8">
        <f>IF(A187="","",B187*F187+G187)</f>
        <v/>
      </c>
      <c r="M187" s="9">
        <f>IF(A187="","",IFERROR((C187+D187+E187)/B187,0))</f>
        <v/>
      </c>
      <c r="N187" s="9">
        <f>IF(A187="","",IFERROR(L187/B187,0)+H187)</f>
        <v/>
      </c>
      <c r="O187" s="9">
        <f>IF(A187="","",M187+N187)</f>
        <v/>
      </c>
      <c r="P187" s="9">
        <f>IF(A187="","",IF(B187&gt;0,1-O187-I187,0))</f>
        <v/>
      </c>
      <c r="Q187" s="8">
        <f>IF(A187="","",B187*P187)</f>
        <v/>
      </c>
      <c r="R187" s="9">
        <f>IF(A187="","",IF(B187&gt;0,P187-J187,0))</f>
        <v/>
      </c>
      <c r="S187" s="8">
        <f>IF(A187="","",B187*R187)</f>
        <v/>
      </c>
      <c r="T187" s="11">
        <f>IF(A187="","",IF(K187&gt;0,S187*K187,""))</f>
        <v/>
      </c>
      <c r="U187" s="11">
        <f>IF(A187="","",IFERROR(B187/Q187,0))</f>
        <v/>
      </c>
      <c r="V187" s="4">
        <f>IF(A187="","",IF(OR(S187&lt;=0,Q187&lt;=0),"Drop",IF(P187&gt;=0.6,"Profit product",IF(P187&gt;=0.5,"Traffic product","Thin - rework"))))</f>
        <v/>
      </c>
    </row>
    <row r="188">
      <c r="B188" s="7" t="n"/>
      <c r="C188" s="7" t="n"/>
      <c r="D188" s="7" t="n"/>
      <c r="E188" s="7" t="n"/>
      <c r="F188" s="10" t="n"/>
      <c r="G188" s="7" t="n"/>
      <c r="H188" s="10" t="n"/>
      <c r="I188" s="10" t="n"/>
      <c r="J188" s="10" t="n"/>
      <c r="K188" s="6" t="n"/>
      <c r="L188" s="8">
        <f>IF(A188="","",B188*F188+G188)</f>
        <v/>
      </c>
      <c r="M188" s="9">
        <f>IF(A188="","",IFERROR((C188+D188+E188)/B188,0))</f>
        <v/>
      </c>
      <c r="N188" s="9">
        <f>IF(A188="","",IFERROR(L188/B188,0)+H188)</f>
        <v/>
      </c>
      <c r="O188" s="9">
        <f>IF(A188="","",M188+N188)</f>
        <v/>
      </c>
      <c r="P188" s="9">
        <f>IF(A188="","",IF(B188&gt;0,1-O188-I188,0))</f>
        <v/>
      </c>
      <c r="Q188" s="8">
        <f>IF(A188="","",B188*P188)</f>
        <v/>
      </c>
      <c r="R188" s="9">
        <f>IF(A188="","",IF(B188&gt;0,P188-J188,0))</f>
        <v/>
      </c>
      <c r="S188" s="8">
        <f>IF(A188="","",B188*R188)</f>
        <v/>
      </c>
      <c r="T188" s="11">
        <f>IF(A188="","",IF(K188&gt;0,S188*K188,""))</f>
        <v/>
      </c>
      <c r="U188" s="11">
        <f>IF(A188="","",IFERROR(B188/Q188,0))</f>
        <v/>
      </c>
      <c r="V188" s="4">
        <f>IF(A188="","",IF(OR(S188&lt;=0,Q188&lt;=0),"Drop",IF(P188&gt;=0.6,"Profit product",IF(P188&gt;=0.5,"Traffic product","Thin - rework"))))</f>
        <v/>
      </c>
    </row>
    <row r="189">
      <c r="B189" s="7" t="n"/>
      <c r="C189" s="7" t="n"/>
      <c r="D189" s="7" t="n"/>
      <c r="E189" s="7" t="n"/>
      <c r="F189" s="10" t="n"/>
      <c r="G189" s="7" t="n"/>
      <c r="H189" s="10" t="n"/>
      <c r="I189" s="10" t="n"/>
      <c r="J189" s="10" t="n"/>
      <c r="K189" s="6" t="n"/>
      <c r="L189" s="8">
        <f>IF(A189="","",B189*F189+G189)</f>
        <v/>
      </c>
      <c r="M189" s="9">
        <f>IF(A189="","",IFERROR((C189+D189+E189)/B189,0))</f>
        <v/>
      </c>
      <c r="N189" s="9">
        <f>IF(A189="","",IFERROR(L189/B189,0)+H189)</f>
        <v/>
      </c>
      <c r="O189" s="9">
        <f>IF(A189="","",M189+N189)</f>
        <v/>
      </c>
      <c r="P189" s="9">
        <f>IF(A189="","",IF(B189&gt;0,1-O189-I189,0))</f>
        <v/>
      </c>
      <c r="Q189" s="8">
        <f>IF(A189="","",B189*P189)</f>
        <v/>
      </c>
      <c r="R189" s="9">
        <f>IF(A189="","",IF(B189&gt;0,P189-J189,0))</f>
        <v/>
      </c>
      <c r="S189" s="8">
        <f>IF(A189="","",B189*R189)</f>
        <v/>
      </c>
      <c r="T189" s="11">
        <f>IF(A189="","",IF(K189&gt;0,S189*K189,""))</f>
        <v/>
      </c>
      <c r="U189" s="11">
        <f>IF(A189="","",IFERROR(B189/Q189,0))</f>
        <v/>
      </c>
      <c r="V189" s="4">
        <f>IF(A189="","",IF(OR(S189&lt;=0,Q189&lt;=0),"Drop",IF(P189&gt;=0.6,"Profit product",IF(P189&gt;=0.5,"Traffic product","Thin - rework"))))</f>
        <v/>
      </c>
    </row>
    <row r="190">
      <c r="B190" s="7" t="n"/>
      <c r="C190" s="7" t="n"/>
      <c r="D190" s="7" t="n"/>
      <c r="E190" s="7" t="n"/>
      <c r="F190" s="10" t="n"/>
      <c r="G190" s="7" t="n"/>
      <c r="H190" s="10" t="n"/>
      <c r="I190" s="10" t="n"/>
      <c r="J190" s="10" t="n"/>
      <c r="K190" s="6" t="n"/>
      <c r="L190" s="8">
        <f>IF(A190="","",B190*F190+G190)</f>
        <v/>
      </c>
      <c r="M190" s="9">
        <f>IF(A190="","",IFERROR((C190+D190+E190)/B190,0))</f>
        <v/>
      </c>
      <c r="N190" s="9">
        <f>IF(A190="","",IFERROR(L190/B190,0)+H190)</f>
        <v/>
      </c>
      <c r="O190" s="9">
        <f>IF(A190="","",M190+N190)</f>
        <v/>
      </c>
      <c r="P190" s="9">
        <f>IF(A190="","",IF(B190&gt;0,1-O190-I190,0))</f>
        <v/>
      </c>
      <c r="Q190" s="8">
        <f>IF(A190="","",B190*P190)</f>
        <v/>
      </c>
      <c r="R190" s="9">
        <f>IF(A190="","",IF(B190&gt;0,P190-J190,0))</f>
        <v/>
      </c>
      <c r="S190" s="8">
        <f>IF(A190="","",B190*R190)</f>
        <v/>
      </c>
      <c r="T190" s="11">
        <f>IF(A190="","",IF(K190&gt;0,S190*K190,""))</f>
        <v/>
      </c>
      <c r="U190" s="11">
        <f>IF(A190="","",IFERROR(B190/Q190,0))</f>
        <v/>
      </c>
      <c r="V190" s="4">
        <f>IF(A190="","",IF(OR(S190&lt;=0,Q190&lt;=0),"Drop",IF(P190&gt;=0.6,"Profit product",IF(P190&gt;=0.5,"Traffic product","Thin - rework"))))</f>
        <v/>
      </c>
    </row>
    <row r="191">
      <c r="B191" s="7" t="n"/>
      <c r="C191" s="7" t="n"/>
      <c r="D191" s="7" t="n"/>
      <c r="E191" s="7" t="n"/>
      <c r="F191" s="10" t="n"/>
      <c r="G191" s="7" t="n"/>
      <c r="H191" s="10" t="n"/>
      <c r="I191" s="10" t="n"/>
      <c r="J191" s="10" t="n"/>
      <c r="K191" s="6" t="n"/>
      <c r="L191" s="8">
        <f>IF(A191="","",B191*F191+G191)</f>
        <v/>
      </c>
      <c r="M191" s="9">
        <f>IF(A191="","",IFERROR((C191+D191+E191)/B191,0))</f>
        <v/>
      </c>
      <c r="N191" s="9">
        <f>IF(A191="","",IFERROR(L191/B191,0)+H191)</f>
        <v/>
      </c>
      <c r="O191" s="9">
        <f>IF(A191="","",M191+N191)</f>
        <v/>
      </c>
      <c r="P191" s="9">
        <f>IF(A191="","",IF(B191&gt;0,1-O191-I191,0))</f>
        <v/>
      </c>
      <c r="Q191" s="8">
        <f>IF(A191="","",B191*P191)</f>
        <v/>
      </c>
      <c r="R191" s="9">
        <f>IF(A191="","",IF(B191&gt;0,P191-J191,0))</f>
        <v/>
      </c>
      <c r="S191" s="8">
        <f>IF(A191="","",B191*R191)</f>
        <v/>
      </c>
      <c r="T191" s="11">
        <f>IF(A191="","",IF(K191&gt;0,S191*K191,""))</f>
        <v/>
      </c>
      <c r="U191" s="11">
        <f>IF(A191="","",IFERROR(B191/Q191,0))</f>
        <v/>
      </c>
      <c r="V191" s="4">
        <f>IF(A191="","",IF(OR(S191&lt;=0,Q191&lt;=0),"Drop",IF(P191&gt;=0.6,"Profit product",IF(P191&gt;=0.5,"Traffic product","Thin - rework"))))</f>
        <v/>
      </c>
    </row>
    <row r="192">
      <c r="B192" s="7" t="n"/>
      <c r="C192" s="7" t="n"/>
      <c r="D192" s="7" t="n"/>
      <c r="E192" s="7" t="n"/>
      <c r="F192" s="10" t="n"/>
      <c r="G192" s="7" t="n"/>
      <c r="H192" s="10" t="n"/>
      <c r="I192" s="10" t="n"/>
      <c r="J192" s="10" t="n"/>
      <c r="K192" s="6" t="n"/>
      <c r="L192" s="8">
        <f>IF(A192="","",B192*F192+G192)</f>
        <v/>
      </c>
      <c r="M192" s="9">
        <f>IF(A192="","",IFERROR((C192+D192+E192)/B192,0))</f>
        <v/>
      </c>
      <c r="N192" s="9">
        <f>IF(A192="","",IFERROR(L192/B192,0)+H192)</f>
        <v/>
      </c>
      <c r="O192" s="9">
        <f>IF(A192="","",M192+N192)</f>
        <v/>
      </c>
      <c r="P192" s="9">
        <f>IF(A192="","",IF(B192&gt;0,1-O192-I192,0))</f>
        <v/>
      </c>
      <c r="Q192" s="8">
        <f>IF(A192="","",B192*P192)</f>
        <v/>
      </c>
      <c r="R192" s="9">
        <f>IF(A192="","",IF(B192&gt;0,P192-J192,0))</f>
        <v/>
      </c>
      <c r="S192" s="8">
        <f>IF(A192="","",B192*R192)</f>
        <v/>
      </c>
      <c r="T192" s="11">
        <f>IF(A192="","",IF(K192&gt;0,S192*K192,""))</f>
        <v/>
      </c>
      <c r="U192" s="11">
        <f>IF(A192="","",IFERROR(B192/Q192,0))</f>
        <v/>
      </c>
      <c r="V192" s="4">
        <f>IF(A192="","",IF(OR(S192&lt;=0,Q192&lt;=0),"Drop",IF(P192&gt;=0.6,"Profit product",IF(P192&gt;=0.5,"Traffic product","Thin - rework"))))</f>
        <v/>
      </c>
    </row>
    <row r="193">
      <c r="B193" s="7" t="n"/>
      <c r="C193" s="7" t="n"/>
      <c r="D193" s="7" t="n"/>
      <c r="E193" s="7" t="n"/>
      <c r="F193" s="10" t="n"/>
      <c r="G193" s="7" t="n"/>
      <c r="H193" s="10" t="n"/>
      <c r="I193" s="10" t="n"/>
      <c r="J193" s="10" t="n"/>
      <c r="K193" s="6" t="n"/>
      <c r="L193" s="8">
        <f>IF(A193="","",B193*F193+G193)</f>
        <v/>
      </c>
      <c r="M193" s="9">
        <f>IF(A193="","",IFERROR((C193+D193+E193)/B193,0))</f>
        <v/>
      </c>
      <c r="N193" s="9">
        <f>IF(A193="","",IFERROR(L193/B193,0)+H193)</f>
        <v/>
      </c>
      <c r="O193" s="9">
        <f>IF(A193="","",M193+N193)</f>
        <v/>
      </c>
      <c r="P193" s="9">
        <f>IF(A193="","",IF(B193&gt;0,1-O193-I193,0))</f>
        <v/>
      </c>
      <c r="Q193" s="8">
        <f>IF(A193="","",B193*P193)</f>
        <v/>
      </c>
      <c r="R193" s="9">
        <f>IF(A193="","",IF(B193&gt;0,P193-J193,0))</f>
        <v/>
      </c>
      <c r="S193" s="8">
        <f>IF(A193="","",B193*R193)</f>
        <v/>
      </c>
      <c r="T193" s="11">
        <f>IF(A193="","",IF(K193&gt;0,S193*K193,""))</f>
        <v/>
      </c>
      <c r="U193" s="11">
        <f>IF(A193="","",IFERROR(B193/Q193,0))</f>
        <v/>
      </c>
      <c r="V193" s="4">
        <f>IF(A193="","",IF(OR(S193&lt;=0,Q193&lt;=0),"Drop",IF(P193&gt;=0.6,"Profit product",IF(P193&gt;=0.5,"Traffic product","Thin - rework"))))</f>
        <v/>
      </c>
    </row>
    <row r="194">
      <c r="B194" s="7" t="n"/>
      <c r="C194" s="7" t="n"/>
      <c r="D194" s="7" t="n"/>
      <c r="E194" s="7" t="n"/>
      <c r="F194" s="10" t="n"/>
      <c r="G194" s="7" t="n"/>
      <c r="H194" s="10" t="n"/>
      <c r="I194" s="10" t="n"/>
      <c r="J194" s="10" t="n"/>
      <c r="K194" s="6" t="n"/>
      <c r="L194" s="8">
        <f>IF(A194="","",B194*F194+G194)</f>
        <v/>
      </c>
      <c r="M194" s="9">
        <f>IF(A194="","",IFERROR((C194+D194+E194)/B194,0))</f>
        <v/>
      </c>
      <c r="N194" s="9">
        <f>IF(A194="","",IFERROR(L194/B194,0)+H194)</f>
        <v/>
      </c>
      <c r="O194" s="9">
        <f>IF(A194="","",M194+N194)</f>
        <v/>
      </c>
      <c r="P194" s="9">
        <f>IF(A194="","",IF(B194&gt;0,1-O194-I194,0))</f>
        <v/>
      </c>
      <c r="Q194" s="8">
        <f>IF(A194="","",B194*P194)</f>
        <v/>
      </c>
      <c r="R194" s="9">
        <f>IF(A194="","",IF(B194&gt;0,P194-J194,0))</f>
        <v/>
      </c>
      <c r="S194" s="8">
        <f>IF(A194="","",B194*R194)</f>
        <v/>
      </c>
      <c r="T194" s="11">
        <f>IF(A194="","",IF(K194&gt;0,S194*K194,""))</f>
        <v/>
      </c>
      <c r="U194" s="11">
        <f>IF(A194="","",IFERROR(B194/Q194,0))</f>
        <v/>
      </c>
      <c r="V194" s="4">
        <f>IF(A194="","",IF(OR(S194&lt;=0,Q194&lt;=0),"Drop",IF(P194&gt;=0.6,"Profit product",IF(P194&gt;=0.5,"Traffic product","Thin - rework"))))</f>
        <v/>
      </c>
    </row>
    <row r="195">
      <c r="B195" s="7" t="n"/>
      <c r="C195" s="7" t="n"/>
      <c r="D195" s="7" t="n"/>
      <c r="E195" s="7" t="n"/>
      <c r="F195" s="10" t="n"/>
      <c r="G195" s="7" t="n"/>
      <c r="H195" s="10" t="n"/>
      <c r="I195" s="10" t="n"/>
      <c r="J195" s="10" t="n"/>
      <c r="K195" s="6" t="n"/>
      <c r="L195" s="8">
        <f>IF(A195="","",B195*F195+G195)</f>
        <v/>
      </c>
      <c r="M195" s="9">
        <f>IF(A195="","",IFERROR((C195+D195+E195)/B195,0))</f>
        <v/>
      </c>
      <c r="N195" s="9">
        <f>IF(A195="","",IFERROR(L195/B195,0)+H195)</f>
        <v/>
      </c>
      <c r="O195" s="9">
        <f>IF(A195="","",M195+N195)</f>
        <v/>
      </c>
      <c r="P195" s="9">
        <f>IF(A195="","",IF(B195&gt;0,1-O195-I195,0))</f>
        <v/>
      </c>
      <c r="Q195" s="8">
        <f>IF(A195="","",B195*P195)</f>
        <v/>
      </c>
      <c r="R195" s="9">
        <f>IF(A195="","",IF(B195&gt;0,P195-J195,0))</f>
        <v/>
      </c>
      <c r="S195" s="8">
        <f>IF(A195="","",B195*R195)</f>
        <v/>
      </c>
      <c r="T195" s="11">
        <f>IF(A195="","",IF(K195&gt;0,S195*K195,""))</f>
        <v/>
      </c>
      <c r="U195" s="11">
        <f>IF(A195="","",IFERROR(B195/Q195,0))</f>
        <v/>
      </c>
      <c r="V195" s="4">
        <f>IF(A195="","",IF(OR(S195&lt;=0,Q195&lt;=0),"Drop",IF(P195&gt;=0.6,"Profit product",IF(P195&gt;=0.5,"Traffic product","Thin - rework"))))</f>
        <v/>
      </c>
    </row>
    <row r="196">
      <c r="B196" s="7" t="n"/>
      <c r="C196" s="7" t="n"/>
      <c r="D196" s="7" t="n"/>
      <c r="E196" s="7" t="n"/>
      <c r="F196" s="10" t="n"/>
      <c r="G196" s="7" t="n"/>
      <c r="H196" s="10" t="n"/>
      <c r="I196" s="10" t="n"/>
      <c r="J196" s="10" t="n"/>
      <c r="K196" s="6" t="n"/>
      <c r="L196" s="8">
        <f>IF(A196="","",B196*F196+G196)</f>
        <v/>
      </c>
      <c r="M196" s="9">
        <f>IF(A196="","",IFERROR((C196+D196+E196)/B196,0))</f>
        <v/>
      </c>
      <c r="N196" s="9">
        <f>IF(A196="","",IFERROR(L196/B196,0)+H196)</f>
        <v/>
      </c>
      <c r="O196" s="9">
        <f>IF(A196="","",M196+N196)</f>
        <v/>
      </c>
      <c r="P196" s="9">
        <f>IF(A196="","",IF(B196&gt;0,1-O196-I196,0))</f>
        <v/>
      </c>
      <c r="Q196" s="8">
        <f>IF(A196="","",B196*P196)</f>
        <v/>
      </c>
      <c r="R196" s="9">
        <f>IF(A196="","",IF(B196&gt;0,P196-J196,0))</f>
        <v/>
      </c>
      <c r="S196" s="8">
        <f>IF(A196="","",B196*R196)</f>
        <v/>
      </c>
      <c r="T196" s="11">
        <f>IF(A196="","",IF(K196&gt;0,S196*K196,""))</f>
        <v/>
      </c>
      <c r="U196" s="11">
        <f>IF(A196="","",IFERROR(B196/Q196,0))</f>
        <v/>
      </c>
      <c r="V196" s="4">
        <f>IF(A196="","",IF(OR(S196&lt;=0,Q196&lt;=0),"Drop",IF(P196&gt;=0.6,"Profit product",IF(P196&gt;=0.5,"Traffic product","Thin - rework"))))</f>
        <v/>
      </c>
    </row>
    <row r="197">
      <c r="B197" s="7" t="n"/>
      <c r="C197" s="7" t="n"/>
      <c r="D197" s="7" t="n"/>
      <c r="E197" s="7" t="n"/>
      <c r="F197" s="10" t="n"/>
      <c r="G197" s="7" t="n"/>
      <c r="H197" s="10" t="n"/>
      <c r="I197" s="10" t="n"/>
      <c r="J197" s="10" t="n"/>
      <c r="K197" s="6" t="n"/>
      <c r="L197" s="8">
        <f>IF(A197="","",B197*F197+G197)</f>
        <v/>
      </c>
      <c r="M197" s="9">
        <f>IF(A197="","",IFERROR((C197+D197+E197)/B197,0))</f>
        <v/>
      </c>
      <c r="N197" s="9">
        <f>IF(A197="","",IFERROR(L197/B197,0)+H197)</f>
        <v/>
      </c>
      <c r="O197" s="9">
        <f>IF(A197="","",M197+N197)</f>
        <v/>
      </c>
      <c r="P197" s="9">
        <f>IF(A197="","",IF(B197&gt;0,1-O197-I197,0))</f>
        <v/>
      </c>
      <c r="Q197" s="8">
        <f>IF(A197="","",B197*P197)</f>
        <v/>
      </c>
      <c r="R197" s="9">
        <f>IF(A197="","",IF(B197&gt;0,P197-J197,0))</f>
        <v/>
      </c>
      <c r="S197" s="8">
        <f>IF(A197="","",B197*R197)</f>
        <v/>
      </c>
      <c r="T197" s="11">
        <f>IF(A197="","",IF(K197&gt;0,S197*K197,""))</f>
        <v/>
      </c>
      <c r="U197" s="11">
        <f>IF(A197="","",IFERROR(B197/Q197,0))</f>
        <v/>
      </c>
      <c r="V197" s="4">
        <f>IF(A197="","",IF(OR(S197&lt;=0,Q197&lt;=0),"Drop",IF(P197&gt;=0.6,"Profit product",IF(P197&gt;=0.5,"Traffic product","Thin - rework"))))</f>
        <v/>
      </c>
    </row>
    <row r="198">
      <c r="B198" s="7" t="n"/>
      <c r="C198" s="7" t="n"/>
      <c r="D198" s="7" t="n"/>
      <c r="E198" s="7" t="n"/>
      <c r="F198" s="10" t="n"/>
      <c r="G198" s="7" t="n"/>
      <c r="H198" s="10" t="n"/>
      <c r="I198" s="10" t="n"/>
      <c r="J198" s="10" t="n"/>
      <c r="K198" s="6" t="n"/>
      <c r="L198" s="8">
        <f>IF(A198="","",B198*F198+G198)</f>
        <v/>
      </c>
      <c r="M198" s="9">
        <f>IF(A198="","",IFERROR((C198+D198+E198)/B198,0))</f>
        <v/>
      </c>
      <c r="N198" s="9">
        <f>IF(A198="","",IFERROR(L198/B198,0)+H198)</f>
        <v/>
      </c>
      <c r="O198" s="9">
        <f>IF(A198="","",M198+N198)</f>
        <v/>
      </c>
      <c r="P198" s="9">
        <f>IF(A198="","",IF(B198&gt;0,1-O198-I198,0))</f>
        <v/>
      </c>
      <c r="Q198" s="8">
        <f>IF(A198="","",B198*P198)</f>
        <v/>
      </c>
      <c r="R198" s="9">
        <f>IF(A198="","",IF(B198&gt;0,P198-J198,0))</f>
        <v/>
      </c>
      <c r="S198" s="8">
        <f>IF(A198="","",B198*R198)</f>
        <v/>
      </c>
      <c r="T198" s="11">
        <f>IF(A198="","",IF(K198&gt;0,S198*K198,""))</f>
        <v/>
      </c>
      <c r="U198" s="11">
        <f>IF(A198="","",IFERROR(B198/Q198,0))</f>
        <v/>
      </c>
      <c r="V198" s="4">
        <f>IF(A198="","",IF(OR(S198&lt;=0,Q198&lt;=0),"Drop",IF(P198&gt;=0.6,"Profit product",IF(P198&gt;=0.5,"Traffic product","Thin - rework"))))</f>
        <v/>
      </c>
    </row>
    <row r="199">
      <c r="B199" s="7" t="n"/>
      <c r="C199" s="7" t="n"/>
      <c r="D199" s="7" t="n"/>
      <c r="E199" s="7" t="n"/>
      <c r="F199" s="10" t="n"/>
      <c r="G199" s="7" t="n"/>
      <c r="H199" s="10" t="n"/>
      <c r="I199" s="10" t="n"/>
      <c r="J199" s="10" t="n"/>
      <c r="K199" s="6" t="n"/>
      <c r="L199" s="8">
        <f>IF(A199="","",B199*F199+G199)</f>
        <v/>
      </c>
      <c r="M199" s="9">
        <f>IF(A199="","",IFERROR((C199+D199+E199)/B199,0))</f>
        <v/>
      </c>
      <c r="N199" s="9">
        <f>IF(A199="","",IFERROR(L199/B199,0)+H199)</f>
        <v/>
      </c>
      <c r="O199" s="9">
        <f>IF(A199="","",M199+N199)</f>
        <v/>
      </c>
      <c r="P199" s="9">
        <f>IF(A199="","",IF(B199&gt;0,1-O199-I199,0))</f>
        <v/>
      </c>
      <c r="Q199" s="8">
        <f>IF(A199="","",B199*P199)</f>
        <v/>
      </c>
      <c r="R199" s="9">
        <f>IF(A199="","",IF(B199&gt;0,P199-J199,0))</f>
        <v/>
      </c>
      <c r="S199" s="8">
        <f>IF(A199="","",B199*R199)</f>
        <v/>
      </c>
      <c r="T199" s="11">
        <f>IF(A199="","",IF(K199&gt;0,S199*K199,""))</f>
        <v/>
      </c>
      <c r="U199" s="11">
        <f>IF(A199="","",IFERROR(B199/Q199,0))</f>
        <v/>
      </c>
      <c r="V199" s="4">
        <f>IF(A199="","",IF(OR(S199&lt;=0,Q199&lt;=0),"Drop",IF(P199&gt;=0.6,"Profit product",IF(P199&gt;=0.5,"Traffic product","Thin - rework"))))</f>
        <v/>
      </c>
    </row>
    <row r="200">
      <c r="B200" s="7" t="n"/>
      <c r="C200" s="7" t="n"/>
      <c r="D200" s="7" t="n"/>
      <c r="E200" s="7" t="n"/>
      <c r="F200" s="10" t="n"/>
      <c r="G200" s="7" t="n"/>
      <c r="H200" s="10" t="n"/>
      <c r="I200" s="10" t="n"/>
      <c r="J200" s="10" t="n"/>
      <c r="K200" s="6" t="n"/>
      <c r="L200" s="8">
        <f>IF(A200="","",B200*F200+G200)</f>
        <v/>
      </c>
      <c r="M200" s="9">
        <f>IF(A200="","",IFERROR((C200+D200+E200)/B200,0))</f>
        <v/>
      </c>
      <c r="N200" s="9">
        <f>IF(A200="","",IFERROR(L200/B200,0)+H200)</f>
        <v/>
      </c>
      <c r="O200" s="9">
        <f>IF(A200="","",M200+N200)</f>
        <v/>
      </c>
      <c r="P200" s="9">
        <f>IF(A200="","",IF(B200&gt;0,1-O200-I200,0))</f>
        <v/>
      </c>
      <c r="Q200" s="8">
        <f>IF(A200="","",B200*P200)</f>
        <v/>
      </c>
      <c r="R200" s="9">
        <f>IF(A200="","",IF(B200&gt;0,P200-J200,0))</f>
        <v/>
      </c>
      <c r="S200" s="8">
        <f>IF(A200="","",B200*R200)</f>
        <v/>
      </c>
      <c r="T200" s="11">
        <f>IF(A200="","",IF(K200&gt;0,S200*K200,""))</f>
        <v/>
      </c>
      <c r="U200" s="11">
        <f>IF(A200="","",IFERROR(B200/Q200,0))</f>
        <v/>
      </c>
      <c r="V200" s="4">
        <f>IF(A200="","",IF(OR(S200&lt;=0,Q200&lt;=0),"Drop",IF(P200&gt;=0.6,"Profit product",IF(P200&gt;=0.5,"Traffic product","Thin - rework"))))</f>
        <v/>
      </c>
    </row>
    <row r="201">
      <c r="B201" s="7" t="n"/>
      <c r="C201" s="7" t="n"/>
      <c r="D201" s="7" t="n"/>
      <c r="E201" s="7" t="n"/>
      <c r="F201" s="10" t="n"/>
      <c r="G201" s="7" t="n"/>
      <c r="H201" s="10" t="n"/>
      <c r="I201" s="10" t="n"/>
      <c r="J201" s="10" t="n"/>
      <c r="K201" s="6" t="n"/>
      <c r="L201" s="8">
        <f>IF(A201="","",B201*F201+G201)</f>
        <v/>
      </c>
      <c r="M201" s="9">
        <f>IF(A201="","",IFERROR((C201+D201+E201)/B201,0))</f>
        <v/>
      </c>
      <c r="N201" s="9">
        <f>IF(A201="","",IFERROR(L201/B201,0)+H201)</f>
        <v/>
      </c>
      <c r="O201" s="9">
        <f>IF(A201="","",M201+N201)</f>
        <v/>
      </c>
      <c r="P201" s="9">
        <f>IF(A201="","",IF(B201&gt;0,1-O201-I201,0))</f>
        <v/>
      </c>
      <c r="Q201" s="8">
        <f>IF(A201="","",B201*P201)</f>
        <v/>
      </c>
      <c r="R201" s="9">
        <f>IF(A201="","",IF(B201&gt;0,P201-J201,0))</f>
        <v/>
      </c>
      <c r="S201" s="8">
        <f>IF(A201="","",B201*R201)</f>
        <v/>
      </c>
      <c r="T201" s="11">
        <f>IF(A201="","",IF(K201&gt;0,S201*K201,""))</f>
        <v/>
      </c>
      <c r="U201" s="11">
        <f>IF(A201="","",IFERROR(B201/Q201,0))</f>
        <v/>
      </c>
      <c r="V201" s="4">
        <f>IF(A201="","",IF(OR(S201&lt;=0,Q201&lt;=0),"Drop",IF(P201&gt;=0.6,"Profit product",IF(P201&gt;=0.5,"Traffic product","Thin - rework"))))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.42857142857143" customWidth="1" min="1" max="1"/>
    <col width="15.71428571428571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28.57142857142857" customWidth="1" min="11" max="11"/>
  </cols>
  <sheetData>
    <row r="1" ht="48" customHeight="1">
      <c r="A1" s="1" t="inlineStr">
        <is>
          <t>Selling point</t>
        </is>
      </c>
      <c r="B1" s="1" t="inlineStr">
        <is>
          <t>Grade</t>
        </is>
      </c>
      <c r="C1" s="1" t="inlineStr">
        <is>
          <t>Customer pain (paraphrased)</t>
        </is>
      </c>
      <c r="D1" s="1" t="inlineStr">
        <is>
          <t>Segment</t>
        </is>
      </c>
      <c r="E1" s="1" t="inlineStr">
        <is>
          <t>Test week</t>
        </is>
      </c>
      <c r="F1" s="1" t="inlineStr">
        <is>
          <t>Videos tested</t>
        </is>
      </c>
      <c r="G1" s="1" t="inlineStr">
        <is>
          <t>Views</t>
        </is>
      </c>
      <c r="H1" s="1" t="inlineStr">
        <is>
          <t>Orders</t>
        </is>
      </c>
      <c r="I1" s="2" t="inlineStr">
        <is>
          <t>Orders / 10k views ƒ</t>
        </is>
      </c>
      <c r="J1" s="1" t="inlineStr">
        <is>
          <t>Status</t>
        </is>
      </c>
      <c r="K1" s="1" t="inlineStr">
        <is>
          <t>Learning</t>
        </is>
      </c>
    </row>
    <row r="2">
      <c r="A2" t="inlineStr">
        <is>
          <t>Example: salon result in 10 min</t>
        </is>
      </c>
      <c r="B2" t="inlineStr">
        <is>
          <t>S</t>
        </is>
      </c>
      <c r="C2" t="inlineStr">
        <is>
          <t>Paid for salon twice, curls fell out</t>
        </is>
      </c>
      <c r="D2" t="inlineStr">
        <is>
          <t>Busy professionals</t>
        </is>
      </c>
      <c r="E2" t="n">
        <v>1</v>
      </c>
      <c r="F2" t="n">
        <v>6</v>
      </c>
      <c r="G2" t="n">
        <v>42000</v>
      </c>
      <c r="H2" t="n">
        <v>31</v>
      </c>
      <c r="I2" s="11">
        <f>IF(A2="","",IFERROR(H2/G2*10000,0))</f>
        <v/>
      </c>
      <c r="J2" t="inlineStr">
        <is>
          <t>Testing</t>
        </is>
      </c>
    </row>
    <row r="3">
      <c r="I3" s="11">
        <f>IF(A3="","",IFERROR(H3/G3*10000,0))</f>
        <v/>
      </c>
    </row>
    <row r="4">
      <c r="I4" s="11">
        <f>IF(A4="","",IFERROR(H4/G4*10000,0))</f>
        <v/>
      </c>
    </row>
    <row r="5">
      <c r="I5" s="11">
        <f>IF(A5="","",IFERROR(H5/G5*10000,0))</f>
        <v/>
      </c>
    </row>
    <row r="6">
      <c r="I6" s="11">
        <f>IF(A6="","",IFERROR(H6/G6*10000,0))</f>
        <v/>
      </c>
    </row>
    <row r="7">
      <c r="I7" s="11">
        <f>IF(A7="","",IFERROR(H7/G7*10000,0))</f>
        <v/>
      </c>
    </row>
    <row r="8">
      <c r="I8" s="11">
        <f>IF(A8="","",IFERROR(H8/G8*10000,0))</f>
        <v/>
      </c>
    </row>
    <row r="9">
      <c r="I9" s="11">
        <f>IF(A9="","",IFERROR(H9/G9*10000,0))</f>
        <v/>
      </c>
    </row>
    <row r="10">
      <c r="I10" s="11">
        <f>IF(A10="","",IFERROR(H10/G10*10000,0))</f>
        <v/>
      </c>
    </row>
    <row r="11">
      <c r="I11" s="11">
        <f>IF(A11="","",IFERROR(H11/G11*10000,0))</f>
        <v/>
      </c>
    </row>
    <row r="12">
      <c r="I12" s="11">
        <f>IF(A12="","",IFERROR(H12/G12*10000,0))</f>
        <v/>
      </c>
    </row>
    <row r="13">
      <c r="I13" s="11">
        <f>IF(A13="","",IFERROR(H13/G13*10000,0))</f>
        <v/>
      </c>
    </row>
    <row r="14">
      <c r="I14" s="11">
        <f>IF(A14="","",IFERROR(H14/G14*10000,0))</f>
        <v/>
      </c>
    </row>
    <row r="15">
      <c r="I15" s="11">
        <f>IF(A15="","",IFERROR(H15/G15*10000,0))</f>
        <v/>
      </c>
    </row>
    <row r="16">
      <c r="I16" s="11">
        <f>IF(A16="","",IFERROR(H16/G16*10000,0))</f>
        <v/>
      </c>
    </row>
    <row r="17">
      <c r="I17" s="11">
        <f>IF(A17="","",IFERROR(H17/G17*10000,0))</f>
        <v/>
      </c>
    </row>
    <row r="18">
      <c r="I18" s="11">
        <f>IF(A18="","",IFERROR(H18/G18*10000,0))</f>
        <v/>
      </c>
    </row>
    <row r="19">
      <c r="I19" s="11">
        <f>IF(A19="","",IFERROR(H19/G19*10000,0))</f>
        <v/>
      </c>
    </row>
    <row r="20">
      <c r="I20" s="11">
        <f>IF(A20="","",IFERROR(H20/G20*10000,0))</f>
        <v/>
      </c>
    </row>
    <row r="21">
      <c r="I21" s="11">
        <f>IF(A21="","",IFERROR(H21/G21*10000,0))</f>
        <v/>
      </c>
    </row>
    <row r="22">
      <c r="I22" s="11">
        <f>IF(A22="","",IFERROR(H22/G22*10000,0))</f>
        <v/>
      </c>
    </row>
    <row r="23">
      <c r="I23" s="11">
        <f>IF(A23="","",IFERROR(H23/G23*10000,0))</f>
        <v/>
      </c>
    </row>
    <row r="24">
      <c r="I24" s="11">
        <f>IF(A24="","",IFERROR(H24/G24*10000,0))</f>
        <v/>
      </c>
    </row>
    <row r="25">
      <c r="I25" s="11">
        <f>IF(A25="","",IFERROR(H25/G25*10000,0))</f>
        <v/>
      </c>
    </row>
    <row r="26">
      <c r="I26" s="11">
        <f>IF(A26="","",IFERROR(H26/G26*10000,0))</f>
        <v/>
      </c>
    </row>
    <row r="27">
      <c r="I27" s="11">
        <f>IF(A27="","",IFERROR(H27/G27*10000,0))</f>
        <v/>
      </c>
    </row>
    <row r="28">
      <c r="I28" s="11">
        <f>IF(A28="","",IFERROR(H28/G28*10000,0))</f>
        <v/>
      </c>
    </row>
    <row r="29">
      <c r="I29" s="11">
        <f>IF(A29="","",IFERROR(H29/G29*10000,0))</f>
        <v/>
      </c>
    </row>
    <row r="30">
      <c r="I30" s="11">
        <f>IF(A30="","",IFERROR(H30/G30*10000,0))</f>
        <v/>
      </c>
    </row>
    <row r="31">
      <c r="I31" s="11">
        <f>IF(A31="","",IFERROR(H31/G31*10000,0))</f>
        <v/>
      </c>
    </row>
    <row r="32">
      <c r="I32" s="11">
        <f>IF(A32="","",IFERROR(H32/G32*10000,0))</f>
        <v/>
      </c>
    </row>
    <row r="33">
      <c r="I33" s="11">
        <f>IF(A33="","",IFERROR(H33/G33*10000,0))</f>
        <v/>
      </c>
    </row>
    <row r="34">
      <c r="I34" s="11">
        <f>IF(A34="","",IFERROR(H34/G34*10000,0))</f>
        <v/>
      </c>
    </row>
    <row r="35">
      <c r="I35" s="11">
        <f>IF(A35="","",IFERROR(H35/G35*10000,0))</f>
        <v/>
      </c>
    </row>
    <row r="36">
      <c r="I36" s="11">
        <f>IF(A36="","",IFERROR(H36/G36*10000,0))</f>
        <v/>
      </c>
    </row>
    <row r="37">
      <c r="I37" s="11">
        <f>IF(A37="","",IFERROR(H37/G37*10000,0))</f>
        <v/>
      </c>
    </row>
    <row r="38">
      <c r="I38" s="11">
        <f>IF(A38="","",IFERROR(H38/G38*10000,0))</f>
        <v/>
      </c>
    </row>
    <row r="39">
      <c r="I39" s="11">
        <f>IF(A39="","",IFERROR(H39/G39*10000,0))</f>
        <v/>
      </c>
    </row>
    <row r="40">
      <c r="I40" s="11">
        <f>IF(A40="","",IFERROR(H40/G40*10000,0))</f>
        <v/>
      </c>
    </row>
    <row r="41">
      <c r="I41" s="11">
        <f>IF(A41="","",IFERROR(H41/G41*10000,0))</f>
        <v/>
      </c>
    </row>
    <row r="42">
      <c r="I42" s="11">
        <f>IF(A42="","",IFERROR(H42/G42*10000,0))</f>
        <v/>
      </c>
    </row>
    <row r="43">
      <c r="I43" s="11">
        <f>IF(A43="","",IFERROR(H43/G43*10000,0))</f>
        <v/>
      </c>
    </row>
    <row r="44">
      <c r="I44" s="11">
        <f>IF(A44="","",IFERROR(H44/G44*10000,0))</f>
        <v/>
      </c>
    </row>
    <row r="45">
      <c r="I45" s="11">
        <f>IF(A45="","",IFERROR(H45/G45*10000,0))</f>
        <v/>
      </c>
    </row>
    <row r="46">
      <c r="I46" s="11">
        <f>IF(A46="","",IFERROR(H46/G46*10000,0))</f>
        <v/>
      </c>
    </row>
    <row r="47">
      <c r="I47" s="11">
        <f>IF(A47="","",IFERROR(H47/G47*10000,0))</f>
        <v/>
      </c>
    </row>
    <row r="48">
      <c r="I48" s="11">
        <f>IF(A48="","",IFERROR(H48/G48*10000,0))</f>
        <v/>
      </c>
    </row>
    <row r="49">
      <c r="I49" s="11">
        <f>IF(A49="","",IFERROR(H49/G49*10000,0))</f>
        <v/>
      </c>
    </row>
    <row r="50">
      <c r="I50" s="11">
        <f>IF(A50="","",IFERROR(H50/G50*10000,0))</f>
        <v/>
      </c>
    </row>
    <row r="51">
      <c r="I51" s="11">
        <f>IF(A51="","",IFERROR(H51/G51*10000,0))</f>
        <v/>
      </c>
    </row>
    <row r="52">
      <c r="I52" s="11">
        <f>IF(A52="","",IFERROR(H52/G52*10000,0))</f>
        <v/>
      </c>
    </row>
    <row r="53">
      <c r="I53" s="11">
        <f>IF(A53="","",IFERROR(H53/G53*10000,0))</f>
        <v/>
      </c>
    </row>
    <row r="54">
      <c r="I54" s="11">
        <f>IF(A54="","",IFERROR(H54/G54*10000,0))</f>
        <v/>
      </c>
    </row>
    <row r="55">
      <c r="I55" s="11">
        <f>IF(A55="","",IFERROR(H55/G55*10000,0))</f>
        <v/>
      </c>
    </row>
    <row r="56">
      <c r="I56" s="11">
        <f>IF(A56="","",IFERROR(H56/G56*10000,0))</f>
        <v/>
      </c>
    </row>
    <row r="57">
      <c r="I57" s="11">
        <f>IF(A57="","",IFERROR(H57/G57*10000,0))</f>
        <v/>
      </c>
    </row>
    <row r="58">
      <c r="I58" s="11">
        <f>IF(A58="","",IFERROR(H58/G58*10000,0))</f>
        <v/>
      </c>
    </row>
    <row r="59">
      <c r="I59" s="11">
        <f>IF(A59="","",IFERROR(H59/G59*10000,0))</f>
        <v/>
      </c>
    </row>
    <row r="60">
      <c r="I60" s="11">
        <f>IF(A60="","",IFERROR(H60/G60*10000,0))</f>
        <v/>
      </c>
    </row>
    <row r="61">
      <c r="I61" s="11">
        <f>IF(A61="","",IFERROR(H61/G61*10000,0))</f>
        <v/>
      </c>
    </row>
    <row r="62">
      <c r="I62" s="11">
        <f>IF(A62="","",IFERROR(H62/G62*10000,0))</f>
        <v/>
      </c>
    </row>
    <row r="63">
      <c r="I63" s="11">
        <f>IF(A63="","",IFERROR(H63/G63*10000,0))</f>
        <v/>
      </c>
    </row>
    <row r="64">
      <c r="I64" s="11">
        <f>IF(A64="","",IFERROR(H64/G64*10000,0))</f>
        <v/>
      </c>
    </row>
    <row r="65">
      <c r="I65" s="11">
        <f>IF(A65="","",IFERROR(H65/G65*10000,0))</f>
        <v/>
      </c>
    </row>
    <row r="66">
      <c r="I66" s="11">
        <f>IF(A66="","",IFERROR(H66/G66*10000,0))</f>
        <v/>
      </c>
    </row>
    <row r="67">
      <c r="I67" s="11">
        <f>IF(A67="","",IFERROR(H67/G67*10000,0))</f>
        <v/>
      </c>
    </row>
    <row r="68">
      <c r="I68" s="11">
        <f>IF(A68="","",IFERROR(H68/G68*10000,0))</f>
        <v/>
      </c>
    </row>
    <row r="69">
      <c r="I69" s="11">
        <f>IF(A69="","",IFERROR(H69/G69*10000,0))</f>
        <v/>
      </c>
    </row>
    <row r="70">
      <c r="I70" s="11">
        <f>IF(A70="","",IFERROR(H70/G70*10000,0))</f>
        <v/>
      </c>
    </row>
    <row r="71">
      <c r="I71" s="11">
        <f>IF(A71="","",IFERROR(H71/G71*10000,0))</f>
        <v/>
      </c>
    </row>
    <row r="72">
      <c r="I72" s="11">
        <f>IF(A72="","",IFERROR(H72/G72*10000,0))</f>
        <v/>
      </c>
    </row>
    <row r="73">
      <c r="I73" s="11">
        <f>IF(A73="","",IFERROR(H73/G73*10000,0))</f>
        <v/>
      </c>
    </row>
    <row r="74">
      <c r="I74" s="11">
        <f>IF(A74="","",IFERROR(H74/G74*10000,0))</f>
        <v/>
      </c>
    </row>
    <row r="75">
      <c r="I75" s="11">
        <f>IF(A75="","",IFERROR(H75/G75*10000,0))</f>
        <v/>
      </c>
    </row>
    <row r="76">
      <c r="I76" s="11">
        <f>IF(A76="","",IFERROR(H76/G76*10000,0))</f>
        <v/>
      </c>
    </row>
    <row r="77">
      <c r="I77" s="11">
        <f>IF(A77="","",IFERROR(H77/G77*10000,0))</f>
        <v/>
      </c>
    </row>
    <row r="78">
      <c r="I78" s="11">
        <f>IF(A78="","",IFERROR(H78/G78*10000,0))</f>
        <v/>
      </c>
    </row>
    <row r="79">
      <c r="I79" s="11">
        <f>IF(A79="","",IFERROR(H79/G79*10000,0))</f>
        <v/>
      </c>
    </row>
    <row r="80">
      <c r="I80" s="11">
        <f>IF(A80="","",IFERROR(H80/G80*10000,0))</f>
        <v/>
      </c>
    </row>
    <row r="81">
      <c r="I81" s="11">
        <f>IF(A81="","",IFERROR(H81/G81*10000,0))</f>
        <v/>
      </c>
    </row>
    <row r="82">
      <c r="I82" s="11">
        <f>IF(A82="","",IFERROR(H82/G82*10000,0))</f>
        <v/>
      </c>
    </row>
    <row r="83">
      <c r="I83" s="11">
        <f>IF(A83="","",IFERROR(H83/G83*10000,0))</f>
        <v/>
      </c>
    </row>
    <row r="84">
      <c r="I84" s="11">
        <f>IF(A84="","",IFERROR(H84/G84*10000,0))</f>
        <v/>
      </c>
    </row>
    <row r="85">
      <c r="I85" s="11">
        <f>IF(A85="","",IFERROR(H85/G85*10000,0))</f>
        <v/>
      </c>
    </row>
    <row r="86">
      <c r="I86" s="11">
        <f>IF(A86="","",IFERROR(H86/G86*10000,0))</f>
        <v/>
      </c>
    </row>
    <row r="87">
      <c r="I87" s="11">
        <f>IF(A87="","",IFERROR(H87/G87*10000,0))</f>
        <v/>
      </c>
    </row>
    <row r="88">
      <c r="I88" s="11">
        <f>IF(A88="","",IFERROR(H88/G88*10000,0))</f>
        <v/>
      </c>
    </row>
    <row r="89">
      <c r="I89" s="11">
        <f>IF(A89="","",IFERROR(H89/G89*10000,0))</f>
        <v/>
      </c>
    </row>
    <row r="90">
      <c r="I90" s="11">
        <f>IF(A90="","",IFERROR(H90/G90*10000,0))</f>
        <v/>
      </c>
    </row>
    <row r="91">
      <c r="I91" s="11">
        <f>IF(A91="","",IFERROR(H91/G91*10000,0))</f>
        <v/>
      </c>
    </row>
    <row r="92">
      <c r="I92" s="11">
        <f>IF(A92="","",IFERROR(H92/G92*10000,0))</f>
        <v/>
      </c>
    </row>
    <row r="93">
      <c r="I93" s="11">
        <f>IF(A93="","",IFERROR(H93/G93*10000,0))</f>
        <v/>
      </c>
    </row>
    <row r="94">
      <c r="I94" s="11">
        <f>IF(A94="","",IFERROR(H94/G94*10000,0))</f>
        <v/>
      </c>
    </row>
    <row r="95">
      <c r="I95" s="11">
        <f>IF(A95="","",IFERROR(H95/G95*10000,0))</f>
        <v/>
      </c>
    </row>
    <row r="96">
      <c r="I96" s="11">
        <f>IF(A96="","",IFERROR(H96/G96*10000,0))</f>
        <v/>
      </c>
    </row>
    <row r="97">
      <c r="I97" s="11">
        <f>IF(A97="","",IFERROR(H97/G97*10000,0))</f>
        <v/>
      </c>
    </row>
    <row r="98">
      <c r="I98" s="11">
        <f>IF(A98="","",IFERROR(H98/G98*10000,0))</f>
        <v/>
      </c>
    </row>
    <row r="99">
      <c r="I99" s="11">
        <f>IF(A99="","",IFERROR(H99/G99*10000,0))</f>
        <v/>
      </c>
    </row>
    <row r="100">
      <c r="I100" s="11">
        <f>IF(A100="","",IFERROR(H100/G100*10000,0))</f>
        <v/>
      </c>
    </row>
    <row r="101">
      <c r="I101" s="11">
        <f>IF(A101="","",IFERROR(H101/G101*10000,0))</f>
        <v/>
      </c>
    </row>
    <row r="102">
      <c r="I102" s="11">
        <f>IF(A102="","",IFERROR(H102/G102*10000,0))</f>
        <v/>
      </c>
    </row>
    <row r="103">
      <c r="I103" s="11">
        <f>IF(A103="","",IFERROR(H103/G103*10000,0))</f>
        <v/>
      </c>
    </row>
    <row r="104">
      <c r="I104" s="11">
        <f>IF(A104="","",IFERROR(H104/G104*10000,0))</f>
        <v/>
      </c>
    </row>
    <row r="105">
      <c r="I105" s="11">
        <f>IF(A105="","",IFERROR(H105/G105*10000,0))</f>
        <v/>
      </c>
    </row>
    <row r="106">
      <c r="I106" s="11">
        <f>IF(A106="","",IFERROR(H106/G106*10000,0))</f>
        <v/>
      </c>
    </row>
    <row r="107">
      <c r="I107" s="11">
        <f>IF(A107="","",IFERROR(H107/G107*10000,0))</f>
        <v/>
      </c>
    </row>
    <row r="108">
      <c r="I108" s="11">
        <f>IF(A108="","",IFERROR(H108/G108*10000,0))</f>
        <v/>
      </c>
    </row>
    <row r="109">
      <c r="I109" s="11">
        <f>IF(A109="","",IFERROR(H109/G109*10000,0))</f>
        <v/>
      </c>
    </row>
    <row r="110">
      <c r="I110" s="11">
        <f>IF(A110="","",IFERROR(H110/G110*10000,0))</f>
        <v/>
      </c>
    </row>
    <row r="111">
      <c r="I111" s="11">
        <f>IF(A111="","",IFERROR(H111/G111*10000,0))</f>
        <v/>
      </c>
    </row>
    <row r="112">
      <c r="I112" s="11">
        <f>IF(A112="","",IFERROR(H112/G112*10000,0))</f>
        <v/>
      </c>
    </row>
    <row r="113">
      <c r="I113" s="11">
        <f>IF(A113="","",IFERROR(H113/G113*10000,0))</f>
        <v/>
      </c>
    </row>
    <row r="114">
      <c r="I114" s="11">
        <f>IF(A114="","",IFERROR(H114/G114*10000,0))</f>
        <v/>
      </c>
    </row>
    <row r="115">
      <c r="I115" s="11">
        <f>IF(A115="","",IFERROR(H115/G115*10000,0))</f>
        <v/>
      </c>
    </row>
    <row r="116">
      <c r="I116" s="11">
        <f>IF(A116="","",IFERROR(H116/G116*10000,0))</f>
        <v/>
      </c>
    </row>
    <row r="117">
      <c r="I117" s="11">
        <f>IF(A117="","",IFERROR(H117/G117*10000,0))</f>
        <v/>
      </c>
    </row>
    <row r="118">
      <c r="I118" s="11">
        <f>IF(A118="","",IFERROR(H118/G118*10000,0))</f>
        <v/>
      </c>
    </row>
    <row r="119">
      <c r="I119" s="11">
        <f>IF(A119="","",IFERROR(H119/G119*10000,0))</f>
        <v/>
      </c>
    </row>
    <row r="120">
      <c r="I120" s="11">
        <f>IF(A120="","",IFERROR(H120/G120*10000,0))</f>
        <v/>
      </c>
    </row>
    <row r="121">
      <c r="I121" s="11">
        <f>IF(A121="","",IFERROR(H121/G121*10000,0))</f>
        <v/>
      </c>
    </row>
    <row r="122">
      <c r="I122" s="11">
        <f>IF(A122="","",IFERROR(H122/G122*10000,0))</f>
        <v/>
      </c>
    </row>
    <row r="123">
      <c r="I123" s="11">
        <f>IF(A123="","",IFERROR(H123/G123*10000,0))</f>
        <v/>
      </c>
    </row>
    <row r="124">
      <c r="I124" s="11">
        <f>IF(A124="","",IFERROR(H124/G124*10000,0))</f>
        <v/>
      </c>
    </row>
    <row r="125">
      <c r="I125" s="11">
        <f>IF(A125="","",IFERROR(H125/G125*10000,0))</f>
        <v/>
      </c>
    </row>
    <row r="126">
      <c r="I126" s="11">
        <f>IF(A126="","",IFERROR(H126/G126*10000,0))</f>
        <v/>
      </c>
    </row>
    <row r="127">
      <c r="I127" s="11">
        <f>IF(A127="","",IFERROR(H127/G127*10000,0))</f>
        <v/>
      </c>
    </row>
    <row r="128">
      <c r="I128" s="11">
        <f>IF(A128="","",IFERROR(H128/G128*10000,0))</f>
        <v/>
      </c>
    </row>
    <row r="129">
      <c r="I129" s="11">
        <f>IF(A129="","",IFERROR(H129/G129*10000,0))</f>
        <v/>
      </c>
    </row>
    <row r="130">
      <c r="I130" s="11">
        <f>IF(A130="","",IFERROR(H130/G130*10000,0))</f>
        <v/>
      </c>
    </row>
    <row r="131">
      <c r="I131" s="11">
        <f>IF(A131="","",IFERROR(H131/G131*10000,0))</f>
        <v/>
      </c>
    </row>
    <row r="132">
      <c r="I132" s="11">
        <f>IF(A132="","",IFERROR(H132/G132*10000,0))</f>
        <v/>
      </c>
    </row>
    <row r="133">
      <c r="I133" s="11">
        <f>IF(A133="","",IFERROR(H133/G133*10000,0))</f>
        <v/>
      </c>
    </row>
    <row r="134">
      <c r="I134" s="11">
        <f>IF(A134="","",IFERROR(H134/G134*10000,0))</f>
        <v/>
      </c>
    </row>
    <row r="135">
      <c r="I135" s="11">
        <f>IF(A135="","",IFERROR(H135/G135*10000,0))</f>
        <v/>
      </c>
    </row>
    <row r="136">
      <c r="I136" s="11">
        <f>IF(A136="","",IFERROR(H136/G136*10000,0))</f>
        <v/>
      </c>
    </row>
    <row r="137">
      <c r="I137" s="11">
        <f>IF(A137="","",IFERROR(H137/G137*10000,0))</f>
        <v/>
      </c>
    </row>
    <row r="138">
      <c r="I138" s="11">
        <f>IF(A138="","",IFERROR(H138/G138*10000,0))</f>
        <v/>
      </c>
    </row>
    <row r="139">
      <c r="I139" s="11">
        <f>IF(A139="","",IFERROR(H139/G139*10000,0))</f>
        <v/>
      </c>
    </row>
    <row r="140">
      <c r="I140" s="11">
        <f>IF(A140="","",IFERROR(H140/G140*10000,0))</f>
        <v/>
      </c>
    </row>
    <row r="141">
      <c r="I141" s="11">
        <f>IF(A141="","",IFERROR(H141/G141*10000,0))</f>
        <v/>
      </c>
    </row>
    <row r="142">
      <c r="I142" s="11">
        <f>IF(A142="","",IFERROR(H142/G142*10000,0))</f>
        <v/>
      </c>
    </row>
    <row r="143">
      <c r="I143" s="11">
        <f>IF(A143="","",IFERROR(H143/G143*10000,0))</f>
        <v/>
      </c>
    </row>
    <row r="144">
      <c r="I144" s="11">
        <f>IF(A144="","",IFERROR(H144/G144*10000,0))</f>
        <v/>
      </c>
    </row>
    <row r="145">
      <c r="I145" s="11">
        <f>IF(A145="","",IFERROR(H145/G145*10000,0))</f>
        <v/>
      </c>
    </row>
    <row r="146">
      <c r="I146" s="11">
        <f>IF(A146="","",IFERROR(H146/G146*10000,0))</f>
        <v/>
      </c>
    </row>
    <row r="147">
      <c r="I147" s="11">
        <f>IF(A147="","",IFERROR(H147/G147*10000,0))</f>
        <v/>
      </c>
    </row>
    <row r="148">
      <c r="I148" s="11">
        <f>IF(A148="","",IFERROR(H148/G148*10000,0))</f>
        <v/>
      </c>
    </row>
    <row r="149">
      <c r="I149" s="11">
        <f>IF(A149="","",IFERROR(H149/G149*10000,0))</f>
        <v/>
      </c>
    </row>
    <row r="150">
      <c r="I150" s="11">
        <f>IF(A150="","",IFERROR(H150/G150*10000,0))</f>
        <v/>
      </c>
    </row>
    <row r="151">
      <c r="I151" s="11">
        <f>IF(A151="","",IFERROR(H151/G151*10000,0))</f>
        <v/>
      </c>
    </row>
    <row r="152">
      <c r="I152" s="11">
        <f>IF(A152="","",IFERROR(H152/G152*10000,0))</f>
        <v/>
      </c>
    </row>
    <row r="153">
      <c r="I153" s="11">
        <f>IF(A153="","",IFERROR(H153/G153*10000,0))</f>
        <v/>
      </c>
    </row>
    <row r="154">
      <c r="I154" s="11">
        <f>IF(A154="","",IFERROR(H154/G154*10000,0))</f>
        <v/>
      </c>
    </row>
    <row r="155">
      <c r="I155" s="11">
        <f>IF(A155="","",IFERROR(H155/G155*10000,0))</f>
        <v/>
      </c>
    </row>
    <row r="156">
      <c r="I156" s="11">
        <f>IF(A156="","",IFERROR(H156/G156*10000,0))</f>
        <v/>
      </c>
    </row>
    <row r="157">
      <c r="I157" s="11">
        <f>IF(A157="","",IFERROR(H157/G157*10000,0))</f>
        <v/>
      </c>
    </row>
    <row r="158">
      <c r="I158" s="11">
        <f>IF(A158="","",IFERROR(H158/G158*10000,0))</f>
        <v/>
      </c>
    </row>
    <row r="159">
      <c r="I159" s="11">
        <f>IF(A159="","",IFERROR(H159/G159*10000,0))</f>
        <v/>
      </c>
    </row>
    <row r="160">
      <c r="I160" s="11">
        <f>IF(A160="","",IFERROR(H160/G160*10000,0))</f>
        <v/>
      </c>
    </row>
    <row r="161">
      <c r="I161" s="11">
        <f>IF(A161="","",IFERROR(H161/G161*10000,0))</f>
        <v/>
      </c>
    </row>
    <row r="162">
      <c r="I162" s="11">
        <f>IF(A162="","",IFERROR(H162/G162*10000,0))</f>
        <v/>
      </c>
    </row>
    <row r="163">
      <c r="I163" s="11">
        <f>IF(A163="","",IFERROR(H163/G163*10000,0))</f>
        <v/>
      </c>
    </row>
    <row r="164">
      <c r="I164" s="11">
        <f>IF(A164="","",IFERROR(H164/G164*10000,0))</f>
        <v/>
      </c>
    </row>
    <row r="165">
      <c r="I165" s="11">
        <f>IF(A165="","",IFERROR(H165/G165*10000,0))</f>
        <v/>
      </c>
    </row>
    <row r="166">
      <c r="I166" s="11">
        <f>IF(A166="","",IFERROR(H166/G166*10000,0))</f>
        <v/>
      </c>
    </row>
    <row r="167">
      <c r="I167" s="11">
        <f>IF(A167="","",IFERROR(H167/G167*10000,0))</f>
        <v/>
      </c>
    </row>
    <row r="168">
      <c r="I168" s="11">
        <f>IF(A168="","",IFERROR(H168/G168*10000,0))</f>
        <v/>
      </c>
    </row>
    <row r="169">
      <c r="I169" s="11">
        <f>IF(A169="","",IFERROR(H169/G169*10000,0))</f>
        <v/>
      </c>
    </row>
    <row r="170">
      <c r="I170" s="11">
        <f>IF(A170="","",IFERROR(H170/G170*10000,0))</f>
        <v/>
      </c>
    </row>
    <row r="171">
      <c r="I171" s="11">
        <f>IF(A171="","",IFERROR(H171/G171*10000,0))</f>
        <v/>
      </c>
    </row>
    <row r="172">
      <c r="I172" s="11">
        <f>IF(A172="","",IFERROR(H172/G172*10000,0))</f>
        <v/>
      </c>
    </row>
    <row r="173">
      <c r="I173" s="11">
        <f>IF(A173="","",IFERROR(H173/G173*10000,0))</f>
        <v/>
      </c>
    </row>
    <row r="174">
      <c r="I174" s="11">
        <f>IF(A174="","",IFERROR(H174/G174*10000,0))</f>
        <v/>
      </c>
    </row>
    <row r="175">
      <c r="I175" s="11">
        <f>IF(A175="","",IFERROR(H175/G175*10000,0))</f>
        <v/>
      </c>
    </row>
    <row r="176">
      <c r="I176" s="11">
        <f>IF(A176="","",IFERROR(H176/G176*10000,0))</f>
        <v/>
      </c>
    </row>
    <row r="177">
      <c r="I177" s="11">
        <f>IF(A177="","",IFERROR(H177/G177*10000,0))</f>
        <v/>
      </c>
    </row>
    <row r="178">
      <c r="I178" s="11">
        <f>IF(A178="","",IFERROR(H178/G178*10000,0))</f>
        <v/>
      </c>
    </row>
    <row r="179">
      <c r="I179" s="11">
        <f>IF(A179="","",IFERROR(H179/G179*10000,0))</f>
        <v/>
      </c>
    </row>
    <row r="180">
      <c r="I180" s="11">
        <f>IF(A180="","",IFERROR(H180/G180*10000,0))</f>
        <v/>
      </c>
    </row>
    <row r="181">
      <c r="I181" s="11">
        <f>IF(A181="","",IFERROR(H181/G181*10000,0))</f>
        <v/>
      </c>
    </row>
    <row r="182">
      <c r="I182" s="11">
        <f>IF(A182="","",IFERROR(H182/G182*10000,0))</f>
        <v/>
      </c>
    </row>
    <row r="183">
      <c r="I183" s="11">
        <f>IF(A183="","",IFERROR(H183/G183*10000,0))</f>
        <v/>
      </c>
    </row>
    <row r="184">
      <c r="I184" s="11">
        <f>IF(A184="","",IFERROR(H184/G184*10000,0))</f>
        <v/>
      </c>
    </row>
    <row r="185">
      <c r="I185" s="11">
        <f>IF(A185="","",IFERROR(H185/G185*10000,0))</f>
        <v/>
      </c>
    </row>
    <row r="186">
      <c r="I186" s="11">
        <f>IF(A186="","",IFERROR(H186/G186*10000,0))</f>
        <v/>
      </c>
    </row>
    <row r="187">
      <c r="I187" s="11">
        <f>IF(A187="","",IFERROR(H187/G187*10000,0))</f>
        <v/>
      </c>
    </row>
    <row r="188">
      <c r="I188" s="11">
        <f>IF(A188="","",IFERROR(H188/G188*10000,0))</f>
        <v/>
      </c>
    </row>
    <row r="189">
      <c r="I189" s="11">
        <f>IF(A189="","",IFERROR(H189/G189*10000,0))</f>
        <v/>
      </c>
    </row>
    <row r="190">
      <c r="I190" s="11">
        <f>IF(A190="","",IFERROR(H190/G190*10000,0))</f>
        <v/>
      </c>
    </row>
    <row r="191">
      <c r="I191" s="11">
        <f>IF(A191="","",IFERROR(H191/G191*10000,0))</f>
        <v/>
      </c>
    </row>
    <row r="192">
      <c r="I192" s="11">
        <f>IF(A192="","",IFERROR(H192/G192*10000,0))</f>
        <v/>
      </c>
    </row>
    <row r="193">
      <c r="I193" s="11">
        <f>IF(A193="","",IFERROR(H193/G193*10000,0))</f>
        <v/>
      </c>
    </row>
    <row r="194">
      <c r="I194" s="11">
        <f>IF(A194="","",IFERROR(H194/G194*10000,0))</f>
        <v/>
      </c>
    </row>
    <row r="195">
      <c r="I195" s="11">
        <f>IF(A195="","",IFERROR(H195/G195*10000,0))</f>
        <v/>
      </c>
    </row>
    <row r="196">
      <c r="I196" s="11">
        <f>IF(A196="","",IFERROR(H196/G196*10000,0))</f>
        <v/>
      </c>
    </row>
    <row r="197">
      <c r="I197" s="11">
        <f>IF(A197="","",IFERROR(H197/G197*10000,0))</f>
        <v/>
      </c>
    </row>
    <row r="198">
      <c r="I198" s="11">
        <f>IF(A198="","",IFERROR(H198/G198*10000,0))</f>
        <v/>
      </c>
    </row>
    <row r="199">
      <c r="I199" s="11">
        <f>IF(A199="","",IFERROR(H199/G199*10000,0))</f>
        <v/>
      </c>
    </row>
    <row r="200">
      <c r="I200" s="11">
        <f>IF(A200="","",IFERROR(H200/G200*10000,0))</f>
        <v/>
      </c>
    </row>
    <row r="201">
      <c r="I201" s="11">
        <f>IF(A201="","",IFERROR(H201/G201*10000,0))</f>
        <v/>
      </c>
    </row>
    <row r="203">
      <c r="A203" s="5" t="inlineStr">
        <is>
          <t>TOTAL</t>
        </is>
      </c>
      <c r="F203" s="5">
        <f>SUM(F2:F201)</f>
        <v/>
      </c>
      <c r="G203" s="5">
        <f>SUM(G2:G201)</f>
        <v/>
      </c>
      <c r="H203" s="5">
        <f>SUM(H2:H201)</f>
        <v/>
      </c>
    </row>
  </sheetData>
  <dataValidations count="2">
    <dataValidation sqref="B2:B201" showDropDown="0" showInputMessage="0" showErrorMessage="0" allowBlank="1" type="list">
      <formula1>"S,A,B,C"</formula1>
    </dataValidation>
    <dataValidation sqref="J2:J201" showDropDown="0" showInputMessage="0" showErrorMessage="0" allowBlank="1" type="list">
      <formula1>"Untested,Testing,Proven,Dropped"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31.42857142857143" customWidth="1" min="10" max="10"/>
    <col width="15.71428571428571" customWidth="1" min="11" max="11"/>
  </cols>
  <sheetData>
    <row r="1" ht="48" customHeight="1">
      <c r="A1" s="1" t="inlineStr">
        <is>
          <t>ID</t>
        </is>
      </c>
      <c r="B1" s="1" t="inlineStr">
        <is>
          <t>Source URL</t>
        </is>
      </c>
      <c r="C1" s="1" t="inlineStr">
        <is>
          <t>Hook (beat A 0-3s; must hold viewers through second 6)</t>
        </is>
      </c>
      <c r="D1" s="1" t="inlineStr">
        <is>
          <t>Hook type</t>
        </is>
      </c>
      <c r="E1" s="1" t="inlineStr">
        <is>
          <t>Proof type</t>
        </is>
      </c>
      <c r="F1" s="1" t="inlineStr">
        <is>
          <t>Usage scene</t>
        </is>
      </c>
      <c r="G1" s="1" t="inlineStr">
        <is>
          <t>Call to action</t>
        </is>
      </c>
      <c r="H1" s="1" t="inlineStr">
        <is>
          <t>Script framework</t>
        </is>
      </c>
      <c r="I1" s="1" t="inlineStr">
        <is>
          <t>6s retention % (CC: ~60 of 100 → pushed to next pool)</t>
        </is>
      </c>
      <c r="J1" s="1" t="inlineStr">
        <is>
          <t>Why it worked</t>
        </is>
      </c>
      <c r="K1" s="1" t="inlineStr">
        <is>
          <t>Times reused</t>
        </is>
      </c>
    </row>
    <row r="2">
      <c r="A2" t="inlineStr">
        <is>
          <t>H1</t>
        </is>
      </c>
      <c r="C2" t="inlineStr">
        <is>
          <t>Close-up: 'I stopped paying for this every month'</t>
        </is>
      </c>
      <c r="D2" t="inlineStr">
        <is>
          <t>Pain escalation</t>
        </is>
      </c>
      <c r="E2" t="inlineStr">
        <is>
          <t>Before/after</t>
        </is>
      </c>
      <c r="F2" t="inlineStr">
        <is>
          <t>Bathroom mirror</t>
        </is>
      </c>
      <c r="G2" t="inlineStr">
        <is>
          <t>Tap the cart, launch price today</t>
        </is>
      </c>
      <c r="H2" t="inlineStr">
        <is>
          <t>Pain-agitate-solve</t>
        </is>
      </c>
      <c r="I2" s="10" t="n">
        <v>0.48</v>
      </c>
      <c r="J2" t="inlineStr">
        <is>
          <t>Face-close emotion + money pain</t>
        </is>
      </c>
      <c r="K2" t="n">
        <v>3</v>
      </c>
    </row>
    <row r="3">
      <c r="I3" s="10" t="n"/>
    </row>
    <row r="4">
      <c r="I4" s="10" t="n"/>
    </row>
    <row r="5">
      <c r="I5" s="10" t="n"/>
    </row>
    <row r="6">
      <c r="I6" s="10" t="n"/>
    </row>
    <row r="7">
      <c r="I7" s="10" t="n"/>
    </row>
    <row r="8">
      <c r="I8" s="10" t="n"/>
    </row>
    <row r="9">
      <c r="I9" s="10" t="n"/>
    </row>
    <row r="10">
      <c r="I10" s="10" t="n"/>
    </row>
    <row r="11">
      <c r="I11" s="10" t="n"/>
    </row>
    <row r="12">
      <c r="I12" s="10" t="n"/>
    </row>
    <row r="13">
      <c r="I13" s="10" t="n"/>
    </row>
    <row r="14">
      <c r="I14" s="10" t="n"/>
    </row>
    <row r="15">
      <c r="I15" s="10" t="n"/>
    </row>
    <row r="16">
      <c r="I16" s="10" t="n"/>
    </row>
    <row r="17">
      <c r="I17" s="10" t="n"/>
    </row>
    <row r="18">
      <c r="I18" s="10" t="n"/>
    </row>
    <row r="19">
      <c r="I19" s="10" t="n"/>
    </row>
    <row r="20">
      <c r="I20" s="10" t="n"/>
    </row>
    <row r="21">
      <c r="I21" s="10" t="n"/>
    </row>
    <row r="22">
      <c r="I22" s="10" t="n"/>
    </row>
    <row r="23">
      <c r="I23" s="10" t="n"/>
    </row>
    <row r="24">
      <c r="I24" s="10" t="n"/>
    </row>
    <row r="25">
      <c r="I25" s="10" t="n"/>
    </row>
    <row r="26">
      <c r="I26" s="10" t="n"/>
    </row>
    <row r="27">
      <c r="I27" s="10" t="n"/>
    </row>
    <row r="28">
      <c r="I28" s="10" t="n"/>
    </row>
    <row r="29">
      <c r="I29" s="10" t="n"/>
    </row>
    <row r="30">
      <c r="I30" s="10" t="n"/>
    </row>
    <row r="31">
      <c r="I31" s="10" t="n"/>
    </row>
    <row r="32">
      <c r="I32" s="10" t="n"/>
    </row>
    <row r="33">
      <c r="I33" s="10" t="n"/>
    </row>
    <row r="34">
      <c r="I34" s="10" t="n"/>
    </row>
    <row r="35">
      <c r="I35" s="10" t="n"/>
    </row>
    <row r="36">
      <c r="I36" s="10" t="n"/>
    </row>
    <row r="37">
      <c r="I37" s="10" t="n"/>
    </row>
    <row r="38">
      <c r="I38" s="10" t="n"/>
    </row>
    <row r="39">
      <c r="I39" s="10" t="n"/>
    </row>
    <row r="40">
      <c r="I40" s="10" t="n"/>
    </row>
    <row r="41">
      <c r="I41" s="10" t="n"/>
    </row>
    <row r="42">
      <c r="I42" s="10" t="n"/>
    </row>
    <row r="43">
      <c r="I43" s="10" t="n"/>
    </row>
    <row r="44">
      <c r="I44" s="10" t="n"/>
    </row>
    <row r="45">
      <c r="I45" s="10" t="n"/>
    </row>
    <row r="46">
      <c r="I46" s="10" t="n"/>
    </row>
    <row r="47">
      <c r="I47" s="10" t="n"/>
    </row>
    <row r="48">
      <c r="I48" s="10" t="n"/>
    </row>
    <row r="49">
      <c r="I49" s="10" t="n"/>
    </row>
    <row r="50">
      <c r="I50" s="10" t="n"/>
    </row>
    <row r="51">
      <c r="I51" s="10" t="n"/>
    </row>
    <row r="52">
      <c r="I52" s="10" t="n"/>
    </row>
    <row r="53">
      <c r="I53" s="10" t="n"/>
    </row>
    <row r="54">
      <c r="I54" s="10" t="n"/>
    </row>
    <row r="55">
      <c r="I55" s="10" t="n"/>
    </row>
    <row r="56">
      <c r="I56" s="10" t="n"/>
    </row>
    <row r="57">
      <c r="I57" s="10" t="n"/>
    </row>
    <row r="58">
      <c r="I58" s="10" t="n"/>
    </row>
    <row r="59">
      <c r="I59" s="10" t="n"/>
    </row>
    <row r="60">
      <c r="I60" s="10" t="n"/>
    </row>
    <row r="61">
      <c r="I61" s="10" t="n"/>
    </row>
    <row r="62">
      <c r="I62" s="10" t="n"/>
    </row>
    <row r="63">
      <c r="I63" s="10" t="n"/>
    </row>
    <row r="64">
      <c r="I64" s="10" t="n"/>
    </row>
    <row r="65">
      <c r="I65" s="10" t="n"/>
    </row>
    <row r="66">
      <c r="I66" s="10" t="n"/>
    </row>
    <row r="67">
      <c r="I67" s="10" t="n"/>
    </row>
    <row r="68">
      <c r="I68" s="10" t="n"/>
    </row>
    <row r="69">
      <c r="I69" s="10" t="n"/>
    </row>
    <row r="70">
      <c r="I70" s="10" t="n"/>
    </row>
    <row r="71">
      <c r="I71" s="10" t="n"/>
    </row>
    <row r="72">
      <c r="I72" s="10" t="n"/>
    </row>
    <row r="73">
      <c r="I73" s="10" t="n"/>
    </row>
    <row r="74">
      <c r="I74" s="10" t="n"/>
    </row>
    <row r="75">
      <c r="I75" s="10" t="n"/>
    </row>
    <row r="76">
      <c r="I76" s="10" t="n"/>
    </row>
    <row r="77">
      <c r="I77" s="10" t="n"/>
    </row>
    <row r="78">
      <c r="I78" s="10" t="n"/>
    </row>
    <row r="79">
      <c r="I79" s="10" t="n"/>
    </row>
    <row r="80">
      <c r="I80" s="10" t="n"/>
    </row>
    <row r="81">
      <c r="I81" s="10" t="n"/>
    </row>
    <row r="82">
      <c r="I82" s="10" t="n"/>
    </row>
    <row r="83">
      <c r="I83" s="10" t="n"/>
    </row>
    <row r="84">
      <c r="I84" s="10" t="n"/>
    </row>
    <row r="85">
      <c r="I85" s="10" t="n"/>
    </row>
    <row r="86">
      <c r="I86" s="10" t="n"/>
    </row>
    <row r="87">
      <c r="I87" s="10" t="n"/>
    </row>
    <row r="88">
      <c r="I88" s="10" t="n"/>
    </row>
    <row r="89">
      <c r="I89" s="10" t="n"/>
    </row>
    <row r="90">
      <c r="I90" s="10" t="n"/>
    </row>
    <row r="91">
      <c r="I91" s="10" t="n"/>
    </row>
    <row r="92">
      <c r="I92" s="10" t="n"/>
    </row>
    <row r="93">
      <c r="I93" s="10" t="n"/>
    </row>
    <row r="94">
      <c r="I94" s="10" t="n"/>
    </row>
    <row r="95">
      <c r="I95" s="10" t="n"/>
    </row>
    <row r="96">
      <c r="I96" s="10" t="n"/>
    </row>
    <row r="97">
      <c r="I97" s="10" t="n"/>
    </row>
    <row r="98">
      <c r="I98" s="10" t="n"/>
    </row>
    <row r="99">
      <c r="I99" s="10" t="n"/>
    </row>
    <row r="100">
      <c r="I100" s="10" t="n"/>
    </row>
    <row r="101">
      <c r="I101" s="10" t="n"/>
    </row>
    <row r="102">
      <c r="I102" s="10" t="n"/>
    </row>
    <row r="103">
      <c r="I103" s="10" t="n"/>
    </row>
    <row r="104">
      <c r="I104" s="10" t="n"/>
    </row>
    <row r="105">
      <c r="I105" s="10" t="n"/>
    </row>
    <row r="106">
      <c r="I106" s="10" t="n"/>
    </row>
    <row r="107">
      <c r="I107" s="10" t="n"/>
    </row>
    <row r="108">
      <c r="I108" s="10" t="n"/>
    </row>
    <row r="109">
      <c r="I109" s="10" t="n"/>
    </row>
    <row r="110">
      <c r="I110" s="10" t="n"/>
    </row>
    <row r="111">
      <c r="I111" s="10" t="n"/>
    </row>
    <row r="112">
      <c r="I112" s="10" t="n"/>
    </row>
    <row r="113">
      <c r="I113" s="10" t="n"/>
    </row>
    <row r="114">
      <c r="I114" s="10" t="n"/>
    </row>
    <row r="115">
      <c r="I115" s="10" t="n"/>
    </row>
    <row r="116">
      <c r="I116" s="10" t="n"/>
    </row>
    <row r="117">
      <c r="I117" s="10" t="n"/>
    </row>
    <row r="118">
      <c r="I118" s="10" t="n"/>
    </row>
    <row r="119">
      <c r="I119" s="10" t="n"/>
    </row>
    <row r="120">
      <c r="I120" s="10" t="n"/>
    </row>
    <row r="121">
      <c r="I121" s="10" t="n"/>
    </row>
    <row r="122">
      <c r="I122" s="10" t="n"/>
    </row>
    <row r="123">
      <c r="I123" s="10" t="n"/>
    </row>
    <row r="124">
      <c r="I124" s="10" t="n"/>
    </row>
    <row r="125">
      <c r="I125" s="10" t="n"/>
    </row>
    <row r="126">
      <c r="I126" s="10" t="n"/>
    </row>
    <row r="127">
      <c r="I127" s="10" t="n"/>
    </row>
    <row r="128">
      <c r="I128" s="10" t="n"/>
    </row>
    <row r="129">
      <c r="I129" s="10" t="n"/>
    </row>
    <row r="130">
      <c r="I130" s="10" t="n"/>
    </row>
    <row r="131">
      <c r="I131" s="10" t="n"/>
    </row>
    <row r="132">
      <c r="I132" s="10" t="n"/>
    </row>
    <row r="133">
      <c r="I133" s="10" t="n"/>
    </row>
    <row r="134">
      <c r="I134" s="10" t="n"/>
    </row>
    <row r="135">
      <c r="I135" s="10" t="n"/>
    </row>
    <row r="136">
      <c r="I136" s="10" t="n"/>
    </row>
    <row r="137">
      <c r="I137" s="10" t="n"/>
    </row>
    <row r="138">
      <c r="I138" s="10" t="n"/>
    </row>
    <row r="139">
      <c r="I139" s="10" t="n"/>
    </row>
    <row r="140">
      <c r="I140" s="10" t="n"/>
    </row>
    <row r="141">
      <c r="I141" s="10" t="n"/>
    </row>
    <row r="142">
      <c r="I142" s="10" t="n"/>
    </row>
    <row r="143">
      <c r="I143" s="10" t="n"/>
    </row>
    <row r="144">
      <c r="I144" s="10" t="n"/>
    </row>
    <row r="145">
      <c r="I145" s="10" t="n"/>
    </row>
    <row r="146">
      <c r="I146" s="10" t="n"/>
    </row>
    <row r="147">
      <c r="I147" s="10" t="n"/>
    </row>
    <row r="148">
      <c r="I148" s="10" t="n"/>
    </row>
    <row r="149">
      <c r="I149" s="10" t="n"/>
    </row>
    <row r="150">
      <c r="I150" s="10" t="n"/>
    </row>
    <row r="151">
      <c r="I151" s="10" t="n"/>
    </row>
    <row r="152">
      <c r="I152" s="10" t="n"/>
    </row>
    <row r="153">
      <c r="I153" s="10" t="n"/>
    </row>
    <row r="154">
      <c r="I154" s="10" t="n"/>
    </row>
    <row r="155">
      <c r="I155" s="10" t="n"/>
    </row>
    <row r="156">
      <c r="I156" s="10" t="n"/>
    </row>
    <row r="157">
      <c r="I157" s="10" t="n"/>
    </row>
    <row r="158">
      <c r="I158" s="10" t="n"/>
    </row>
    <row r="159">
      <c r="I159" s="10" t="n"/>
    </row>
    <row r="160">
      <c r="I160" s="10" t="n"/>
    </row>
    <row r="161">
      <c r="I161" s="10" t="n"/>
    </row>
    <row r="162">
      <c r="I162" s="10" t="n"/>
    </row>
    <row r="163">
      <c r="I163" s="10" t="n"/>
    </row>
    <row r="164">
      <c r="I164" s="10" t="n"/>
    </row>
    <row r="165">
      <c r="I165" s="10" t="n"/>
    </row>
    <row r="166">
      <c r="I166" s="10" t="n"/>
    </row>
    <row r="167">
      <c r="I167" s="10" t="n"/>
    </row>
    <row r="168">
      <c r="I168" s="10" t="n"/>
    </row>
    <row r="169">
      <c r="I169" s="10" t="n"/>
    </row>
    <row r="170">
      <c r="I170" s="10" t="n"/>
    </row>
    <row r="171">
      <c r="I171" s="10" t="n"/>
    </row>
    <row r="172">
      <c r="I172" s="10" t="n"/>
    </row>
    <row r="173">
      <c r="I173" s="10" t="n"/>
    </row>
    <row r="174">
      <c r="I174" s="10" t="n"/>
    </row>
    <row r="175">
      <c r="I175" s="10" t="n"/>
    </row>
    <row r="176">
      <c r="I176" s="10" t="n"/>
    </row>
    <row r="177">
      <c r="I177" s="10" t="n"/>
    </row>
    <row r="178">
      <c r="I178" s="10" t="n"/>
    </row>
    <row r="179">
      <c r="I179" s="10" t="n"/>
    </row>
    <row r="180">
      <c r="I180" s="10" t="n"/>
    </row>
    <row r="181">
      <c r="I181" s="10" t="n"/>
    </row>
    <row r="182">
      <c r="I182" s="10" t="n"/>
    </row>
    <row r="183">
      <c r="I183" s="10" t="n"/>
    </row>
    <row r="184">
      <c r="I184" s="10" t="n"/>
    </row>
    <row r="185">
      <c r="I185" s="10" t="n"/>
    </row>
    <row r="186">
      <c r="I186" s="10" t="n"/>
    </row>
    <row r="187">
      <c r="I187" s="10" t="n"/>
    </row>
    <row r="188">
      <c r="I188" s="10" t="n"/>
    </row>
    <row r="189">
      <c r="I189" s="10" t="n"/>
    </row>
    <row r="190">
      <c r="I190" s="10" t="n"/>
    </row>
    <row r="191">
      <c r="I191" s="10" t="n"/>
    </row>
    <row r="192">
      <c r="I192" s="10" t="n"/>
    </row>
    <row r="193">
      <c r="I193" s="10" t="n"/>
    </row>
    <row r="194">
      <c r="I194" s="10" t="n"/>
    </row>
    <row r="195">
      <c r="I195" s="10" t="n"/>
    </row>
    <row r="196">
      <c r="I196" s="10" t="n"/>
    </row>
    <row r="197">
      <c r="I197" s="10" t="n"/>
    </row>
    <row r="198">
      <c r="I198" s="10" t="n"/>
    </row>
    <row r="199">
      <c r="I199" s="10" t="n"/>
    </row>
    <row r="200">
      <c r="I200" s="10" t="n"/>
    </row>
    <row r="201">
      <c r="I201" s="10" t="n"/>
    </row>
  </sheetData>
  <dataValidations count="3">
    <dataValidation sqref="D2:D201" showDropDown="0" showInputMessage="0" showErrorMessage="0" allowBlank="1" type="list">
      <formula1>"Relatable,Pain escalation,Curiosity,Visual wow,Context clash,Before/after tease,Myth vs fact (aiOS addition)"</formula1>
    </dataValidation>
    <dataValidation sqref="E2:E201" showDropDown="0" showInputMessage="0" showErrorMessage="0" allowBlank="1" type="list">
      <formula1>"Demo,Test/experiment,Comparison,Before/after,Credentials,Social proof"</formula1>
    </dataValidation>
    <dataValidation sqref="H2:H201" showDropDown="0" showInputMessage="0" showErrorMessage="0" allowBlank="1" type="list">
      <formula1>"Pain-agitate-solve,Review/test,Comparison,Scene,Creator recommendation,Gifting/occasion,Context clash,Visual wow,Day-in-the-life,Unboxing (aiOS addition)"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15.71428571428571" customWidth="1" min="3" max="3"/>
    <col width="28.57142857142857" customWidth="1" min="4" max="4"/>
    <col width="31.42857142857143" customWidth="1" min="5" max="5"/>
    <col width="25.71428571428572" customWidth="1" min="6" max="6"/>
    <col width="25.71428571428572" customWidth="1" min="7" max="7"/>
    <col width="15.71428571428571" customWidth="1" min="8" max="8"/>
    <col width="12.85714285714286" customWidth="1" min="9" max="9"/>
    <col width="15.71428571428571" customWidth="1" min="10" max="10"/>
  </cols>
  <sheetData>
    <row r="1" ht="48" customHeight="1">
      <c r="A1" s="1" t="inlineStr">
        <is>
          <t>Piece ID</t>
        </is>
      </c>
      <c r="B1" s="1" t="inlineStr">
        <is>
          <t>Selling point (one)</t>
        </is>
      </c>
      <c r="C1" s="1" t="inlineStr">
        <is>
          <t>Role</t>
        </is>
      </c>
      <c r="D1" s="1" t="inlineStr">
        <is>
          <t>A · Stop (0-3s; hold through 6s)</t>
        </is>
      </c>
      <c r="E1" s="1" t="inlineStr">
        <is>
          <t>B · Believe (3-11s)</t>
        </is>
      </c>
      <c r="F1" s="1" t="inlineStr">
        <is>
          <t>C · Act (11-15s)</t>
        </is>
      </c>
      <c r="G1" s="1" t="inlineStr">
        <is>
          <t>Scene / setting / lighting</t>
        </is>
      </c>
      <c r="H1" s="1" t="inlineStr">
        <is>
          <t>Maker (own/creator/AI)</t>
        </is>
      </c>
      <c r="I1" s="1" t="inlineStr">
        <is>
          <t>Hypothesis ID</t>
        </is>
      </c>
      <c r="J1" s="2" t="inlineStr">
        <is>
          <t>All 3 beats present? ƒ</t>
        </is>
      </c>
    </row>
    <row r="2">
      <c r="A2" t="inlineStr">
        <is>
          <t>C-001</t>
        </is>
      </c>
      <c r="B2" t="inlineStr">
        <is>
          <t>Salon result in 10 min</t>
        </is>
      </c>
      <c r="C2" t="inlineStr">
        <is>
          <t>Harvest (offer)</t>
        </is>
      </c>
      <c r="D2" t="inlineStr">
        <is>
          <t>Close-up frustrated face, 'salon again?'</t>
        </is>
      </c>
      <c r="E2" t="inlineStr">
        <is>
          <t>10-min timer demo, side-by-side vs salon</t>
        </is>
      </c>
      <c r="F2" t="inlineStr">
        <is>
          <t>Launch price ends Sunday, tap cart</t>
        </is>
      </c>
      <c r="G2" t="inlineStr">
        <is>
          <t>Bathroom, warm morning light</t>
        </is>
      </c>
      <c r="H2" t="inlineStr">
        <is>
          <t>Creator</t>
        </is>
      </c>
      <c r="I2" t="inlineStr">
        <is>
          <t>H-001</t>
        </is>
      </c>
      <c r="J2" s="4">
        <f>IF(A2="","",IF(AND(D2&lt;&gt;"",E2&lt;&gt;"",F2&lt;&gt;""),"Yes","Missing beat"))</f>
        <v/>
      </c>
    </row>
    <row r="3">
      <c r="J3" s="4">
        <f>IF(A3="","",IF(AND(D3&lt;&gt;"",E3&lt;&gt;"",F3&lt;&gt;""),"Yes","Missing beat"))</f>
        <v/>
      </c>
    </row>
    <row r="4">
      <c r="J4" s="4">
        <f>IF(A4="","",IF(AND(D4&lt;&gt;"",E4&lt;&gt;"",F4&lt;&gt;""),"Yes","Missing beat"))</f>
        <v/>
      </c>
    </row>
    <row r="5">
      <c r="J5" s="4">
        <f>IF(A5="","",IF(AND(D5&lt;&gt;"",E5&lt;&gt;"",F5&lt;&gt;""),"Yes","Missing beat"))</f>
        <v/>
      </c>
    </row>
    <row r="6">
      <c r="J6" s="4">
        <f>IF(A6="","",IF(AND(D6&lt;&gt;"",E6&lt;&gt;"",F6&lt;&gt;""),"Yes","Missing beat"))</f>
        <v/>
      </c>
    </row>
    <row r="7">
      <c r="J7" s="4">
        <f>IF(A7="","",IF(AND(D7&lt;&gt;"",E7&lt;&gt;"",F7&lt;&gt;""),"Yes","Missing beat"))</f>
        <v/>
      </c>
    </row>
    <row r="8">
      <c r="J8" s="4">
        <f>IF(A8="","",IF(AND(D8&lt;&gt;"",E8&lt;&gt;"",F8&lt;&gt;""),"Yes","Missing beat"))</f>
        <v/>
      </c>
    </row>
    <row r="9">
      <c r="J9" s="4">
        <f>IF(A9="","",IF(AND(D9&lt;&gt;"",E9&lt;&gt;"",F9&lt;&gt;""),"Yes","Missing beat"))</f>
        <v/>
      </c>
    </row>
    <row r="10">
      <c r="J10" s="4">
        <f>IF(A10="","",IF(AND(D10&lt;&gt;"",E10&lt;&gt;"",F10&lt;&gt;""),"Yes","Missing beat"))</f>
        <v/>
      </c>
    </row>
    <row r="11">
      <c r="J11" s="4">
        <f>IF(A11="","",IF(AND(D11&lt;&gt;"",E11&lt;&gt;"",F11&lt;&gt;""),"Yes","Missing beat"))</f>
        <v/>
      </c>
    </row>
    <row r="12">
      <c r="J12" s="4">
        <f>IF(A12="","",IF(AND(D12&lt;&gt;"",E12&lt;&gt;"",F12&lt;&gt;""),"Yes","Missing beat"))</f>
        <v/>
      </c>
    </row>
    <row r="13">
      <c r="J13" s="4">
        <f>IF(A13="","",IF(AND(D13&lt;&gt;"",E13&lt;&gt;"",F13&lt;&gt;""),"Yes","Missing beat"))</f>
        <v/>
      </c>
    </row>
    <row r="14">
      <c r="J14" s="4">
        <f>IF(A14="","",IF(AND(D14&lt;&gt;"",E14&lt;&gt;"",F14&lt;&gt;""),"Yes","Missing beat"))</f>
        <v/>
      </c>
    </row>
    <row r="15">
      <c r="J15" s="4">
        <f>IF(A15="","",IF(AND(D15&lt;&gt;"",E15&lt;&gt;"",F15&lt;&gt;""),"Yes","Missing beat"))</f>
        <v/>
      </c>
    </row>
    <row r="16">
      <c r="J16" s="4">
        <f>IF(A16="","",IF(AND(D16&lt;&gt;"",E16&lt;&gt;"",F16&lt;&gt;""),"Yes","Missing beat"))</f>
        <v/>
      </c>
    </row>
    <row r="17">
      <c r="J17" s="4">
        <f>IF(A17="","",IF(AND(D17&lt;&gt;"",E17&lt;&gt;"",F17&lt;&gt;""),"Yes","Missing beat"))</f>
        <v/>
      </c>
    </row>
    <row r="18">
      <c r="J18" s="4">
        <f>IF(A18="","",IF(AND(D18&lt;&gt;"",E18&lt;&gt;"",F18&lt;&gt;""),"Yes","Missing beat"))</f>
        <v/>
      </c>
    </row>
    <row r="19">
      <c r="J19" s="4">
        <f>IF(A19="","",IF(AND(D19&lt;&gt;"",E19&lt;&gt;"",F19&lt;&gt;""),"Yes","Missing beat"))</f>
        <v/>
      </c>
    </row>
    <row r="20">
      <c r="J20" s="4">
        <f>IF(A20="","",IF(AND(D20&lt;&gt;"",E20&lt;&gt;"",F20&lt;&gt;""),"Yes","Missing beat"))</f>
        <v/>
      </c>
    </row>
    <row r="21">
      <c r="J21" s="4">
        <f>IF(A21="","",IF(AND(D21&lt;&gt;"",E21&lt;&gt;"",F21&lt;&gt;""),"Yes","Missing beat"))</f>
        <v/>
      </c>
    </row>
    <row r="22">
      <c r="J22" s="4">
        <f>IF(A22="","",IF(AND(D22&lt;&gt;"",E22&lt;&gt;"",F22&lt;&gt;""),"Yes","Missing beat"))</f>
        <v/>
      </c>
    </row>
    <row r="23">
      <c r="J23" s="4">
        <f>IF(A23="","",IF(AND(D23&lt;&gt;"",E23&lt;&gt;"",F23&lt;&gt;""),"Yes","Missing beat"))</f>
        <v/>
      </c>
    </row>
    <row r="24">
      <c r="J24" s="4">
        <f>IF(A24="","",IF(AND(D24&lt;&gt;"",E24&lt;&gt;"",F24&lt;&gt;""),"Yes","Missing beat"))</f>
        <v/>
      </c>
    </row>
    <row r="25">
      <c r="J25" s="4">
        <f>IF(A25="","",IF(AND(D25&lt;&gt;"",E25&lt;&gt;"",F25&lt;&gt;""),"Yes","Missing beat"))</f>
        <v/>
      </c>
    </row>
    <row r="26">
      <c r="J26" s="4">
        <f>IF(A26="","",IF(AND(D26&lt;&gt;"",E26&lt;&gt;"",F26&lt;&gt;""),"Yes","Missing beat"))</f>
        <v/>
      </c>
    </row>
    <row r="27">
      <c r="J27" s="4">
        <f>IF(A27="","",IF(AND(D27&lt;&gt;"",E27&lt;&gt;"",F27&lt;&gt;""),"Yes","Missing beat"))</f>
        <v/>
      </c>
    </row>
    <row r="28">
      <c r="J28" s="4">
        <f>IF(A28="","",IF(AND(D28&lt;&gt;"",E28&lt;&gt;"",F28&lt;&gt;""),"Yes","Missing beat"))</f>
        <v/>
      </c>
    </row>
    <row r="29">
      <c r="J29" s="4">
        <f>IF(A29="","",IF(AND(D29&lt;&gt;"",E29&lt;&gt;"",F29&lt;&gt;""),"Yes","Missing beat"))</f>
        <v/>
      </c>
    </row>
    <row r="30">
      <c r="J30" s="4">
        <f>IF(A30="","",IF(AND(D30&lt;&gt;"",E30&lt;&gt;"",F30&lt;&gt;""),"Yes","Missing beat"))</f>
        <v/>
      </c>
    </row>
    <row r="31">
      <c r="J31" s="4">
        <f>IF(A31="","",IF(AND(D31&lt;&gt;"",E31&lt;&gt;"",F31&lt;&gt;""),"Yes","Missing beat"))</f>
        <v/>
      </c>
    </row>
    <row r="32">
      <c r="J32" s="4">
        <f>IF(A32="","",IF(AND(D32&lt;&gt;"",E32&lt;&gt;"",F32&lt;&gt;""),"Yes","Missing beat"))</f>
        <v/>
      </c>
    </row>
    <row r="33">
      <c r="J33" s="4">
        <f>IF(A33="","",IF(AND(D33&lt;&gt;"",E33&lt;&gt;"",F33&lt;&gt;""),"Yes","Missing beat"))</f>
        <v/>
      </c>
    </row>
    <row r="34">
      <c r="J34" s="4">
        <f>IF(A34="","",IF(AND(D34&lt;&gt;"",E34&lt;&gt;"",F34&lt;&gt;""),"Yes","Missing beat"))</f>
        <v/>
      </c>
    </row>
    <row r="35">
      <c r="J35" s="4">
        <f>IF(A35="","",IF(AND(D35&lt;&gt;"",E35&lt;&gt;"",F35&lt;&gt;""),"Yes","Missing beat"))</f>
        <v/>
      </c>
    </row>
    <row r="36">
      <c r="J36" s="4">
        <f>IF(A36="","",IF(AND(D36&lt;&gt;"",E36&lt;&gt;"",F36&lt;&gt;""),"Yes","Missing beat"))</f>
        <v/>
      </c>
    </row>
    <row r="37">
      <c r="J37" s="4">
        <f>IF(A37="","",IF(AND(D37&lt;&gt;"",E37&lt;&gt;"",F37&lt;&gt;""),"Yes","Missing beat"))</f>
        <v/>
      </c>
    </row>
    <row r="38">
      <c r="J38" s="4">
        <f>IF(A38="","",IF(AND(D38&lt;&gt;"",E38&lt;&gt;"",F38&lt;&gt;""),"Yes","Missing beat"))</f>
        <v/>
      </c>
    </row>
    <row r="39">
      <c r="J39" s="4">
        <f>IF(A39="","",IF(AND(D39&lt;&gt;"",E39&lt;&gt;"",F39&lt;&gt;""),"Yes","Missing beat"))</f>
        <v/>
      </c>
    </row>
    <row r="40">
      <c r="J40" s="4">
        <f>IF(A40="","",IF(AND(D40&lt;&gt;"",E40&lt;&gt;"",F40&lt;&gt;""),"Yes","Missing beat"))</f>
        <v/>
      </c>
    </row>
    <row r="41">
      <c r="J41" s="4">
        <f>IF(A41="","",IF(AND(D41&lt;&gt;"",E41&lt;&gt;"",F41&lt;&gt;""),"Yes","Missing beat"))</f>
        <v/>
      </c>
    </row>
    <row r="42">
      <c r="J42" s="4">
        <f>IF(A42="","",IF(AND(D42&lt;&gt;"",E42&lt;&gt;"",F42&lt;&gt;""),"Yes","Missing beat"))</f>
        <v/>
      </c>
    </row>
    <row r="43">
      <c r="J43" s="4">
        <f>IF(A43="","",IF(AND(D43&lt;&gt;"",E43&lt;&gt;"",F43&lt;&gt;""),"Yes","Missing beat"))</f>
        <v/>
      </c>
    </row>
    <row r="44">
      <c r="J44" s="4">
        <f>IF(A44="","",IF(AND(D44&lt;&gt;"",E44&lt;&gt;"",F44&lt;&gt;""),"Yes","Missing beat"))</f>
        <v/>
      </c>
    </row>
    <row r="45">
      <c r="J45" s="4">
        <f>IF(A45="","",IF(AND(D45&lt;&gt;"",E45&lt;&gt;"",F45&lt;&gt;""),"Yes","Missing beat"))</f>
        <v/>
      </c>
    </row>
    <row r="46">
      <c r="J46" s="4">
        <f>IF(A46="","",IF(AND(D46&lt;&gt;"",E46&lt;&gt;"",F46&lt;&gt;""),"Yes","Missing beat"))</f>
        <v/>
      </c>
    </row>
    <row r="47">
      <c r="J47" s="4">
        <f>IF(A47="","",IF(AND(D47&lt;&gt;"",E47&lt;&gt;"",F47&lt;&gt;""),"Yes","Missing beat"))</f>
        <v/>
      </c>
    </row>
    <row r="48">
      <c r="J48" s="4">
        <f>IF(A48="","",IF(AND(D48&lt;&gt;"",E48&lt;&gt;"",F48&lt;&gt;""),"Yes","Missing beat"))</f>
        <v/>
      </c>
    </row>
    <row r="49">
      <c r="J49" s="4">
        <f>IF(A49="","",IF(AND(D49&lt;&gt;"",E49&lt;&gt;"",F49&lt;&gt;""),"Yes","Missing beat"))</f>
        <v/>
      </c>
    </row>
    <row r="50">
      <c r="J50" s="4">
        <f>IF(A50="","",IF(AND(D50&lt;&gt;"",E50&lt;&gt;"",F50&lt;&gt;""),"Yes","Missing beat"))</f>
        <v/>
      </c>
    </row>
    <row r="51">
      <c r="J51" s="4">
        <f>IF(A51="","",IF(AND(D51&lt;&gt;"",E51&lt;&gt;"",F51&lt;&gt;""),"Yes","Missing beat"))</f>
        <v/>
      </c>
    </row>
    <row r="52">
      <c r="J52" s="4">
        <f>IF(A52="","",IF(AND(D52&lt;&gt;"",E52&lt;&gt;"",F52&lt;&gt;""),"Yes","Missing beat"))</f>
        <v/>
      </c>
    </row>
    <row r="53">
      <c r="J53" s="4">
        <f>IF(A53="","",IF(AND(D53&lt;&gt;"",E53&lt;&gt;"",F53&lt;&gt;""),"Yes","Missing beat"))</f>
        <v/>
      </c>
    </row>
    <row r="54">
      <c r="J54" s="4">
        <f>IF(A54="","",IF(AND(D54&lt;&gt;"",E54&lt;&gt;"",F54&lt;&gt;""),"Yes","Missing beat"))</f>
        <v/>
      </c>
    </row>
    <row r="55">
      <c r="J55" s="4">
        <f>IF(A55="","",IF(AND(D55&lt;&gt;"",E55&lt;&gt;"",F55&lt;&gt;""),"Yes","Missing beat"))</f>
        <v/>
      </c>
    </row>
    <row r="56">
      <c r="J56" s="4">
        <f>IF(A56="","",IF(AND(D56&lt;&gt;"",E56&lt;&gt;"",F56&lt;&gt;""),"Yes","Missing beat"))</f>
        <v/>
      </c>
    </row>
    <row r="57">
      <c r="J57" s="4">
        <f>IF(A57="","",IF(AND(D57&lt;&gt;"",E57&lt;&gt;"",F57&lt;&gt;""),"Yes","Missing beat"))</f>
        <v/>
      </c>
    </row>
    <row r="58">
      <c r="J58" s="4">
        <f>IF(A58="","",IF(AND(D58&lt;&gt;"",E58&lt;&gt;"",F58&lt;&gt;""),"Yes","Missing beat"))</f>
        <v/>
      </c>
    </row>
    <row r="59">
      <c r="J59" s="4">
        <f>IF(A59="","",IF(AND(D59&lt;&gt;"",E59&lt;&gt;"",F59&lt;&gt;""),"Yes","Missing beat"))</f>
        <v/>
      </c>
    </row>
    <row r="60">
      <c r="J60" s="4">
        <f>IF(A60="","",IF(AND(D60&lt;&gt;"",E60&lt;&gt;"",F60&lt;&gt;""),"Yes","Missing beat"))</f>
        <v/>
      </c>
    </row>
    <row r="61">
      <c r="J61" s="4">
        <f>IF(A61="","",IF(AND(D61&lt;&gt;"",E61&lt;&gt;"",F61&lt;&gt;""),"Yes","Missing beat"))</f>
        <v/>
      </c>
    </row>
    <row r="62">
      <c r="J62" s="4">
        <f>IF(A62="","",IF(AND(D62&lt;&gt;"",E62&lt;&gt;"",F62&lt;&gt;""),"Yes","Missing beat"))</f>
        <v/>
      </c>
    </row>
    <row r="63">
      <c r="J63" s="4">
        <f>IF(A63="","",IF(AND(D63&lt;&gt;"",E63&lt;&gt;"",F63&lt;&gt;""),"Yes","Missing beat"))</f>
        <v/>
      </c>
    </row>
    <row r="64">
      <c r="J64" s="4">
        <f>IF(A64="","",IF(AND(D64&lt;&gt;"",E64&lt;&gt;"",F64&lt;&gt;""),"Yes","Missing beat"))</f>
        <v/>
      </c>
    </row>
    <row r="65">
      <c r="J65" s="4">
        <f>IF(A65="","",IF(AND(D65&lt;&gt;"",E65&lt;&gt;"",F65&lt;&gt;""),"Yes","Missing beat"))</f>
        <v/>
      </c>
    </row>
    <row r="66">
      <c r="J66" s="4">
        <f>IF(A66="","",IF(AND(D66&lt;&gt;"",E66&lt;&gt;"",F66&lt;&gt;""),"Yes","Missing beat"))</f>
        <v/>
      </c>
    </row>
    <row r="67">
      <c r="J67" s="4">
        <f>IF(A67="","",IF(AND(D67&lt;&gt;"",E67&lt;&gt;"",F67&lt;&gt;""),"Yes","Missing beat"))</f>
        <v/>
      </c>
    </row>
    <row r="68">
      <c r="J68" s="4">
        <f>IF(A68="","",IF(AND(D68&lt;&gt;"",E68&lt;&gt;"",F68&lt;&gt;""),"Yes","Missing beat"))</f>
        <v/>
      </c>
    </row>
    <row r="69">
      <c r="J69" s="4">
        <f>IF(A69="","",IF(AND(D69&lt;&gt;"",E69&lt;&gt;"",F69&lt;&gt;""),"Yes","Missing beat"))</f>
        <v/>
      </c>
    </row>
    <row r="70">
      <c r="J70" s="4">
        <f>IF(A70="","",IF(AND(D70&lt;&gt;"",E70&lt;&gt;"",F70&lt;&gt;""),"Yes","Missing beat"))</f>
        <v/>
      </c>
    </row>
    <row r="71">
      <c r="J71" s="4">
        <f>IF(A71="","",IF(AND(D71&lt;&gt;"",E71&lt;&gt;"",F71&lt;&gt;""),"Yes","Missing beat"))</f>
        <v/>
      </c>
    </row>
    <row r="72">
      <c r="J72" s="4">
        <f>IF(A72="","",IF(AND(D72&lt;&gt;"",E72&lt;&gt;"",F72&lt;&gt;""),"Yes","Missing beat"))</f>
        <v/>
      </c>
    </row>
    <row r="73">
      <c r="J73" s="4">
        <f>IF(A73="","",IF(AND(D73&lt;&gt;"",E73&lt;&gt;"",F73&lt;&gt;""),"Yes","Missing beat"))</f>
        <v/>
      </c>
    </row>
    <row r="74">
      <c r="J74" s="4">
        <f>IF(A74="","",IF(AND(D74&lt;&gt;"",E74&lt;&gt;"",F74&lt;&gt;""),"Yes","Missing beat"))</f>
        <v/>
      </c>
    </row>
    <row r="75">
      <c r="J75" s="4">
        <f>IF(A75="","",IF(AND(D75&lt;&gt;"",E75&lt;&gt;"",F75&lt;&gt;""),"Yes","Missing beat"))</f>
        <v/>
      </c>
    </row>
    <row r="76">
      <c r="J76" s="4">
        <f>IF(A76="","",IF(AND(D76&lt;&gt;"",E76&lt;&gt;"",F76&lt;&gt;""),"Yes","Missing beat"))</f>
        <v/>
      </c>
    </row>
    <row r="77">
      <c r="J77" s="4">
        <f>IF(A77="","",IF(AND(D77&lt;&gt;"",E77&lt;&gt;"",F77&lt;&gt;""),"Yes","Missing beat"))</f>
        <v/>
      </c>
    </row>
    <row r="78">
      <c r="J78" s="4">
        <f>IF(A78="","",IF(AND(D78&lt;&gt;"",E78&lt;&gt;"",F78&lt;&gt;""),"Yes","Missing beat"))</f>
        <v/>
      </c>
    </row>
    <row r="79">
      <c r="J79" s="4">
        <f>IF(A79="","",IF(AND(D79&lt;&gt;"",E79&lt;&gt;"",F79&lt;&gt;""),"Yes","Missing beat"))</f>
        <v/>
      </c>
    </row>
    <row r="80">
      <c r="J80" s="4">
        <f>IF(A80="","",IF(AND(D80&lt;&gt;"",E80&lt;&gt;"",F80&lt;&gt;""),"Yes","Missing beat"))</f>
        <v/>
      </c>
    </row>
    <row r="81">
      <c r="J81" s="4">
        <f>IF(A81="","",IF(AND(D81&lt;&gt;"",E81&lt;&gt;"",F81&lt;&gt;""),"Yes","Missing beat"))</f>
        <v/>
      </c>
    </row>
    <row r="82">
      <c r="J82" s="4">
        <f>IF(A82="","",IF(AND(D82&lt;&gt;"",E82&lt;&gt;"",F82&lt;&gt;""),"Yes","Missing beat"))</f>
        <v/>
      </c>
    </row>
    <row r="83">
      <c r="J83" s="4">
        <f>IF(A83="","",IF(AND(D83&lt;&gt;"",E83&lt;&gt;"",F83&lt;&gt;""),"Yes","Missing beat"))</f>
        <v/>
      </c>
    </row>
    <row r="84">
      <c r="J84" s="4">
        <f>IF(A84="","",IF(AND(D84&lt;&gt;"",E84&lt;&gt;"",F84&lt;&gt;""),"Yes","Missing beat"))</f>
        <v/>
      </c>
    </row>
    <row r="85">
      <c r="J85" s="4">
        <f>IF(A85="","",IF(AND(D85&lt;&gt;"",E85&lt;&gt;"",F85&lt;&gt;""),"Yes","Missing beat"))</f>
        <v/>
      </c>
    </row>
    <row r="86">
      <c r="J86" s="4">
        <f>IF(A86="","",IF(AND(D86&lt;&gt;"",E86&lt;&gt;"",F86&lt;&gt;""),"Yes","Missing beat"))</f>
        <v/>
      </c>
    </row>
    <row r="87">
      <c r="J87" s="4">
        <f>IF(A87="","",IF(AND(D87&lt;&gt;"",E87&lt;&gt;"",F87&lt;&gt;""),"Yes","Missing beat"))</f>
        <v/>
      </c>
    </row>
    <row r="88">
      <c r="J88" s="4">
        <f>IF(A88="","",IF(AND(D88&lt;&gt;"",E88&lt;&gt;"",F88&lt;&gt;""),"Yes","Missing beat"))</f>
        <v/>
      </c>
    </row>
    <row r="89">
      <c r="J89" s="4">
        <f>IF(A89="","",IF(AND(D89&lt;&gt;"",E89&lt;&gt;"",F89&lt;&gt;""),"Yes","Missing beat"))</f>
        <v/>
      </c>
    </row>
    <row r="90">
      <c r="J90" s="4">
        <f>IF(A90="","",IF(AND(D90&lt;&gt;"",E90&lt;&gt;"",F90&lt;&gt;""),"Yes","Missing beat"))</f>
        <v/>
      </c>
    </row>
    <row r="91">
      <c r="J91" s="4">
        <f>IF(A91="","",IF(AND(D91&lt;&gt;"",E91&lt;&gt;"",F91&lt;&gt;""),"Yes","Missing beat"))</f>
        <v/>
      </c>
    </row>
    <row r="92">
      <c r="J92" s="4">
        <f>IF(A92="","",IF(AND(D92&lt;&gt;"",E92&lt;&gt;"",F92&lt;&gt;""),"Yes","Missing beat"))</f>
        <v/>
      </c>
    </row>
    <row r="93">
      <c r="J93" s="4">
        <f>IF(A93="","",IF(AND(D93&lt;&gt;"",E93&lt;&gt;"",F93&lt;&gt;""),"Yes","Missing beat"))</f>
        <v/>
      </c>
    </row>
    <row r="94">
      <c r="J94" s="4">
        <f>IF(A94="","",IF(AND(D94&lt;&gt;"",E94&lt;&gt;"",F94&lt;&gt;""),"Yes","Missing beat"))</f>
        <v/>
      </c>
    </row>
    <row r="95">
      <c r="J95" s="4">
        <f>IF(A95="","",IF(AND(D95&lt;&gt;"",E95&lt;&gt;"",F95&lt;&gt;""),"Yes","Missing beat"))</f>
        <v/>
      </c>
    </row>
    <row r="96">
      <c r="J96" s="4">
        <f>IF(A96="","",IF(AND(D96&lt;&gt;"",E96&lt;&gt;"",F96&lt;&gt;""),"Yes","Missing beat"))</f>
        <v/>
      </c>
    </row>
    <row r="97">
      <c r="J97" s="4">
        <f>IF(A97="","",IF(AND(D97&lt;&gt;"",E97&lt;&gt;"",F97&lt;&gt;""),"Yes","Missing beat"))</f>
        <v/>
      </c>
    </row>
    <row r="98">
      <c r="J98" s="4">
        <f>IF(A98="","",IF(AND(D98&lt;&gt;"",E98&lt;&gt;"",F98&lt;&gt;""),"Yes","Missing beat"))</f>
        <v/>
      </c>
    </row>
    <row r="99">
      <c r="J99" s="4">
        <f>IF(A99="","",IF(AND(D99&lt;&gt;"",E99&lt;&gt;"",F99&lt;&gt;""),"Yes","Missing beat"))</f>
        <v/>
      </c>
    </row>
    <row r="100">
      <c r="J100" s="4">
        <f>IF(A100="","",IF(AND(D100&lt;&gt;"",E100&lt;&gt;"",F100&lt;&gt;""),"Yes","Missing beat"))</f>
        <v/>
      </c>
    </row>
    <row r="101">
      <c r="J101" s="4">
        <f>IF(A101="","",IF(AND(D101&lt;&gt;"",E101&lt;&gt;"",F101&lt;&gt;""),"Yes","Missing beat"))</f>
        <v/>
      </c>
    </row>
    <row r="102">
      <c r="J102" s="4">
        <f>IF(A102="","",IF(AND(D102&lt;&gt;"",E102&lt;&gt;"",F102&lt;&gt;""),"Yes","Missing beat"))</f>
        <v/>
      </c>
    </row>
    <row r="103">
      <c r="J103" s="4">
        <f>IF(A103="","",IF(AND(D103&lt;&gt;"",E103&lt;&gt;"",F103&lt;&gt;""),"Yes","Missing beat"))</f>
        <v/>
      </c>
    </row>
    <row r="104">
      <c r="J104" s="4">
        <f>IF(A104="","",IF(AND(D104&lt;&gt;"",E104&lt;&gt;"",F104&lt;&gt;""),"Yes","Missing beat"))</f>
        <v/>
      </c>
    </row>
    <row r="105">
      <c r="J105" s="4">
        <f>IF(A105="","",IF(AND(D105&lt;&gt;"",E105&lt;&gt;"",F105&lt;&gt;""),"Yes","Missing beat"))</f>
        <v/>
      </c>
    </row>
    <row r="106">
      <c r="J106" s="4">
        <f>IF(A106="","",IF(AND(D106&lt;&gt;"",E106&lt;&gt;"",F106&lt;&gt;""),"Yes","Missing beat"))</f>
        <v/>
      </c>
    </row>
    <row r="107">
      <c r="J107" s="4">
        <f>IF(A107="","",IF(AND(D107&lt;&gt;"",E107&lt;&gt;"",F107&lt;&gt;""),"Yes","Missing beat"))</f>
        <v/>
      </c>
    </row>
    <row r="108">
      <c r="J108" s="4">
        <f>IF(A108="","",IF(AND(D108&lt;&gt;"",E108&lt;&gt;"",F108&lt;&gt;""),"Yes","Missing beat"))</f>
        <v/>
      </c>
    </row>
    <row r="109">
      <c r="J109" s="4">
        <f>IF(A109="","",IF(AND(D109&lt;&gt;"",E109&lt;&gt;"",F109&lt;&gt;""),"Yes","Missing beat"))</f>
        <v/>
      </c>
    </row>
    <row r="110">
      <c r="J110" s="4">
        <f>IF(A110="","",IF(AND(D110&lt;&gt;"",E110&lt;&gt;"",F110&lt;&gt;""),"Yes","Missing beat"))</f>
        <v/>
      </c>
    </row>
    <row r="111">
      <c r="J111" s="4">
        <f>IF(A111="","",IF(AND(D111&lt;&gt;"",E111&lt;&gt;"",F111&lt;&gt;""),"Yes","Missing beat"))</f>
        <v/>
      </c>
    </row>
    <row r="112">
      <c r="J112" s="4">
        <f>IF(A112="","",IF(AND(D112&lt;&gt;"",E112&lt;&gt;"",F112&lt;&gt;""),"Yes","Missing beat"))</f>
        <v/>
      </c>
    </row>
    <row r="113">
      <c r="J113" s="4">
        <f>IF(A113="","",IF(AND(D113&lt;&gt;"",E113&lt;&gt;"",F113&lt;&gt;""),"Yes","Missing beat"))</f>
        <v/>
      </c>
    </row>
    <row r="114">
      <c r="J114" s="4">
        <f>IF(A114="","",IF(AND(D114&lt;&gt;"",E114&lt;&gt;"",F114&lt;&gt;""),"Yes","Missing beat"))</f>
        <v/>
      </c>
    </row>
    <row r="115">
      <c r="J115" s="4">
        <f>IF(A115="","",IF(AND(D115&lt;&gt;"",E115&lt;&gt;"",F115&lt;&gt;""),"Yes","Missing beat"))</f>
        <v/>
      </c>
    </row>
    <row r="116">
      <c r="J116" s="4">
        <f>IF(A116="","",IF(AND(D116&lt;&gt;"",E116&lt;&gt;"",F116&lt;&gt;""),"Yes","Missing beat"))</f>
        <v/>
      </c>
    </row>
    <row r="117">
      <c r="J117" s="4">
        <f>IF(A117="","",IF(AND(D117&lt;&gt;"",E117&lt;&gt;"",F117&lt;&gt;""),"Yes","Missing beat"))</f>
        <v/>
      </c>
    </row>
    <row r="118">
      <c r="J118" s="4">
        <f>IF(A118="","",IF(AND(D118&lt;&gt;"",E118&lt;&gt;"",F118&lt;&gt;""),"Yes","Missing beat"))</f>
        <v/>
      </c>
    </row>
    <row r="119">
      <c r="J119" s="4">
        <f>IF(A119="","",IF(AND(D119&lt;&gt;"",E119&lt;&gt;"",F119&lt;&gt;""),"Yes","Missing beat"))</f>
        <v/>
      </c>
    </row>
    <row r="120">
      <c r="J120" s="4">
        <f>IF(A120="","",IF(AND(D120&lt;&gt;"",E120&lt;&gt;"",F120&lt;&gt;""),"Yes","Missing beat"))</f>
        <v/>
      </c>
    </row>
    <row r="121">
      <c r="J121" s="4">
        <f>IF(A121="","",IF(AND(D121&lt;&gt;"",E121&lt;&gt;"",F121&lt;&gt;""),"Yes","Missing beat"))</f>
        <v/>
      </c>
    </row>
    <row r="122">
      <c r="J122" s="4">
        <f>IF(A122="","",IF(AND(D122&lt;&gt;"",E122&lt;&gt;"",F122&lt;&gt;""),"Yes","Missing beat"))</f>
        <v/>
      </c>
    </row>
    <row r="123">
      <c r="J123" s="4">
        <f>IF(A123="","",IF(AND(D123&lt;&gt;"",E123&lt;&gt;"",F123&lt;&gt;""),"Yes","Missing beat"))</f>
        <v/>
      </c>
    </row>
    <row r="124">
      <c r="J124" s="4">
        <f>IF(A124="","",IF(AND(D124&lt;&gt;"",E124&lt;&gt;"",F124&lt;&gt;""),"Yes","Missing beat"))</f>
        <v/>
      </c>
    </row>
    <row r="125">
      <c r="J125" s="4">
        <f>IF(A125="","",IF(AND(D125&lt;&gt;"",E125&lt;&gt;"",F125&lt;&gt;""),"Yes","Missing beat"))</f>
        <v/>
      </c>
    </row>
    <row r="126">
      <c r="J126" s="4">
        <f>IF(A126="","",IF(AND(D126&lt;&gt;"",E126&lt;&gt;"",F126&lt;&gt;""),"Yes","Missing beat"))</f>
        <v/>
      </c>
    </row>
    <row r="127">
      <c r="J127" s="4">
        <f>IF(A127="","",IF(AND(D127&lt;&gt;"",E127&lt;&gt;"",F127&lt;&gt;""),"Yes","Missing beat"))</f>
        <v/>
      </c>
    </row>
    <row r="128">
      <c r="J128" s="4">
        <f>IF(A128="","",IF(AND(D128&lt;&gt;"",E128&lt;&gt;"",F128&lt;&gt;""),"Yes","Missing beat"))</f>
        <v/>
      </c>
    </row>
    <row r="129">
      <c r="J129" s="4">
        <f>IF(A129="","",IF(AND(D129&lt;&gt;"",E129&lt;&gt;"",F129&lt;&gt;""),"Yes","Missing beat"))</f>
        <v/>
      </c>
    </row>
    <row r="130">
      <c r="J130" s="4">
        <f>IF(A130="","",IF(AND(D130&lt;&gt;"",E130&lt;&gt;"",F130&lt;&gt;""),"Yes","Missing beat"))</f>
        <v/>
      </c>
    </row>
    <row r="131">
      <c r="J131" s="4">
        <f>IF(A131="","",IF(AND(D131&lt;&gt;"",E131&lt;&gt;"",F131&lt;&gt;""),"Yes","Missing beat"))</f>
        <v/>
      </c>
    </row>
    <row r="132">
      <c r="J132" s="4">
        <f>IF(A132="","",IF(AND(D132&lt;&gt;"",E132&lt;&gt;"",F132&lt;&gt;""),"Yes","Missing beat"))</f>
        <v/>
      </c>
    </row>
    <row r="133">
      <c r="J133" s="4">
        <f>IF(A133="","",IF(AND(D133&lt;&gt;"",E133&lt;&gt;"",F133&lt;&gt;""),"Yes","Missing beat"))</f>
        <v/>
      </c>
    </row>
    <row r="134">
      <c r="J134" s="4">
        <f>IF(A134="","",IF(AND(D134&lt;&gt;"",E134&lt;&gt;"",F134&lt;&gt;""),"Yes","Missing beat"))</f>
        <v/>
      </c>
    </row>
    <row r="135">
      <c r="J135" s="4">
        <f>IF(A135="","",IF(AND(D135&lt;&gt;"",E135&lt;&gt;"",F135&lt;&gt;""),"Yes","Missing beat"))</f>
        <v/>
      </c>
    </row>
    <row r="136">
      <c r="J136" s="4">
        <f>IF(A136="","",IF(AND(D136&lt;&gt;"",E136&lt;&gt;"",F136&lt;&gt;""),"Yes","Missing beat"))</f>
        <v/>
      </c>
    </row>
    <row r="137">
      <c r="J137" s="4">
        <f>IF(A137="","",IF(AND(D137&lt;&gt;"",E137&lt;&gt;"",F137&lt;&gt;""),"Yes","Missing beat"))</f>
        <v/>
      </c>
    </row>
    <row r="138">
      <c r="J138" s="4">
        <f>IF(A138="","",IF(AND(D138&lt;&gt;"",E138&lt;&gt;"",F138&lt;&gt;""),"Yes","Missing beat"))</f>
        <v/>
      </c>
    </row>
    <row r="139">
      <c r="J139" s="4">
        <f>IF(A139="","",IF(AND(D139&lt;&gt;"",E139&lt;&gt;"",F139&lt;&gt;""),"Yes","Missing beat"))</f>
        <v/>
      </c>
    </row>
    <row r="140">
      <c r="J140" s="4">
        <f>IF(A140="","",IF(AND(D140&lt;&gt;"",E140&lt;&gt;"",F140&lt;&gt;""),"Yes","Missing beat"))</f>
        <v/>
      </c>
    </row>
    <row r="141">
      <c r="J141" s="4">
        <f>IF(A141="","",IF(AND(D141&lt;&gt;"",E141&lt;&gt;"",F141&lt;&gt;""),"Yes","Missing beat"))</f>
        <v/>
      </c>
    </row>
    <row r="142">
      <c r="J142" s="4">
        <f>IF(A142="","",IF(AND(D142&lt;&gt;"",E142&lt;&gt;"",F142&lt;&gt;""),"Yes","Missing beat"))</f>
        <v/>
      </c>
    </row>
    <row r="143">
      <c r="J143" s="4">
        <f>IF(A143="","",IF(AND(D143&lt;&gt;"",E143&lt;&gt;"",F143&lt;&gt;""),"Yes","Missing beat"))</f>
        <v/>
      </c>
    </row>
    <row r="144">
      <c r="J144" s="4">
        <f>IF(A144="","",IF(AND(D144&lt;&gt;"",E144&lt;&gt;"",F144&lt;&gt;""),"Yes","Missing beat"))</f>
        <v/>
      </c>
    </row>
    <row r="145">
      <c r="J145" s="4">
        <f>IF(A145="","",IF(AND(D145&lt;&gt;"",E145&lt;&gt;"",F145&lt;&gt;""),"Yes","Missing beat"))</f>
        <v/>
      </c>
    </row>
    <row r="146">
      <c r="J146" s="4">
        <f>IF(A146="","",IF(AND(D146&lt;&gt;"",E146&lt;&gt;"",F146&lt;&gt;""),"Yes","Missing beat"))</f>
        <v/>
      </c>
    </row>
    <row r="147">
      <c r="J147" s="4">
        <f>IF(A147="","",IF(AND(D147&lt;&gt;"",E147&lt;&gt;"",F147&lt;&gt;""),"Yes","Missing beat"))</f>
        <v/>
      </c>
    </row>
    <row r="148">
      <c r="J148" s="4">
        <f>IF(A148="","",IF(AND(D148&lt;&gt;"",E148&lt;&gt;"",F148&lt;&gt;""),"Yes","Missing beat"))</f>
        <v/>
      </c>
    </row>
    <row r="149">
      <c r="J149" s="4">
        <f>IF(A149="","",IF(AND(D149&lt;&gt;"",E149&lt;&gt;"",F149&lt;&gt;""),"Yes","Missing beat"))</f>
        <v/>
      </c>
    </row>
    <row r="150">
      <c r="J150" s="4">
        <f>IF(A150="","",IF(AND(D150&lt;&gt;"",E150&lt;&gt;"",F150&lt;&gt;""),"Yes","Missing beat"))</f>
        <v/>
      </c>
    </row>
    <row r="151">
      <c r="J151" s="4">
        <f>IF(A151="","",IF(AND(D151&lt;&gt;"",E151&lt;&gt;"",F151&lt;&gt;""),"Yes","Missing beat"))</f>
        <v/>
      </c>
    </row>
    <row r="152">
      <c r="J152" s="4">
        <f>IF(A152="","",IF(AND(D152&lt;&gt;"",E152&lt;&gt;"",F152&lt;&gt;""),"Yes","Missing beat"))</f>
        <v/>
      </c>
    </row>
    <row r="153">
      <c r="J153" s="4">
        <f>IF(A153="","",IF(AND(D153&lt;&gt;"",E153&lt;&gt;"",F153&lt;&gt;""),"Yes","Missing beat"))</f>
        <v/>
      </c>
    </row>
    <row r="154">
      <c r="J154" s="4">
        <f>IF(A154="","",IF(AND(D154&lt;&gt;"",E154&lt;&gt;"",F154&lt;&gt;""),"Yes","Missing beat"))</f>
        <v/>
      </c>
    </row>
    <row r="155">
      <c r="J155" s="4">
        <f>IF(A155="","",IF(AND(D155&lt;&gt;"",E155&lt;&gt;"",F155&lt;&gt;""),"Yes","Missing beat"))</f>
        <v/>
      </c>
    </row>
    <row r="156">
      <c r="J156" s="4">
        <f>IF(A156="","",IF(AND(D156&lt;&gt;"",E156&lt;&gt;"",F156&lt;&gt;""),"Yes","Missing beat"))</f>
        <v/>
      </c>
    </row>
    <row r="157">
      <c r="J157" s="4">
        <f>IF(A157="","",IF(AND(D157&lt;&gt;"",E157&lt;&gt;"",F157&lt;&gt;""),"Yes","Missing beat"))</f>
        <v/>
      </c>
    </row>
    <row r="158">
      <c r="J158" s="4">
        <f>IF(A158="","",IF(AND(D158&lt;&gt;"",E158&lt;&gt;"",F158&lt;&gt;""),"Yes","Missing beat"))</f>
        <v/>
      </c>
    </row>
    <row r="159">
      <c r="J159" s="4">
        <f>IF(A159="","",IF(AND(D159&lt;&gt;"",E159&lt;&gt;"",F159&lt;&gt;""),"Yes","Missing beat"))</f>
        <v/>
      </c>
    </row>
    <row r="160">
      <c r="J160" s="4">
        <f>IF(A160="","",IF(AND(D160&lt;&gt;"",E160&lt;&gt;"",F160&lt;&gt;""),"Yes","Missing beat"))</f>
        <v/>
      </c>
    </row>
    <row r="161">
      <c r="J161" s="4">
        <f>IF(A161="","",IF(AND(D161&lt;&gt;"",E161&lt;&gt;"",F161&lt;&gt;""),"Yes","Missing beat"))</f>
        <v/>
      </c>
    </row>
    <row r="162">
      <c r="J162" s="4">
        <f>IF(A162="","",IF(AND(D162&lt;&gt;"",E162&lt;&gt;"",F162&lt;&gt;""),"Yes","Missing beat"))</f>
        <v/>
      </c>
    </row>
    <row r="163">
      <c r="J163" s="4">
        <f>IF(A163="","",IF(AND(D163&lt;&gt;"",E163&lt;&gt;"",F163&lt;&gt;""),"Yes","Missing beat"))</f>
        <v/>
      </c>
    </row>
    <row r="164">
      <c r="J164" s="4">
        <f>IF(A164="","",IF(AND(D164&lt;&gt;"",E164&lt;&gt;"",F164&lt;&gt;""),"Yes","Missing beat"))</f>
        <v/>
      </c>
    </row>
    <row r="165">
      <c r="J165" s="4">
        <f>IF(A165="","",IF(AND(D165&lt;&gt;"",E165&lt;&gt;"",F165&lt;&gt;""),"Yes","Missing beat"))</f>
        <v/>
      </c>
    </row>
    <row r="166">
      <c r="J166" s="4">
        <f>IF(A166="","",IF(AND(D166&lt;&gt;"",E166&lt;&gt;"",F166&lt;&gt;""),"Yes","Missing beat"))</f>
        <v/>
      </c>
    </row>
    <row r="167">
      <c r="J167" s="4">
        <f>IF(A167="","",IF(AND(D167&lt;&gt;"",E167&lt;&gt;"",F167&lt;&gt;""),"Yes","Missing beat"))</f>
        <v/>
      </c>
    </row>
    <row r="168">
      <c r="J168" s="4">
        <f>IF(A168="","",IF(AND(D168&lt;&gt;"",E168&lt;&gt;"",F168&lt;&gt;""),"Yes","Missing beat"))</f>
        <v/>
      </c>
    </row>
    <row r="169">
      <c r="J169" s="4">
        <f>IF(A169="","",IF(AND(D169&lt;&gt;"",E169&lt;&gt;"",F169&lt;&gt;""),"Yes","Missing beat"))</f>
        <v/>
      </c>
    </row>
    <row r="170">
      <c r="J170" s="4">
        <f>IF(A170="","",IF(AND(D170&lt;&gt;"",E170&lt;&gt;"",F170&lt;&gt;""),"Yes","Missing beat"))</f>
        <v/>
      </c>
    </row>
    <row r="171">
      <c r="J171" s="4">
        <f>IF(A171="","",IF(AND(D171&lt;&gt;"",E171&lt;&gt;"",F171&lt;&gt;""),"Yes","Missing beat"))</f>
        <v/>
      </c>
    </row>
    <row r="172">
      <c r="J172" s="4">
        <f>IF(A172="","",IF(AND(D172&lt;&gt;"",E172&lt;&gt;"",F172&lt;&gt;""),"Yes","Missing beat"))</f>
        <v/>
      </c>
    </row>
    <row r="173">
      <c r="J173" s="4">
        <f>IF(A173="","",IF(AND(D173&lt;&gt;"",E173&lt;&gt;"",F173&lt;&gt;""),"Yes","Missing beat"))</f>
        <v/>
      </c>
    </row>
    <row r="174">
      <c r="J174" s="4">
        <f>IF(A174="","",IF(AND(D174&lt;&gt;"",E174&lt;&gt;"",F174&lt;&gt;""),"Yes","Missing beat"))</f>
        <v/>
      </c>
    </row>
    <row r="175">
      <c r="J175" s="4">
        <f>IF(A175="","",IF(AND(D175&lt;&gt;"",E175&lt;&gt;"",F175&lt;&gt;""),"Yes","Missing beat"))</f>
        <v/>
      </c>
    </row>
    <row r="176">
      <c r="J176" s="4">
        <f>IF(A176="","",IF(AND(D176&lt;&gt;"",E176&lt;&gt;"",F176&lt;&gt;""),"Yes","Missing beat"))</f>
        <v/>
      </c>
    </row>
    <row r="177">
      <c r="J177" s="4">
        <f>IF(A177="","",IF(AND(D177&lt;&gt;"",E177&lt;&gt;"",F177&lt;&gt;""),"Yes","Missing beat"))</f>
        <v/>
      </c>
    </row>
    <row r="178">
      <c r="J178" s="4">
        <f>IF(A178="","",IF(AND(D178&lt;&gt;"",E178&lt;&gt;"",F178&lt;&gt;""),"Yes","Missing beat"))</f>
        <v/>
      </c>
    </row>
    <row r="179">
      <c r="J179" s="4">
        <f>IF(A179="","",IF(AND(D179&lt;&gt;"",E179&lt;&gt;"",F179&lt;&gt;""),"Yes","Missing beat"))</f>
        <v/>
      </c>
    </row>
    <row r="180">
      <c r="J180" s="4">
        <f>IF(A180="","",IF(AND(D180&lt;&gt;"",E180&lt;&gt;"",F180&lt;&gt;""),"Yes","Missing beat"))</f>
        <v/>
      </c>
    </row>
    <row r="181">
      <c r="J181" s="4">
        <f>IF(A181="","",IF(AND(D181&lt;&gt;"",E181&lt;&gt;"",F181&lt;&gt;""),"Yes","Missing beat"))</f>
        <v/>
      </c>
    </row>
    <row r="182">
      <c r="J182" s="4">
        <f>IF(A182="","",IF(AND(D182&lt;&gt;"",E182&lt;&gt;"",F182&lt;&gt;""),"Yes","Missing beat"))</f>
        <v/>
      </c>
    </row>
    <row r="183">
      <c r="J183" s="4">
        <f>IF(A183="","",IF(AND(D183&lt;&gt;"",E183&lt;&gt;"",F183&lt;&gt;""),"Yes","Missing beat"))</f>
        <v/>
      </c>
    </row>
    <row r="184">
      <c r="J184" s="4">
        <f>IF(A184="","",IF(AND(D184&lt;&gt;"",E184&lt;&gt;"",F184&lt;&gt;""),"Yes","Missing beat"))</f>
        <v/>
      </c>
    </row>
    <row r="185">
      <c r="J185" s="4">
        <f>IF(A185="","",IF(AND(D185&lt;&gt;"",E185&lt;&gt;"",F185&lt;&gt;""),"Yes","Missing beat"))</f>
        <v/>
      </c>
    </row>
    <row r="186">
      <c r="J186" s="4">
        <f>IF(A186="","",IF(AND(D186&lt;&gt;"",E186&lt;&gt;"",F186&lt;&gt;""),"Yes","Missing beat"))</f>
        <v/>
      </c>
    </row>
    <row r="187">
      <c r="J187" s="4">
        <f>IF(A187="","",IF(AND(D187&lt;&gt;"",E187&lt;&gt;"",F187&lt;&gt;""),"Yes","Missing beat"))</f>
        <v/>
      </c>
    </row>
    <row r="188">
      <c r="J188" s="4">
        <f>IF(A188="","",IF(AND(D188&lt;&gt;"",E188&lt;&gt;"",F188&lt;&gt;""),"Yes","Missing beat"))</f>
        <v/>
      </c>
    </row>
    <row r="189">
      <c r="J189" s="4">
        <f>IF(A189="","",IF(AND(D189&lt;&gt;"",E189&lt;&gt;"",F189&lt;&gt;""),"Yes","Missing beat"))</f>
        <v/>
      </c>
    </row>
    <row r="190">
      <c r="J190" s="4">
        <f>IF(A190="","",IF(AND(D190&lt;&gt;"",E190&lt;&gt;"",F190&lt;&gt;""),"Yes","Missing beat"))</f>
        <v/>
      </c>
    </row>
    <row r="191">
      <c r="J191" s="4">
        <f>IF(A191="","",IF(AND(D191&lt;&gt;"",E191&lt;&gt;"",F191&lt;&gt;""),"Yes","Missing beat"))</f>
        <v/>
      </c>
    </row>
    <row r="192">
      <c r="J192" s="4">
        <f>IF(A192="","",IF(AND(D192&lt;&gt;"",E192&lt;&gt;"",F192&lt;&gt;""),"Yes","Missing beat"))</f>
        <v/>
      </c>
    </row>
    <row r="193">
      <c r="J193" s="4">
        <f>IF(A193="","",IF(AND(D193&lt;&gt;"",E193&lt;&gt;"",F193&lt;&gt;""),"Yes","Missing beat"))</f>
        <v/>
      </c>
    </row>
    <row r="194">
      <c r="J194" s="4">
        <f>IF(A194="","",IF(AND(D194&lt;&gt;"",E194&lt;&gt;"",F194&lt;&gt;""),"Yes","Missing beat"))</f>
        <v/>
      </c>
    </row>
    <row r="195">
      <c r="J195" s="4">
        <f>IF(A195="","",IF(AND(D195&lt;&gt;"",E195&lt;&gt;"",F195&lt;&gt;""),"Yes","Missing beat"))</f>
        <v/>
      </c>
    </row>
    <row r="196">
      <c r="J196" s="4">
        <f>IF(A196="","",IF(AND(D196&lt;&gt;"",E196&lt;&gt;"",F196&lt;&gt;""),"Yes","Missing beat"))</f>
        <v/>
      </c>
    </row>
    <row r="197">
      <c r="J197" s="4">
        <f>IF(A197="","",IF(AND(D197&lt;&gt;"",E197&lt;&gt;"",F197&lt;&gt;""),"Yes","Missing beat"))</f>
        <v/>
      </c>
    </row>
    <row r="198">
      <c r="J198" s="4">
        <f>IF(A198="","",IF(AND(D198&lt;&gt;"",E198&lt;&gt;"",F198&lt;&gt;""),"Yes","Missing beat"))</f>
        <v/>
      </c>
    </row>
    <row r="199">
      <c r="J199" s="4">
        <f>IF(A199="","",IF(AND(D199&lt;&gt;"",E199&lt;&gt;"",F199&lt;&gt;""),"Yes","Missing beat"))</f>
        <v/>
      </c>
    </row>
    <row r="200">
      <c r="J200" s="4">
        <f>IF(A200="","",IF(AND(D200&lt;&gt;"",E200&lt;&gt;"",F200&lt;&gt;""),"Yes","Missing beat"))</f>
        <v/>
      </c>
    </row>
    <row r="201">
      <c r="J201" s="4">
        <f>IF(A201="","",IF(AND(D201&lt;&gt;"",E201&lt;&gt;"",F201&lt;&gt;""),"Yes","Missing beat"))</f>
        <v/>
      </c>
    </row>
  </sheetData>
  <dataValidations count="2">
    <dataValidation sqref="C2:C201" showDropDown="0" showInputMessage="0" showErrorMessage="0" allowBlank="1" type="list">
      <formula1>"Seed (awareness),Harvest (offer)"</formula1>
    </dataValidation>
    <dataValidation sqref="H2:H201" showDropDown="0" showInputMessage="0" showErrorMessage="0" allowBlank="1" type="list">
      <formula1>"Own team,Creator,AI-assisted"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28.57142857142857" customWidth="1" min="14" max="14"/>
  </cols>
  <sheetData>
    <row r="1" ht="48" customHeight="1">
      <c r="A1" s="1" t="inlineStr">
        <is>
          <t>Asset ID</t>
        </is>
      </c>
      <c r="B1" s="1" t="inlineStr">
        <is>
          <t>Date</t>
        </is>
      </c>
      <c r="C1" s="1" t="inlineStr">
        <is>
          <t>Producer</t>
        </is>
      </c>
      <c r="D1" s="1" t="inlineStr">
        <is>
          <t>Seed/Harvest</t>
        </is>
      </c>
      <c r="E1" s="1" t="inlineStr">
        <is>
          <t>Selling point</t>
        </is>
      </c>
      <c r="F1" s="1" t="inlineStr">
        <is>
          <t>Views</t>
        </is>
      </c>
      <c r="G1" s="1" t="inlineStr">
        <is>
          <t>6s retention % (gate ≈60%)</t>
        </is>
      </c>
      <c r="H1" s="1" t="inlineStr">
        <is>
          <t>Click-through %</t>
        </is>
      </c>
      <c r="I1" s="1" t="inlineStr">
        <is>
          <t>Orders</t>
        </is>
      </c>
      <c r="J1" s="1" t="inlineStr">
        <is>
          <t>Ad spend ($)</t>
        </is>
      </c>
      <c r="K1" s="1" t="inlineStr">
        <is>
          <t>Revenue ($)</t>
        </is>
      </c>
      <c r="L1" s="2" t="inlineStr">
        <is>
          <t>ROAS ƒ</t>
        </is>
      </c>
      <c r="M1" s="2" t="inlineStr">
        <is>
          <t>Triage ƒ</t>
        </is>
      </c>
      <c r="N1" s="1" t="inlineStr">
        <is>
          <t>Why (yesterday's stand-up)</t>
        </is>
      </c>
    </row>
    <row r="2">
      <c r="A2" t="inlineStr">
        <is>
          <t>V-001</t>
        </is>
      </c>
      <c r="B2" t="inlineStr">
        <is>
          <t>2026-11-02</t>
        </is>
      </c>
      <c r="C2" t="inlineStr">
        <is>
          <t>Ana</t>
        </is>
      </c>
      <c r="D2" t="inlineStr">
        <is>
          <t>Harvest</t>
        </is>
      </c>
      <c r="E2" t="inlineStr">
        <is>
          <t>Salon result</t>
        </is>
      </c>
      <c r="F2" t="n">
        <v>18000</v>
      </c>
      <c r="G2" s="10" t="n">
        <v>0.41</v>
      </c>
      <c r="H2" s="10" t="n">
        <v>0.021</v>
      </c>
      <c r="I2" t="n">
        <v>14</v>
      </c>
      <c r="J2" s="7" t="n">
        <v>120</v>
      </c>
      <c r="K2" s="7" t="n">
        <v>686</v>
      </c>
      <c r="L2" s="11">
        <f>IF(A2="","",IFERROR(K2/J2,0))</f>
        <v/>
      </c>
      <c r="M2" s="4">
        <f>IF(A2="","",IF(F2=0,"",IF(G2&lt;0.6,"P0 fix hook (6s retention under 60%)",IF(AND(D2="Harvest",I2=0),"P1 check proof/CTA","P2 keep"))))</f>
        <v/>
      </c>
    </row>
    <row r="3">
      <c r="G3" s="10" t="n"/>
      <c r="H3" s="10" t="n"/>
      <c r="J3" s="7" t="n"/>
      <c r="K3" s="7" t="n"/>
      <c r="L3" s="11">
        <f>IF(A3="","",IFERROR(K3/J3,0))</f>
        <v/>
      </c>
      <c r="M3" s="4">
        <f>IF(A3="","",IF(F3=0,"",IF(G3&lt;0.6,"P0 fix hook (6s retention under 60%)",IF(AND(D3="Harvest",I3=0),"P1 check proof/CTA","P2 keep"))))</f>
        <v/>
      </c>
    </row>
    <row r="4">
      <c r="G4" s="10" t="n"/>
      <c r="H4" s="10" t="n"/>
      <c r="J4" s="7" t="n"/>
      <c r="K4" s="7" t="n"/>
      <c r="L4" s="11">
        <f>IF(A4="","",IFERROR(K4/J4,0))</f>
        <v/>
      </c>
      <c r="M4" s="4">
        <f>IF(A4="","",IF(F4=0,"",IF(G4&lt;0.6,"P0 fix hook (6s retention under 60%)",IF(AND(D4="Harvest",I4=0),"P1 check proof/CTA","P2 keep"))))</f>
        <v/>
      </c>
    </row>
    <row r="5">
      <c r="G5" s="10" t="n"/>
      <c r="H5" s="10" t="n"/>
      <c r="J5" s="7" t="n"/>
      <c r="K5" s="7" t="n"/>
      <c r="L5" s="11">
        <f>IF(A5="","",IFERROR(K5/J5,0))</f>
        <v/>
      </c>
      <c r="M5" s="4">
        <f>IF(A5="","",IF(F5=0,"",IF(G5&lt;0.6,"P0 fix hook (6s retention under 60%)",IF(AND(D5="Harvest",I5=0),"P1 check proof/CTA","P2 keep"))))</f>
        <v/>
      </c>
    </row>
    <row r="6">
      <c r="G6" s="10" t="n"/>
      <c r="H6" s="10" t="n"/>
      <c r="J6" s="7" t="n"/>
      <c r="K6" s="7" t="n"/>
      <c r="L6" s="11">
        <f>IF(A6="","",IFERROR(K6/J6,0))</f>
        <v/>
      </c>
      <c r="M6" s="4">
        <f>IF(A6="","",IF(F6=0,"",IF(G6&lt;0.6,"P0 fix hook (6s retention under 60%)",IF(AND(D6="Harvest",I6=0),"P1 check proof/CTA","P2 keep"))))</f>
        <v/>
      </c>
    </row>
    <row r="7">
      <c r="G7" s="10" t="n"/>
      <c r="H7" s="10" t="n"/>
      <c r="J7" s="7" t="n"/>
      <c r="K7" s="7" t="n"/>
      <c r="L7" s="11">
        <f>IF(A7="","",IFERROR(K7/J7,0))</f>
        <v/>
      </c>
      <c r="M7" s="4">
        <f>IF(A7="","",IF(F7=0,"",IF(G7&lt;0.6,"P0 fix hook (6s retention under 60%)",IF(AND(D7="Harvest",I7=0),"P1 check proof/CTA","P2 keep"))))</f>
        <v/>
      </c>
    </row>
    <row r="8">
      <c r="G8" s="10" t="n"/>
      <c r="H8" s="10" t="n"/>
      <c r="J8" s="7" t="n"/>
      <c r="K8" s="7" t="n"/>
      <c r="L8" s="11">
        <f>IF(A8="","",IFERROR(K8/J8,0))</f>
        <v/>
      </c>
      <c r="M8" s="4">
        <f>IF(A8="","",IF(F8=0,"",IF(G8&lt;0.6,"P0 fix hook (6s retention under 60%)",IF(AND(D8="Harvest",I8=0),"P1 check proof/CTA","P2 keep"))))</f>
        <v/>
      </c>
    </row>
    <row r="9">
      <c r="G9" s="10" t="n"/>
      <c r="H9" s="10" t="n"/>
      <c r="J9" s="7" t="n"/>
      <c r="K9" s="7" t="n"/>
      <c r="L9" s="11">
        <f>IF(A9="","",IFERROR(K9/J9,0))</f>
        <v/>
      </c>
      <c r="M9" s="4">
        <f>IF(A9="","",IF(F9=0,"",IF(G9&lt;0.6,"P0 fix hook (6s retention under 60%)",IF(AND(D9="Harvest",I9=0),"P1 check proof/CTA","P2 keep"))))</f>
        <v/>
      </c>
    </row>
    <row r="10">
      <c r="G10" s="10" t="n"/>
      <c r="H10" s="10" t="n"/>
      <c r="J10" s="7" t="n"/>
      <c r="K10" s="7" t="n"/>
      <c r="L10" s="11">
        <f>IF(A10="","",IFERROR(K10/J10,0))</f>
        <v/>
      </c>
      <c r="M10" s="4">
        <f>IF(A10="","",IF(F10=0,"",IF(G10&lt;0.6,"P0 fix hook (6s retention under 60%)",IF(AND(D10="Harvest",I10=0),"P1 check proof/CTA","P2 keep"))))</f>
        <v/>
      </c>
    </row>
    <row r="11">
      <c r="G11" s="10" t="n"/>
      <c r="H11" s="10" t="n"/>
      <c r="J11" s="7" t="n"/>
      <c r="K11" s="7" t="n"/>
      <c r="L11" s="11">
        <f>IF(A11="","",IFERROR(K11/J11,0))</f>
        <v/>
      </c>
      <c r="M11" s="4">
        <f>IF(A11="","",IF(F11=0,"",IF(G11&lt;0.6,"P0 fix hook (6s retention under 60%)",IF(AND(D11="Harvest",I11=0),"P1 check proof/CTA","P2 keep"))))</f>
        <v/>
      </c>
    </row>
    <row r="12">
      <c r="G12" s="10" t="n"/>
      <c r="H12" s="10" t="n"/>
      <c r="J12" s="7" t="n"/>
      <c r="K12" s="7" t="n"/>
      <c r="L12" s="11">
        <f>IF(A12="","",IFERROR(K12/J12,0))</f>
        <v/>
      </c>
      <c r="M12" s="4">
        <f>IF(A12="","",IF(F12=0,"",IF(G12&lt;0.6,"P0 fix hook (6s retention under 60%)",IF(AND(D12="Harvest",I12=0),"P1 check proof/CTA","P2 keep"))))</f>
        <v/>
      </c>
    </row>
    <row r="13">
      <c r="G13" s="10" t="n"/>
      <c r="H13" s="10" t="n"/>
      <c r="J13" s="7" t="n"/>
      <c r="K13" s="7" t="n"/>
      <c r="L13" s="11">
        <f>IF(A13="","",IFERROR(K13/J13,0))</f>
        <v/>
      </c>
      <c r="M13" s="4">
        <f>IF(A13="","",IF(F13=0,"",IF(G13&lt;0.6,"P0 fix hook (6s retention under 60%)",IF(AND(D13="Harvest",I13=0),"P1 check proof/CTA","P2 keep"))))</f>
        <v/>
      </c>
    </row>
    <row r="14">
      <c r="G14" s="10" t="n"/>
      <c r="H14" s="10" t="n"/>
      <c r="J14" s="7" t="n"/>
      <c r="K14" s="7" t="n"/>
      <c r="L14" s="11">
        <f>IF(A14="","",IFERROR(K14/J14,0))</f>
        <v/>
      </c>
      <c r="M14" s="4">
        <f>IF(A14="","",IF(F14=0,"",IF(G14&lt;0.6,"P0 fix hook (6s retention under 60%)",IF(AND(D14="Harvest",I14=0),"P1 check proof/CTA","P2 keep"))))</f>
        <v/>
      </c>
    </row>
    <row r="15">
      <c r="G15" s="10" t="n"/>
      <c r="H15" s="10" t="n"/>
      <c r="J15" s="7" t="n"/>
      <c r="K15" s="7" t="n"/>
      <c r="L15" s="11">
        <f>IF(A15="","",IFERROR(K15/J15,0))</f>
        <v/>
      </c>
      <c r="M15" s="4">
        <f>IF(A15="","",IF(F15=0,"",IF(G15&lt;0.6,"P0 fix hook (6s retention under 60%)",IF(AND(D15="Harvest",I15=0),"P1 check proof/CTA","P2 keep"))))</f>
        <v/>
      </c>
    </row>
    <row r="16">
      <c r="G16" s="10" t="n"/>
      <c r="H16" s="10" t="n"/>
      <c r="J16" s="7" t="n"/>
      <c r="K16" s="7" t="n"/>
      <c r="L16" s="11">
        <f>IF(A16="","",IFERROR(K16/J16,0))</f>
        <v/>
      </c>
      <c r="M16" s="4">
        <f>IF(A16="","",IF(F16=0,"",IF(G16&lt;0.6,"P0 fix hook (6s retention under 60%)",IF(AND(D16="Harvest",I16=0),"P1 check proof/CTA","P2 keep"))))</f>
        <v/>
      </c>
    </row>
    <row r="17">
      <c r="G17" s="10" t="n"/>
      <c r="H17" s="10" t="n"/>
      <c r="J17" s="7" t="n"/>
      <c r="K17" s="7" t="n"/>
      <c r="L17" s="11">
        <f>IF(A17="","",IFERROR(K17/J17,0))</f>
        <v/>
      </c>
      <c r="M17" s="4">
        <f>IF(A17="","",IF(F17=0,"",IF(G17&lt;0.6,"P0 fix hook (6s retention under 60%)",IF(AND(D17="Harvest",I17=0),"P1 check proof/CTA","P2 keep"))))</f>
        <v/>
      </c>
    </row>
    <row r="18">
      <c r="G18" s="10" t="n"/>
      <c r="H18" s="10" t="n"/>
      <c r="J18" s="7" t="n"/>
      <c r="K18" s="7" t="n"/>
      <c r="L18" s="11">
        <f>IF(A18="","",IFERROR(K18/J18,0))</f>
        <v/>
      </c>
      <c r="M18" s="4">
        <f>IF(A18="","",IF(F18=0,"",IF(G18&lt;0.6,"P0 fix hook (6s retention under 60%)",IF(AND(D18="Harvest",I18=0),"P1 check proof/CTA","P2 keep"))))</f>
        <v/>
      </c>
    </row>
    <row r="19">
      <c r="G19" s="10" t="n"/>
      <c r="H19" s="10" t="n"/>
      <c r="J19" s="7" t="n"/>
      <c r="K19" s="7" t="n"/>
      <c r="L19" s="11">
        <f>IF(A19="","",IFERROR(K19/J19,0))</f>
        <v/>
      </c>
      <c r="M19" s="4">
        <f>IF(A19="","",IF(F19=0,"",IF(G19&lt;0.6,"P0 fix hook (6s retention under 60%)",IF(AND(D19="Harvest",I19=0),"P1 check proof/CTA","P2 keep"))))</f>
        <v/>
      </c>
    </row>
    <row r="20">
      <c r="G20" s="10" t="n"/>
      <c r="H20" s="10" t="n"/>
      <c r="J20" s="7" t="n"/>
      <c r="K20" s="7" t="n"/>
      <c r="L20" s="11">
        <f>IF(A20="","",IFERROR(K20/J20,0))</f>
        <v/>
      </c>
      <c r="M20" s="4">
        <f>IF(A20="","",IF(F20=0,"",IF(G20&lt;0.6,"P0 fix hook (6s retention under 60%)",IF(AND(D20="Harvest",I20=0),"P1 check proof/CTA","P2 keep"))))</f>
        <v/>
      </c>
    </row>
    <row r="21">
      <c r="G21" s="10" t="n"/>
      <c r="H21" s="10" t="n"/>
      <c r="J21" s="7" t="n"/>
      <c r="K21" s="7" t="n"/>
      <c r="L21" s="11">
        <f>IF(A21="","",IFERROR(K21/J21,0))</f>
        <v/>
      </c>
      <c r="M21" s="4">
        <f>IF(A21="","",IF(F21=0,"",IF(G21&lt;0.6,"P0 fix hook (6s retention under 60%)",IF(AND(D21="Harvest",I21=0),"P1 check proof/CTA","P2 keep"))))</f>
        <v/>
      </c>
    </row>
    <row r="22">
      <c r="G22" s="10" t="n"/>
      <c r="H22" s="10" t="n"/>
      <c r="J22" s="7" t="n"/>
      <c r="K22" s="7" t="n"/>
      <c r="L22" s="11">
        <f>IF(A22="","",IFERROR(K22/J22,0))</f>
        <v/>
      </c>
      <c r="M22" s="4">
        <f>IF(A22="","",IF(F22=0,"",IF(G22&lt;0.6,"P0 fix hook (6s retention under 60%)",IF(AND(D22="Harvest",I22=0),"P1 check proof/CTA","P2 keep"))))</f>
        <v/>
      </c>
    </row>
    <row r="23">
      <c r="G23" s="10" t="n"/>
      <c r="H23" s="10" t="n"/>
      <c r="J23" s="7" t="n"/>
      <c r="K23" s="7" t="n"/>
      <c r="L23" s="11">
        <f>IF(A23="","",IFERROR(K23/J23,0))</f>
        <v/>
      </c>
      <c r="M23" s="4">
        <f>IF(A23="","",IF(F23=0,"",IF(G23&lt;0.6,"P0 fix hook (6s retention under 60%)",IF(AND(D23="Harvest",I23=0),"P1 check proof/CTA","P2 keep"))))</f>
        <v/>
      </c>
    </row>
    <row r="24">
      <c r="G24" s="10" t="n"/>
      <c r="H24" s="10" t="n"/>
      <c r="J24" s="7" t="n"/>
      <c r="K24" s="7" t="n"/>
      <c r="L24" s="11">
        <f>IF(A24="","",IFERROR(K24/J24,0))</f>
        <v/>
      </c>
      <c r="M24" s="4">
        <f>IF(A24="","",IF(F24=0,"",IF(G24&lt;0.6,"P0 fix hook (6s retention under 60%)",IF(AND(D24="Harvest",I24=0),"P1 check proof/CTA","P2 keep"))))</f>
        <v/>
      </c>
    </row>
    <row r="25">
      <c r="G25" s="10" t="n"/>
      <c r="H25" s="10" t="n"/>
      <c r="J25" s="7" t="n"/>
      <c r="K25" s="7" t="n"/>
      <c r="L25" s="11">
        <f>IF(A25="","",IFERROR(K25/J25,0))</f>
        <v/>
      </c>
      <c r="M25" s="4">
        <f>IF(A25="","",IF(F25=0,"",IF(G25&lt;0.6,"P0 fix hook (6s retention under 60%)",IF(AND(D25="Harvest",I25=0),"P1 check proof/CTA","P2 keep"))))</f>
        <v/>
      </c>
    </row>
    <row r="26">
      <c r="G26" s="10" t="n"/>
      <c r="H26" s="10" t="n"/>
      <c r="J26" s="7" t="n"/>
      <c r="K26" s="7" t="n"/>
      <c r="L26" s="11">
        <f>IF(A26="","",IFERROR(K26/J26,0))</f>
        <v/>
      </c>
      <c r="M26" s="4">
        <f>IF(A26="","",IF(F26=0,"",IF(G26&lt;0.6,"P0 fix hook (6s retention under 60%)",IF(AND(D26="Harvest",I26=0),"P1 check proof/CTA","P2 keep"))))</f>
        <v/>
      </c>
    </row>
    <row r="27">
      <c r="G27" s="10" t="n"/>
      <c r="H27" s="10" t="n"/>
      <c r="J27" s="7" t="n"/>
      <c r="K27" s="7" t="n"/>
      <c r="L27" s="11">
        <f>IF(A27="","",IFERROR(K27/J27,0))</f>
        <v/>
      </c>
      <c r="M27" s="4">
        <f>IF(A27="","",IF(F27=0,"",IF(G27&lt;0.6,"P0 fix hook (6s retention under 60%)",IF(AND(D27="Harvest",I27=0),"P1 check proof/CTA","P2 keep"))))</f>
        <v/>
      </c>
    </row>
    <row r="28">
      <c r="G28" s="10" t="n"/>
      <c r="H28" s="10" t="n"/>
      <c r="J28" s="7" t="n"/>
      <c r="K28" s="7" t="n"/>
      <c r="L28" s="11">
        <f>IF(A28="","",IFERROR(K28/J28,0))</f>
        <v/>
      </c>
      <c r="M28" s="4">
        <f>IF(A28="","",IF(F28=0,"",IF(G28&lt;0.6,"P0 fix hook (6s retention under 60%)",IF(AND(D28="Harvest",I28=0),"P1 check proof/CTA","P2 keep"))))</f>
        <v/>
      </c>
    </row>
    <row r="29">
      <c r="G29" s="10" t="n"/>
      <c r="H29" s="10" t="n"/>
      <c r="J29" s="7" t="n"/>
      <c r="K29" s="7" t="n"/>
      <c r="L29" s="11">
        <f>IF(A29="","",IFERROR(K29/J29,0))</f>
        <v/>
      </c>
      <c r="M29" s="4">
        <f>IF(A29="","",IF(F29=0,"",IF(G29&lt;0.6,"P0 fix hook (6s retention under 60%)",IF(AND(D29="Harvest",I29=0),"P1 check proof/CTA","P2 keep"))))</f>
        <v/>
      </c>
    </row>
    <row r="30">
      <c r="G30" s="10" t="n"/>
      <c r="H30" s="10" t="n"/>
      <c r="J30" s="7" t="n"/>
      <c r="K30" s="7" t="n"/>
      <c r="L30" s="11">
        <f>IF(A30="","",IFERROR(K30/J30,0))</f>
        <v/>
      </c>
      <c r="M30" s="4">
        <f>IF(A30="","",IF(F30=0,"",IF(G30&lt;0.6,"P0 fix hook (6s retention under 60%)",IF(AND(D30="Harvest",I30=0),"P1 check proof/CTA","P2 keep"))))</f>
        <v/>
      </c>
    </row>
    <row r="31">
      <c r="G31" s="10" t="n"/>
      <c r="H31" s="10" t="n"/>
      <c r="J31" s="7" t="n"/>
      <c r="K31" s="7" t="n"/>
      <c r="L31" s="11">
        <f>IF(A31="","",IFERROR(K31/J31,0))</f>
        <v/>
      </c>
      <c r="M31" s="4">
        <f>IF(A31="","",IF(F31=0,"",IF(G31&lt;0.6,"P0 fix hook (6s retention under 60%)",IF(AND(D31="Harvest",I31=0),"P1 check proof/CTA","P2 keep"))))</f>
        <v/>
      </c>
    </row>
    <row r="32">
      <c r="G32" s="10" t="n"/>
      <c r="H32" s="10" t="n"/>
      <c r="J32" s="7" t="n"/>
      <c r="K32" s="7" t="n"/>
      <c r="L32" s="11">
        <f>IF(A32="","",IFERROR(K32/J32,0))</f>
        <v/>
      </c>
      <c r="M32" s="4">
        <f>IF(A32="","",IF(F32=0,"",IF(G32&lt;0.6,"P0 fix hook (6s retention under 60%)",IF(AND(D32="Harvest",I32=0),"P1 check proof/CTA","P2 keep"))))</f>
        <v/>
      </c>
    </row>
    <row r="33">
      <c r="G33" s="10" t="n"/>
      <c r="H33" s="10" t="n"/>
      <c r="J33" s="7" t="n"/>
      <c r="K33" s="7" t="n"/>
      <c r="L33" s="11">
        <f>IF(A33="","",IFERROR(K33/J33,0))</f>
        <v/>
      </c>
      <c r="M33" s="4">
        <f>IF(A33="","",IF(F33=0,"",IF(G33&lt;0.6,"P0 fix hook (6s retention under 60%)",IF(AND(D33="Harvest",I33=0),"P1 check proof/CTA","P2 keep"))))</f>
        <v/>
      </c>
    </row>
    <row r="34">
      <c r="G34" s="10" t="n"/>
      <c r="H34" s="10" t="n"/>
      <c r="J34" s="7" t="n"/>
      <c r="K34" s="7" t="n"/>
      <c r="L34" s="11">
        <f>IF(A34="","",IFERROR(K34/J34,0))</f>
        <v/>
      </c>
      <c r="M34" s="4">
        <f>IF(A34="","",IF(F34=0,"",IF(G34&lt;0.6,"P0 fix hook (6s retention under 60%)",IF(AND(D34="Harvest",I34=0),"P1 check proof/CTA","P2 keep"))))</f>
        <v/>
      </c>
    </row>
    <row r="35">
      <c r="G35" s="10" t="n"/>
      <c r="H35" s="10" t="n"/>
      <c r="J35" s="7" t="n"/>
      <c r="K35" s="7" t="n"/>
      <c r="L35" s="11">
        <f>IF(A35="","",IFERROR(K35/J35,0))</f>
        <v/>
      </c>
      <c r="M35" s="4">
        <f>IF(A35="","",IF(F35=0,"",IF(G35&lt;0.6,"P0 fix hook (6s retention under 60%)",IF(AND(D35="Harvest",I35=0),"P1 check proof/CTA","P2 keep"))))</f>
        <v/>
      </c>
    </row>
    <row r="36">
      <c r="G36" s="10" t="n"/>
      <c r="H36" s="10" t="n"/>
      <c r="J36" s="7" t="n"/>
      <c r="K36" s="7" t="n"/>
      <c r="L36" s="11">
        <f>IF(A36="","",IFERROR(K36/J36,0))</f>
        <v/>
      </c>
      <c r="M36" s="4">
        <f>IF(A36="","",IF(F36=0,"",IF(G36&lt;0.6,"P0 fix hook (6s retention under 60%)",IF(AND(D36="Harvest",I36=0),"P1 check proof/CTA","P2 keep"))))</f>
        <v/>
      </c>
    </row>
    <row r="37">
      <c r="G37" s="10" t="n"/>
      <c r="H37" s="10" t="n"/>
      <c r="J37" s="7" t="n"/>
      <c r="K37" s="7" t="n"/>
      <c r="L37" s="11">
        <f>IF(A37="","",IFERROR(K37/J37,0))</f>
        <v/>
      </c>
      <c r="M37" s="4">
        <f>IF(A37="","",IF(F37=0,"",IF(G37&lt;0.6,"P0 fix hook (6s retention under 60%)",IF(AND(D37="Harvest",I37=0),"P1 check proof/CTA","P2 keep"))))</f>
        <v/>
      </c>
    </row>
    <row r="38">
      <c r="G38" s="10" t="n"/>
      <c r="H38" s="10" t="n"/>
      <c r="J38" s="7" t="n"/>
      <c r="K38" s="7" t="n"/>
      <c r="L38" s="11">
        <f>IF(A38="","",IFERROR(K38/J38,0))</f>
        <v/>
      </c>
      <c r="M38" s="4">
        <f>IF(A38="","",IF(F38=0,"",IF(G38&lt;0.6,"P0 fix hook (6s retention under 60%)",IF(AND(D38="Harvest",I38=0),"P1 check proof/CTA","P2 keep"))))</f>
        <v/>
      </c>
    </row>
    <row r="39">
      <c r="G39" s="10" t="n"/>
      <c r="H39" s="10" t="n"/>
      <c r="J39" s="7" t="n"/>
      <c r="K39" s="7" t="n"/>
      <c r="L39" s="11">
        <f>IF(A39="","",IFERROR(K39/J39,0))</f>
        <v/>
      </c>
      <c r="M39" s="4">
        <f>IF(A39="","",IF(F39=0,"",IF(G39&lt;0.6,"P0 fix hook (6s retention under 60%)",IF(AND(D39="Harvest",I39=0),"P1 check proof/CTA","P2 keep"))))</f>
        <v/>
      </c>
    </row>
    <row r="40">
      <c r="G40" s="10" t="n"/>
      <c r="H40" s="10" t="n"/>
      <c r="J40" s="7" t="n"/>
      <c r="K40" s="7" t="n"/>
      <c r="L40" s="11">
        <f>IF(A40="","",IFERROR(K40/J40,0))</f>
        <v/>
      </c>
      <c r="M40" s="4">
        <f>IF(A40="","",IF(F40=0,"",IF(G40&lt;0.6,"P0 fix hook (6s retention under 60%)",IF(AND(D40="Harvest",I40=0),"P1 check proof/CTA","P2 keep"))))</f>
        <v/>
      </c>
    </row>
    <row r="41">
      <c r="G41" s="10" t="n"/>
      <c r="H41" s="10" t="n"/>
      <c r="J41" s="7" t="n"/>
      <c r="K41" s="7" t="n"/>
      <c r="L41" s="11">
        <f>IF(A41="","",IFERROR(K41/J41,0))</f>
        <v/>
      </c>
      <c r="M41" s="4">
        <f>IF(A41="","",IF(F41=0,"",IF(G41&lt;0.6,"P0 fix hook (6s retention under 60%)",IF(AND(D41="Harvest",I41=0),"P1 check proof/CTA","P2 keep"))))</f>
        <v/>
      </c>
    </row>
    <row r="42">
      <c r="G42" s="10" t="n"/>
      <c r="H42" s="10" t="n"/>
      <c r="J42" s="7" t="n"/>
      <c r="K42" s="7" t="n"/>
      <c r="L42" s="11">
        <f>IF(A42="","",IFERROR(K42/J42,0))</f>
        <v/>
      </c>
      <c r="M42" s="4">
        <f>IF(A42="","",IF(F42=0,"",IF(G42&lt;0.6,"P0 fix hook (6s retention under 60%)",IF(AND(D42="Harvest",I42=0),"P1 check proof/CTA","P2 keep"))))</f>
        <v/>
      </c>
    </row>
    <row r="43">
      <c r="G43" s="10" t="n"/>
      <c r="H43" s="10" t="n"/>
      <c r="J43" s="7" t="n"/>
      <c r="K43" s="7" t="n"/>
      <c r="L43" s="11">
        <f>IF(A43="","",IFERROR(K43/J43,0))</f>
        <v/>
      </c>
      <c r="M43" s="4">
        <f>IF(A43="","",IF(F43=0,"",IF(G43&lt;0.6,"P0 fix hook (6s retention under 60%)",IF(AND(D43="Harvest",I43=0),"P1 check proof/CTA","P2 keep"))))</f>
        <v/>
      </c>
    </row>
    <row r="44">
      <c r="G44" s="10" t="n"/>
      <c r="H44" s="10" t="n"/>
      <c r="J44" s="7" t="n"/>
      <c r="K44" s="7" t="n"/>
      <c r="L44" s="11">
        <f>IF(A44="","",IFERROR(K44/J44,0))</f>
        <v/>
      </c>
      <c r="M44" s="4">
        <f>IF(A44="","",IF(F44=0,"",IF(G44&lt;0.6,"P0 fix hook (6s retention under 60%)",IF(AND(D44="Harvest",I44=0),"P1 check proof/CTA","P2 keep"))))</f>
        <v/>
      </c>
    </row>
    <row r="45">
      <c r="G45" s="10" t="n"/>
      <c r="H45" s="10" t="n"/>
      <c r="J45" s="7" t="n"/>
      <c r="K45" s="7" t="n"/>
      <c r="L45" s="11">
        <f>IF(A45="","",IFERROR(K45/J45,0))</f>
        <v/>
      </c>
      <c r="M45" s="4">
        <f>IF(A45="","",IF(F45=0,"",IF(G45&lt;0.6,"P0 fix hook (6s retention under 60%)",IF(AND(D45="Harvest",I45=0),"P1 check proof/CTA","P2 keep"))))</f>
        <v/>
      </c>
    </row>
    <row r="46">
      <c r="G46" s="10" t="n"/>
      <c r="H46" s="10" t="n"/>
      <c r="J46" s="7" t="n"/>
      <c r="K46" s="7" t="n"/>
      <c r="L46" s="11">
        <f>IF(A46="","",IFERROR(K46/J46,0))</f>
        <v/>
      </c>
      <c r="M46" s="4">
        <f>IF(A46="","",IF(F46=0,"",IF(G46&lt;0.6,"P0 fix hook (6s retention under 60%)",IF(AND(D46="Harvest",I46=0),"P1 check proof/CTA","P2 keep"))))</f>
        <v/>
      </c>
    </row>
    <row r="47">
      <c r="G47" s="10" t="n"/>
      <c r="H47" s="10" t="n"/>
      <c r="J47" s="7" t="n"/>
      <c r="K47" s="7" t="n"/>
      <c r="L47" s="11">
        <f>IF(A47="","",IFERROR(K47/J47,0))</f>
        <v/>
      </c>
      <c r="M47" s="4">
        <f>IF(A47="","",IF(F47=0,"",IF(G47&lt;0.6,"P0 fix hook (6s retention under 60%)",IF(AND(D47="Harvest",I47=0),"P1 check proof/CTA","P2 keep"))))</f>
        <v/>
      </c>
    </row>
    <row r="48">
      <c r="G48" s="10" t="n"/>
      <c r="H48" s="10" t="n"/>
      <c r="J48" s="7" t="n"/>
      <c r="K48" s="7" t="n"/>
      <c r="L48" s="11">
        <f>IF(A48="","",IFERROR(K48/J48,0))</f>
        <v/>
      </c>
      <c r="M48" s="4">
        <f>IF(A48="","",IF(F48=0,"",IF(G48&lt;0.6,"P0 fix hook (6s retention under 60%)",IF(AND(D48="Harvest",I48=0),"P1 check proof/CTA","P2 keep"))))</f>
        <v/>
      </c>
    </row>
    <row r="49">
      <c r="G49" s="10" t="n"/>
      <c r="H49" s="10" t="n"/>
      <c r="J49" s="7" t="n"/>
      <c r="K49" s="7" t="n"/>
      <c r="L49" s="11">
        <f>IF(A49="","",IFERROR(K49/J49,0))</f>
        <v/>
      </c>
      <c r="M49" s="4">
        <f>IF(A49="","",IF(F49=0,"",IF(G49&lt;0.6,"P0 fix hook (6s retention under 60%)",IF(AND(D49="Harvest",I49=0),"P1 check proof/CTA","P2 keep"))))</f>
        <v/>
      </c>
    </row>
    <row r="50">
      <c r="G50" s="10" t="n"/>
      <c r="H50" s="10" t="n"/>
      <c r="J50" s="7" t="n"/>
      <c r="K50" s="7" t="n"/>
      <c r="L50" s="11">
        <f>IF(A50="","",IFERROR(K50/J50,0))</f>
        <v/>
      </c>
      <c r="M50" s="4">
        <f>IF(A50="","",IF(F50=0,"",IF(G50&lt;0.6,"P0 fix hook (6s retention under 60%)",IF(AND(D50="Harvest",I50=0),"P1 check proof/CTA","P2 keep"))))</f>
        <v/>
      </c>
    </row>
    <row r="51">
      <c r="G51" s="10" t="n"/>
      <c r="H51" s="10" t="n"/>
      <c r="J51" s="7" t="n"/>
      <c r="K51" s="7" t="n"/>
      <c r="L51" s="11">
        <f>IF(A51="","",IFERROR(K51/J51,0))</f>
        <v/>
      </c>
      <c r="M51" s="4">
        <f>IF(A51="","",IF(F51=0,"",IF(G51&lt;0.6,"P0 fix hook (6s retention under 60%)",IF(AND(D51="Harvest",I51=0),"P1 check proof/CTA","P2 keep"))))</f>
        <v/>
      </c>
    </row>
    <row r="52">
      <c r="G52" s="10" t="n"/>
      <c r="H52" s="10" t="n"/>
      <c r="J52" s="7" t="n"/>
      <c r="K52" s="7" t="n"/>
      <c r="L52" s="11">
        <f>IF(A52="","",IFERROR(K52/J52,0))</f>
        <v/>
      </c>
      <c r="M52" s="4">
        <f>IF(A52="","",IF(F52=0,"",IF(G52&lt;0.6,"P0 fix hook (6s retention under 60%)",IF(AND(D52="Harvest",I52=0),"P1 check proof/CTA","P2 keep"))))</f>
        <v/>
      </c>
    </row>
    <row r="53">
      <c r="G53" s="10" t="n"/>
      <c r="H53" s="10" t="n"/>
      <c r="J53" s="7" t="n"/>
      <c r="K53" s="7" t="n"/>
      <c r="L53" s="11">
        <f>IF(A53="","",IFERROR(K53/J53,0))</f>
        <v/>
      </c>
      <c r="M53" s="4">
        <f>IF(A53="","",IF(F53=0,"",IF(G53&lt;0.6,"P0 fix hook (6s retention under 60%)",IF(AND(D53="Harvest",I53=0),"P1 check proof/CTA","P2 keep"))))</f>
        <v/>
      </c>
    </row>
    <row r="54">
      <c r="G54" s="10" t="n"/>
      <c r="H54" s="10" t="n"/>
      <c r="J54" s="7" t="n"/>
      <c r="K54" s="7" t="n"/>
      <c r="L54" s="11">
        <f>IF(A54="","",IFERROR(K54/J54,0))</f>
        <v/>
      </c>
      <c r="M54" s="4">
        <f>IF(A54="","",IF(F54=0,"",IF(G54&lt;0.6,"P0 fix hook (6s retention under 60%)",IF(AND(D54="Harvest",I54=0),"P1 check proof/CTA","P2 keep"))))</f>
        <v/>
      </c>
    </row>
    <row r="55">
      <c r="G55" s="10" t="n"/>
      <c r="H55" s="10" t="n"/>
      <c r="J55" s="7" t="n"/>
      <c r="K55" s="7" t="n"/>
      <c r="L55" s="11">
        <f>IF(A55="","",IFERROR(K55/J55,0))</f>
        <v/>
      </c>
      <c r="M55" s="4">
        <f>IF(A55="","",IF(F55=0,"",IF(G55&lt;0.6,"P0 fix hook (6s retention under 60%)",IF(AND(D55="Harvest",I55=0),"P1 check proof/CTA","P2 keep"))))</f>
        <v/>
      </c>
    </row>
    <row r="56">
      <c r="G56" s="10" t="n"/>
      <c r="H56" s="10" t="n"/>
      <c r="J56" s="7" t="n"/>
      <c r="K56" s="7" t="n"/>
      <c r="L56" s="11">
        <f>IF(A56="","",IFERROR(K56/J56,0))</f>
        <v/>
      </c>
      <c r="M56" s="4">
        <f>IF(A56="","",IF(F56=0,"",IF(G56&lt;0.6,"P0 fix hook (6s retention under 60%)",IF(AND(D56="Harvest",I56=0),"P1 check proof/CTA","P2 keep"))))</f>
        <v/>
      </c>
    </row>
    <row r="57">
      <c r="G57" s="10" t="n"/>
      <c r="H57" s="10" t="n"/>
      <c r="J57" s="7" t="n"/>
      <c r="K57" s="7" t="n"/>
      <c r="L57" s="11">
        <f>IF(A57="","",IFERROR(K57/J57,0))</f>
        <v/>
      </c>
      <c r="M57" s="4">
        <f>IF(A57="","",IF(F57=0,"",IF(G57&lt;0.6,"P0 fix hook (6s retention under 60%)",IF(AND(D57="Harvest",I57=0),"P1 check proof/CTA","P2 keep"))))</f>
        <v/>
      </c>
    </row>
    <row r="58">
      <c r="G58" s="10" t="n"/>
      <c r="H58" s="10" t="n"/>
      <c r="J58" s="7" t="n"/>
      <c r="K58" s="7" t="n"/>
      <c r="L58" s="11">
        <f>IF(A58="","",IFERROR(K58/J58,0))</f>
        <v/>
      </c>
      <c r="M58" s="4">
        <f>IF(A58="","",IF(F58=0,"",IF(G58&lt;0.6,"P0 fix hook (6s retention under 60%)",IF(AND(D58="Harvest",I58=0),"P1 check proof/CTA","P2 keep"))))</f>
        <v/>
      </c>
    </row>
    <row r="59">
      <c r="G59" s="10" t="n"/>
      <c r="H59" s="10" t="n"/>
      <c r="J59" s="7" t="n"/>
      <c r="K59" s="7" t="n"/>
      <c r="L59" s="11">
        <f>IF(A59="","",IFERROR(K59/J59,0))</f>
        <v/>
      </c>
      <c r="M59" s="4">
        <f>IF(A59="","",IF(F59=0,"",IF(G59&lt;0.6,"P0 fix hook (6s retention under 60%)",IF(AND(D59="Harvest",I59=0),"P1 check proof/CTA","P2 keep"))))</f>
        <v/>
      </c>
    </row>
    <row r="60">
      <c r="G60" s="10" t="n"/>
      <c r="H60" s="10" t="n"/>
      <c r="J60" s="7" t="n"/>
      <c r="K60" s="7" t="n"/>
      <c r="L60" s="11">
        <f>IF(A60="","",IFERROR(K60/J60,0))</f>
        <v/>
      </c>
      <c r="M60" s="4">
        <f>IF(A60="","",IF(F60=0,"",IF(G60&lt;0.6,"P0 fix hook (6s retention under 60%)",IF(AND(D60="Harvest",I60=0),"P1 check proof/CTA","P2 keep"))))</f>
        <v/>
      </c>
    </row>
    <row r="61">
      <c r="G61" s="10" t="n"/>
      <c r="H61" s="10" t="n"/>
      <c r="J61" s="7" t="n"/>
      <c r="K61" s="7" t="n"/>
      <c r="L61" s="11">
        <f>IF(A61="","",IFERROR(K61/J61,0))</f>
        <v/>
      </c>
      <c r="M61" s="4">
        <f>IF(A61="","",IF(F61=0,"",IF(G61&lt;0.6,"P0 fix hook (6s retention under 60%)",IF(AND(D61="Harvest",I61=0),"P1 check proof/CTA","P2 keep"))))</f>
        <v/>
      </c>
    </row>
    <row r="62">
      <c r="G62" s="10" t="n"/>
      <c r="H62" s="10" t="n"/>
      <c r="J62" s="7" t="n"/>
      <c r="K62" s="7" t="n"/>
      <c r="L62" s="11">
        <f>IF(A62="","",IFERROR(K62/J62,0))</f>
        <v/>
      </c>
      <c r="M62" s="4">
        <f>IF(A62="","",IF(F62=0,"",IF(G62&lt;0.6,"P0 fix hook (6s retention under 60%)",IF(AND(D62="Harvest",I62=0),"P1 check proof/CTA","P2 keep"))))</f>
        <v/>
      </c>
    </row>
    <row r="63">
      <c r="G63" s="10" t="n"/>
      <c r="H63" s="10" t="n"/>
      <c r="J63" s="7" t="n"/>
      <c r="K63" s="7" t="n"/>
      <c r="L63" s="11">
        <f>IF(A63="","",IFERROR(K63/J63,0))</f>
        <v/>
      </c>
      <c r="M63" s="4">
        <f>IF(A63="","",IF(F63=0,"",IF(G63&lt;0.6,"P0 fix hook (6s retention under 60%)",IF(AND(D63="Harvest",I63=0),"P1 check proof/CTA","P2 keep"))))</f>
        <v/>
      </c>
    </row>
    <row r="64">
      <c r="G64" s="10" t="n"/>
      <c r="H64" s="10" t="n"/>
      <c r="J64" s="7" t="n"/>
      <c r="K64" s="7" t="n"/>
      <c r="L64" s="11">
        <f>IF(A64="","",IFERROR(K64/J64,0))</f>
        <v/>
      </c>
      <c r="M64" s="4">
        <f>IF(A64="","",IF(F64=0,"",IF(G64&lt;0.6,"P0 fix hook (6s retention under 60%)",IF(AND(D64="Harvest",I64=0),"P1 check proof/CTA","P2 keep"))))</f>
        <v/>
      </c>
    </row>
    <row r="65">
      <c r="G65" s="10" t="n"/>
      <c r="H65" s="10" t="n"/>
      <c r="J65" s="7" t="n"/>
      <c r="K65" s="7" t="n"/>
      <c r="L65" s="11">
        <f>IF(A65="","",IFERROR(K65/J65,0))</f>
        <v/>
      </c>
      <c r="M65" s="4">
        <f>IF(A65="","",IF(F65=0,"",IF(G65&lt;0.6,"P0 fix hook (6s retention under 60%)",IF(AND(D65="Harvest",I65=0),"P1 check proof/CTA","P2 keep"))))</f>
        <v/>
      </c>
    </row>
    <row r="66">
      <c r="G66" s="10" t="n"/>
      <c r="H66" s="10" t="n"/>
      <c r="J66" s="7" t="n"/>
      <c r="K66" s="7" t="n"/>
      <c r="L66" s="11">
        <f>IF(A66="","",IFERROR(K66/J66,0))</f>
        <v/>
      </c>
      <c r="M66" s="4">
        <f>IF(A66="","",IF(F66=0,"",IF(G66&lt;0.6,"P0 fix hook (6s retention under 60%)",IF(AND(D66="Harvest",I66=0),"P1 check proof/CTA","P2 keep"))))</f>
        <v/>
      </c>
    </row>
    <row r="67">
      <c r="G67" s="10" t="n"/>
      <c r="H67" s="10" t="n"/>
      <c r="J67" s="7" t="n"/>
      <c r="K67" s="7" t="n"/>
      <c r="L67" s="11">
        <f>IF(A67="","",IFERROR(K67/J67,0))</f>
        <v/>
      </c>
      <c r="M67" s="4">
        <f>IF(A67="","",IF(F67=0,"",IF(G67&lt;0.6,"P0 fix hook (6s retention under 60%)",IF(AND(D67="Harvest",I67=0),"P1 check proof/CTA","P2 keep"))))</f>
        <v/>
      </c>
    </row>
    <row r="68">
      <c r="G68" s="10" t="n"/>
      <c r="H68" s="10" t="n"/>
      <c r="J68" s="7" t="n"/>
      <c r="K68" s="7" t="n"/>
      <c r="L68" s="11">
        <f>IF(A68="","",IFERROR(K68/J68,0))</f>
        <v/>
      </c>
      <c r="M68" s="4">
        <f>IF(A68="","",IF(F68=0,"",IF(G68&lt;0.6,"P0 fix hook (6s retention under 60%)",IF(AND(D68="Harvest",I68=0),"P1 check proof/CTA","P2 keep"))))</f>
        <v/>
      </c>
    </row>
    <row r="69">
      <c r="G69" s="10" t="n"/>
      <c r="H69" s="10" t="n"/>
      <c r="J69" s="7" t="n"/>
      <c r="K69" s="7" t="n"/>
      <c r="L69" s="11">
        <f>IF(A69="","",IFERROR(K69/J69,0))</f>
        <v/>
      </c>
      <c r="M69" s="4">
        <f>IF(A69="","",IF(F69=0,"",IF(G69&lt;0.6,"P0 fix hook (6s retention under 60%)",IF(AND(D69="Harvest",I69=0),"P1 check proof/CTA","P2 keep"))))</f>
        <v/>
      </c>
    </row>
    <row r="70">
      <c r="G70" s="10" t="n"/>
      <c r="H70" s="10" t="n"/>
      <c r="J70" s="7" t="n"/>
      <c r="K70" s="7" t="n"/>
      <c r="L70" s="11">
        <f>IF(A70="","",IFERROR(K70/J70,0))</f>
        <v/>
      </c>
      <c r="M70" s="4">
        <f>IF(A70="","",IF(F70=0,"",IF(G70&lt;0.6,"P0 fix hook (6s retention under 60%)",IF(AND(D70="Harvest",I70=0),"P1 check proof/CTA","P2 keep"))))</f>
        <v/>
      </c>
    </row>
    <row r="71">
      <c r="G71" s="10" t="n"/>
      <c r="H71" s="10" t="n"/>
      <c r="J71" s="7" t="n"/>
      <c r="K71" s="7" t="n"/>
      <c r="L71" s="11">
        <f>IF(A71="","",IFERROR(K71/J71,0))</f>
        <v/>
      </c>
      <c r="M71" s="4">
        <f>IF(A71="","",IF(F71=0,"",IF(G71&lt;0.6,"P0 fix hook (6s retention under 60%)",IF(AND(D71="Harvest",I71=0),"P1 check proof/CTA","P2 keep"))))</f>
        <v/>
      </c>
    </row>
    <row r="72">
      <c r="G72" s="10" t="n"/>
      <c r="H72" s="10" t="n"/>
      <c r="J72" s="7" t="n"/>
      <c r="K72" s="7" t="n"/>
      <c r="L72" s="11">
        <f>IF(A72="","",IFERROR(K72/J72,0))</f>
        <v/>
      </c>
      <c r="M72" s="4">
        <f>IF(A72="","",IF(F72=0,"",IF(G72&lt;0.6,"P0 fix hook (6s retention under 60%)",IF(AND(D72="Harvest",I72=0),"P1 check proof/CTA","P2 keep"))))</f>
        <v/>
      </c>
    </row>
    <row r="73">
      <c r="G73" s="10" t="n"/>
      <c r="H73" s="10" t="n"/>
      <c r="J73" s="7" t="n"/>
      <c r="K73" s="7" t="n"/>
      <c r="L73" s="11">
        <f>IF(A73="","",IFERROR(K73/J73,0))</f>
        <v/>
      </c>
      <c r="M73" s="4">
        <f>IF(A73="","",IF(F73=0,"",IF(G73&lt;0.6,"P0 fix hook (6s retention under 60%)",IF(AND(D73="Harvest",I73=0),"P1 check proof/CTA","P2 keep"))))</f>
        <v/>
      </c>
    </row>
    <row r="74">
      <c r="G74" s="10" t="n"/>
      <c r="H74" s="10" t="n"/>
      <c r="J74" s="7" t="n"/>
      <c r="K74" s="7" t="n"/>
      <c r="L74" s="11">
        <f>IF(A74="","",IFERROR(K74/J74,0))</f>
        <v/>
      </c>
      <c r="M74" s="4">
        <f>IF(A74="","",IF(F74=0,"",IF(G74&lt;0.6,"P0 fix hook (6s retention under 60%)",IF(AND(D74="Harvest",I74=0),"P1 check proof/CTA","P2 keep"))))</f>
        <v/>
      </c>
    </row>
    <row r="75">
      <c r="G75" s="10" t="n"/>
      <c r="H75" s="10" t="n"/>
      <c r="J75" s="7" t="n"/>
      <c r="K75" s="7" t="n"/>
      <c r="L75" s="11">
        <f>IF(A75="","",IFERROR(K75/J75,0))</f>
        <v/>
      </c>
      <c r="M75" s="4">
        <f>IF(A75="","",IF(F75=0,"",IF(G75&lt;0.6,"P0 fix hook (6s retention under 60%)",IF(AND(D75="Harvest",I75=0),"P1 check proof/CTA","P2 keep"))))</f>
        <v/>
      </c>
    </row>
    <row r="76">
      <c r="G76" s="10" t="n"/>
      <c r="H76" s="10" t="n"/>
      <c r="J76" s="7" t="n"/>
      <c r="K76" s="7" t="n"/>
      <c r="L76" s="11">
        <f>IF(A76="","",IFERROR(K76/J76,0))</f>
        <v/>
      </c>
      <c r="M76" s="4">
        <f>IF(A76="","",IF(F76=0,"",IF(G76&lt;0.6,"P0 fix hook (6s retention under 60%)",IF(AND(D76="Harvest",I76=0),"P1 check proof/CTA","P2 keep"))))</f>
        <v/>
      </c>
    </row>
    <row r="77">
      <c r="G77" s="10" t="n"/>
      <c r="H77" s="10" t="n"/>
      <c r="J77" s="7" t="n"/>
      <c r="K77" s="7" t="n"/>
      <c r="L77" s="11">
        <f>IF(A77="","",IFERROR(K77/J77,0))</f>
        <v/>
      </c>
      <c r="M77" s="4">
        <f>IF(A77="","",IF(F77=0,"",IF(G77&lt;0.6,"P0 fix hook (6s retention under 60%)",IF(AND(D77="Harvest",I77=0),"P1 check proof/CTA","P2 keep"))))</f>
        <v/>
      </c>
    </row>
    <row r="78">
      <c r="G78" s="10" t="n"/>
      <c r="H78" s="10" t="n"/>
      <c r="J78" s="7" t="n"/>
      <c r="K78" s="7" t="n"/>
      <c r="L78" s="11">
        <f>IF(A78="","",IFERROR(K78/J78,0))</f>
        <v/>
      </c>
      <c r="M78" s="4">
        <f>IF(A78="","",IF(F78=0,"",IF(G78&lt;0.6,"P0 fix hook (6s retention under 60%)",IF(AND(D78="Harvest",I78=0),"P1 check proof/CTA","P2 keep"))))</f>
        <v/>
      </c>
    </row>
    <row r="79">
      <c r="G79" s="10" t="n"/>
      <c r="H79" s="10" t="n"/>
      <c r="J79" s="7" t="n"/>
      <c r="K79" s="7" t="n"/>
      <c r="L79" s="11">
        <f>IF(A79="","",IFERROR(K79/J79,0))</f>
        <v/>
      </c>
      <c r="M79" s="4">
        <f>IF(A79="","",IF(F79=0,"",IF(G79&lt;0.6,"P0 fix hook (6s retention under 60%)",IF(AND(D79="Harvest",I79=0),"P1 check proof/CTA","P2 keep"))))</f>
        <v/>
      </c>
    </row>
    <row r="80">
      <c r="G80" s="10" t="n"/>
      <c r="H80" s="10" t="n"/>
      <c r="J80" s="7" t="n"/>
      <c r="K80" s="7" t="n"/>
      <c r="L80" s="11">
        <f>IF(A80="","",IFERROR(K80/J80,0))</f>
        <v/>
      </c>
      <c r="M80" s="4">
        <f>IF(A80="","",IF(F80=0,"",IF(G80&lt;0.6,"P0 fix hook (6s retention under 60%)",IF(AND(D80="Harvest",I80=0),"P1 check proof/CTA","P2 keep"))))</f>
        <v/>
      </c>
    </row>
    <row r="81">
      <c r="G81" s="10" t="n"/>
      <c r="H81" s="10" t="n"/>
      <c r="J81" s="7" t="n"/>
      <c r="K81" s="7" t="n"/>
      <c r="L81" s="11">
        <f>IF(A81="","",IFERROR(K81/J81,0))</f>
        <v/>
      </c>
      <c r="M81" s="4">
        <f>IF(A81="","",IF(F81=0,"",IF(G81&lt;0.6,"P0 fix hook (6s retention under 60%)",IF(AND(D81="Harvest",I81=0),"P1 check proof/CTA","P2 keep"))))</f>
        <v/>
      </c>
    </row>
    <row r="82">
      <c r="G82" s="10" t="n"/>
      <c r="H82" s="10" t="n"/>
      <c r="J82" s="7" t="n"/>
      <c r="K82" s="7" t="n"/>
      <c r="L82" s="11">
        <f>IF(A82="","",IFERROR(K82/J82,0))</f>
        <v/>
      </c>
      <c r="M82" s="4">
        <f>IF(A82="","",IF(F82=0,"",IF(G82&lt;0.6,"P0 fix hook (6s retention under 60%)",IF(AND(D82="Harvest",I82=0),"P1 check proof/CTA","P2 keep"))))</f>
        <v/>
      </c>
    </row>
    <row r="83">
      <c r="G83" s="10" t="n"/>
      <c r="H83" s="10" t="n"/>
      <c r="J83" s="7" t="n"/>
      <c r="K83" s="7" t="n"/>
      <c r="L83" s="11">
        <f>IF(A83="","",IFERROR(K83/J83,0))</f>
        <v/>
      </c>
      <c r="M83" s="4">
        <f>IF(A83="","",IF(F83=0,"",IF(G83&lt;0.6,"P0 fix hook (6s retention under 60%)",IF(AND(D83="Harvest",I83=0),"P1 check proof/CTA","P2 keep"))))</f>
        <v/>
      </c>
    </row>
    <row r="84">
      <c r="G84" s="10" t="n"/>
      <c r="H84" s="10" t="n"/>
      <c r="J84" s="7" t="n"/>
      <c r="K84" s="7" t="n"/>
      <c r="L84" s="11">
        <f>IF(A84="","",IFERROR(K84/J84,0))</f>
        <v/>
      </c>
      <c r="M84" s="4">
        <f>IF(A84="","",IF(F84=0,"",IF(G84&lt;0.6,"P0 fix hook (6s retention under 60%)",IF(AND(D84="Harvest",I84=0),"P1 check proof/CTA","P2 keep"))))</f>
        <v/>
      </c>
    </row>
    <row r="85">
      <c r="G85" s="10" t="n"/>
      <c r="H85" s="10" t="n"/>
      <c r="J85" s="7" t="n"/>
      <c r="K85" s="7" t="n"/>
      <c r="L85" s="11">
        <f>IF(A85="","",IFERROR(K85/J85,0))</f>
        <v/>
      </c>
      <c r="M85" s="4">
        <f>IF(A85="","",IF(F85=0,"",IF(G85&lt;0.6,"P0 fix hook (6s retention under 60%)",IF(AND(D85="Harvest",I85=0),"P1 check proof/CTA","P2 keep"))))</f>
        <v/>
      </c>
    </row>
    <row r="86">
      <c r="G86" s="10" t="n"/>
      <c r="H86" s="10" t="n"/>
      <c r="J86" s="7" t="n"/>
      <c r="K86" s="7" t="n"/>
      <c r="L86" s="11">
        <f>IF(A86="","",IFERROR(K86/J86,0))</f>
        <v/>
      </c>
      <c r="M86" s="4">
        <f>IF(A86="","",IF(F86=0,"",IF(G86&lt;0.6,"P0 fix hook (6s retention under 60%)",IF(AND(D86="Harvest",I86=0),"P1 check proof/CTA","P2 keep"))))</f>
        <v/>
      </c>
    </row>
    <row r="87">
      <c r="G87" s="10" t="n"/>
      <c r="H87" s="10" t="n"/>
      <c r="J87" s="7" t="n"/>
      <c r="K87" s="7" t="n"/>
      <c r="L87" s="11">
        <f>IF(A87="","",IFERROR(K87/J87,0))</f>
        <v/>
      </c>
      <c r="M87" s="4">
        <f>IF(A87="","",IF(F87=0,"",IF(G87&lt;0.6,"P0 fix hook (6s retention under 60%)",IF(AND(D87="Harvest",I87=0),"P1 check proof/CTA","P2 keep"))))</f>
        <v/>
      </c>
    </row>
    <row r="88">
      <c r="G88" s="10" t="n"/>
      <c r="H88" s="10" t="n"/>
      <c r="J88" s="7" t="n"/>
      <c r="K88" s="7" t="n"/>
      <c r="L88" s="11">
        <f>IF(A88="","",IFERROR(K88/J88,0))</f>
        <v/>
      </c>
      <c r="M88" s="4">
        <f>IF(A88="","",IF(F88=0,"",IF(G88&lt;0.6,"P0 fix hook (6s retention under 60%)",IF(AND(D88="Harvest",I88=0),"P1 check proof/CTA","P2 keep"))))</f>
        <v/>
      </c>
    </row>
    <row r="89">
      <c r="G89" s="10" t="n"/>
      <c r="H89" s="10" t="n"/>
      <c r="J89" s="7" t="n"/>
      <c r="K89" s="7" t="n"/>
      <c r="L89" s="11">
        <f>IF(A89="","",IFERROR(K89/J89,0))</f>
        <v/>
      </c>
      <c r="M89" s="4">
        <f>IF(A89="","",IF(F89=0,"",IF(G89&lt;0.6,"P0 fix hook (6s retention under 60%)",IF(AND(D89="Harvest",I89=0),"P1 check proof/CTA","P2 keep"))))</f>
        <v/>
      </c>
    </row>
    <row r="90">
      <c r="G90" s="10" t="n"/>
      <c r="H90" s="10" t="n"/>
      <c r="J90" s="7" t="n"/>
      <c r="K90" s="7" t="n"/>
      <c r="L90" s="11">
        <f>IF(A90="","",IFERROR(K90/J90,0))</f>
        <v/>
      </c>
      <c r="M90" s="4">
        <f>IF(A90="","",IF(F90=0,"",IF(G90&lt;0.6,"P0 fix hook (6s retention under 60%)",IF(AND(D90="Harvest",I90=0),"P1 check proof/CTA","P2 keep"))))</f>
        <v/>
      </c>
    </row>
    <row r="91">
      <c r="G91" s="10" t="n"/>
      <c r="H91" s="10" t="n"/>
      <c r="J91" s="7" t="n"/>
      <c r="K91" s="7" t="n"/>
      <c r="L91" s="11">
        <f>IF(A91="","",IFERROR(K91/J91,0))</f>
        <v/>
      </c>
      <c r="M91" s="4">
        <f>IF(A91="","",IF(F91=0,"",IF(G91&lt;0.6,"P0 fix hook (6s retention under 60%)",IF(AND(D91="Harvest",I91=0),"P1 check proof/CTA","P2 keep"))))</f>
        <v/>
      </c>
    </row>
    <row r="92">
      <c r="G92" s="10" t="n"/>
      <c r="H92" s="10" t="n"/>
      <c r="J92" s="7" t="n"/>
      <c r="K92" s="7" t="n"/>
      <c r="L92" s="11">
        <f>IF(A92="","",IFERROR(K92/J92,0))</f>
        <v/>
      </c>
      <c r="M92" s="4">
        <f>IF(A92="","",IF(F92=0,"",IF(G92&lt;0.6,"P0 fix hook (6s retention under 60%)",IF(AND(D92="Harvest",I92=0),"P1 check proof/CTA","P2 keep"))))</f>
        <v/>
      </c>
    </row>
    <row r="93">
      <c r="G93" s="10" t="n"/>
      <c r="H93" s="10" t="n"/>
      <c r="J93" s="7" t="n"/>
      <c r="K93" s="7" t="n"/>
      <c r="L93" s="11">
        <f>IF(A93="","",IFERROR(K93/J93,0))</f>
        <v/>
      </c>
      <c r="M93" s="4">
        <f>IF(A93="","",IF(F93=0,"",IF(G93&lt;0.6,"P0 fix hook (6s retention under 60%)",IF(AND(D93="Harvest",I93=0),"P1 check proof/CTA","P2 keep"))))</f>
        <v/>
      </c>
    </row>
    <row r="94">
      <c r="G94" s="10" t="n"/>
      <c r="H94" s="10" t="n"/>
      <c r="J94" s="7" t="n"/>
      <c r="K94" s="7" t="n"/>
      <c r="L94" s="11">
        <f>IF(A94="","",IFERROR(K94/J94,0))</f>
        <v/>
      </c>
      <c r="M94" s="4">
        <f>IF(A94="","",IF(F94=0,"",IF(G94&lt;0.6,"P0 fix hook (6s retention under 60%)",IF(AND(D94="Harvest",I94=0),"P1 check proof/CTA","P2 keep"))))</f>
        <v/>
      </c>
    </row>
    <row r="95">
      <c r="G95" s="10" t="n"/>
      <c r="H95" s="10" t="n"/>
      <c r="J95" s="7" t="n"/>
      <c r="K95" s="7" t="n"/>
      <c r="L95" s="11">
        <f>IF(A95="","",IFERROR(K95/J95,0))</f>
        <v/>
      </c>
      <c r="M95" s="4">
        <f>IF(A95="","",IF(F95=0,"",IF(G95&lt;0.6,"P0 fix hook (6s retention under 60%)",IF(AND(D95="Harvest",I95=0),"P1 check proof/CTA","P2 keep"))))</f>
        <v/>
      </c>
    </row>
    <row r="96">
      <c r="G96" s="10" t="n"/>
      <c r="H96" s="10" t="n"/>
      <c r="J96" s="7" t="n"/>
      <c r="K96" s="7" t="n"/>
      <c r="L96" s="11">
        <f>IF(A96="","",IFERROR(K96/J96,0))</f>
        <v/>
      </c>
      <c r="M96" s="4">
        <f>IF(A96="","",IF(F96=0,"",IF(G96&lt;0.6,"P0 fix hook (6s retention under 60%)",IF(AND(D96="Harvest",I96=0),"P1 check proof/CTA","P2 keep"))))</f>
        <v/>
      </c>
    </row>
    <row r="97">
      <c r="G97" s="10" t="n"/>
      <c r="H97" s="10" t="n"/>
      <c r="J97" s="7" t="n"/>
      <c r="K97" s="7" t="n"/>
      <c r="L97" s="11">
        <f>IF(A97="","",IFERROR(K97/J97,0))</f>
        <v/>
      </c>
      <c r="M97" s="4">
        <f>IF(A97="","",IF(F97=0,"",IF(G97&lt;0.6,"P0 fix hook (6s retention under 60%)",IF(AND(D97="Harvest",I97=0),"P1 check proof/CTA","P2 keep"))))</f>
        <v/>
      </c>
    </row>
    <row r="98">
      <c r="G98" s="10" t="n"/>
      <c r="H98" s="10" t="n"/>
      <c r="J98" s="7" t="n"/>
      <c r="K98" s="7" t="n"/>
      <c r="L98" s="11">
        <f>IF(A98="","",IFERROR(K98/J98,0))</f>
        <v/>
      </c>
      <c r="M98" s="4">
        <f>IF(A98="","",IF(F98=0,"",IF(G98&lt;0.6,"P0 fix hook (6s retention under 60%)",IF(AND(D98="Harvest",I98=0),"P1 check proof/CTA","P2 keep"))))</f>
        <v/>
      </c>
    </row>
    <row r="99">
      <c r="G99" s="10" t="n"/>
      <c r="H99" s="10" t="n"/>
      <c r="J99" s="7" t="n"/>
      <c r="K99" s="7" t="n"/>
      <c r="L99" s="11">
        <f>IF(A99="","",IFERROR(K99/J99,0))</f>
        <v/>
      </c>
      <c r="M99" s="4">
        <f>IF(A99="","",IF(F99=0,"",IF(G99&lt;0.6,"P0 fix hook (6s retention under 60%)",IF(AND(D99="Harvest",I99=0),"P1 check proof/CTA","P2 keep"))))</f>
        <v/>
      </c>
    </row>
    <row r="100">
      <c r="G100" s="10" t="n"/>
      <c r="H100" s="10" t="n"/>
      <c r="J100" s="7" t="n"/>
      <c r="K100" s="7" t="n"/>
      <c r="L100" s="11">
        <f>IF(A100="","",IFERROR(K100/J100,0))</f>
        <v/>
      </c>
      <c r="M100" s="4">
        <f>IF(A100="","",IF(F100=0,"",IF(G100&lt;0.6,"P0 fix hook (6s retention under 60%)",IF(AND(D100="Harvest",I100=0),"P1 check proof/CTA","P2 keep"))))</f>
        <v/>
      </c>
    </row>
    <row r="101">
      <c r="G101" s="10" t="n"/>
      <c r="H101" s="10" t="n"/>
      <c r="J101" s="7" t="n"/>
      <c r="K101" s="7" t="n"/>
      <c r="L101" s="11">
        <f>IF(A101="","",IFERROR(K101/J101,0))</f>
        <v/>
      </c>
      <c r="M101" s="4">
        <f>IF(A101="","",IF(F101=0,"",IF(G101&lt;0.6,"P0 fix hook (6s retention under 60%)",IF(AND(D101="Harvest",I101=0),"P1 check proof/CTA","P2 keep"))))</f>
        <v/>
      </c>
    </row>
    <row r="102">
      <c r="G102" s="10" t="n"/>
      <c r="H102" s="10" t="n"/>
      <c r="J102" s="7" t="n"/>
      <c r="K102" s="7" t="n"/>
      <c r="L102" s="11">
        <f>IF(A102="","",IFERROR(K102/J102,0))</f>
        <v/>
      </c>
      <c r="M102" s="4">
        <f>IF(A102="","",IF(F102=0,"",IF(G102&lt;0.6,"P0 fix hook (6s retention under 60%)",IF(AND(D102="Harvest",I102=0),"P1 check proof/CTA","P2 keep"))))</f>
        <v/>
      </c>
    </row>
    <row r="103">
      <c r="G103" s="10" t="n"/>
      <c r="H103" s="10" t="n"/>
      <c r="J103" s="7" t="n"/>
      <c r="K103" s="7" t="n"/>
      <c r="L103" s="11">
        <f>IF(A103="","",IFERROR(K103/J103,0))</f>
        <v/>
      </c>
      <c r="M103" s="4">
        <f>IF(A103="","",IF(F103=0,"",IF(G103&lt;0.6,"P0 fix hook (6s retention under 60%)",IF(AND(D103="Harvest",I103=0),"P1 check proof/CTA","P2 keep"))))</f>
        <v/>
      </c>
    </row>
    <row r="104">
      <c r="G104" s="10" t="n"/>
      <c r="H104" s="10" t="n"/>
      <c r="J104" s="7" t="n"/>
      <c r="K104" s="7" t="n"/>
      <c r="L104" s="11">
        <f>IF(A104="","",IFERROR(K104/J104,0))</f>
        <v/>
      </c>
      <c r="M104" s="4">
        <f>IF(A104="","",IF(F104=0,"",IF(G104&lt;0.6,"P0 fix hook (6s retention under 60%)",IF(AND(D104="Harvest",I104=0),"P1 check proof/CTA","P2 keep"))))</f>
        <v/>
      </c>
    </row>
    <row r="105">
      <c r="G105" s="10" t="n"/>
      <c r="H105" s="10" t="n"/>
      <c r="J105" s="7" t="n"/>
      <c r="K105" s="7" t="n"/>
      <c r="L105" s="11">
        <f>IF(A105="","",IFERROR(K105/J105,0))</f>
        <v/>
      </c>
      <c r="M105" s="4">
        <f>IF(A105="","",IF(F105=0,"",IF(G105&lt;0.6,"P0 fix hook (6s retention under 60%)",IF(AND(D105="Harvest",I105=0),"P1 check proof/CTA","P2 keep"))))</f>
        <v/>
      </c>
    </row>
    <row r="106">
      <c r="G106" s="10" t="n"/>
      <c r="H106" s="10" t="n"/>
      <c r="J106" s="7" t="n"/>
      <c r="K106" s="7" t="n"/>
      <c r="L106" s="11">
        <f>IF(A106="","",IFERROR(K106/J106,0))</f>
        <v/>
      </c>
      <c r="M106" s="4">
        <f>IF(A106="","",IF(F106=0,"",IF(G106&lt;0.6,"P0 fix hook (6s retention under 60%)",IF(AND(D106="Harvest",I106=0),"P1 check proof/CTA","P2 keep"))))</f>
        <v/>
      </c>
    </row>
    <row r="107">
      <c r="G107" s="10" t="n"/>
      <c r="H107" s="10" t="n"/>
      <c r="J107" s="7" t="n"/>
      <c r="K107" s="7" t="n"/>
      <c r="L107" s="11">
        <f>IF(A107="","",IFERROR(K107/J107,0))</f>
        <v/>
      </c>
      <c r="M107" s="4">
        <f>IF(A107="","",IF(F107=0,"",IF(G107&lt;0.6,"P0 fix hook (6s retention under 60%)",IF(AND(D107="Harvest",I107=0),"P1 check proof/CTA","P2 keep"))))</f>
        <v/>
      </c>
    </row>
    <row r="108">
      <c r="G108" s="10" t="n"/>
      <c r="H108" s="10" t="n"/>
      <c r="J108" s="7" t="n"/>
      <c r="K108" s="7" t="n"/>
      <c r="L108" s="11">
        <f>IF(A108="","",IFERROR(K108/J108,0))</f>
        <v/>
      </c>
      <c r="M108" s="4">
        <f>IF(A108="","",IF(F108=0,"",IF(G108&lt;0.6,"P0 fix hook (6s retention under 60%)",IF(AND(D108="Harvest",I108=0),"P1 check proof/CTA","P2 keep"))))</f>
        <v/>
      </c>
    </row>
    <row r="109">
      <c r="G109" s="10" t="n"/>
      <c r="H109" s="10" t="n"/>
      <c r="J109" s="7" t="n"/>
      <c r="K109" s="7" t="n"/>
      <c r="L109" s="11">
        <f>IF(A109="","",IFERROR(K109/J109,0))</f>
        <v/>
      </c>
      <c r="M109" s="4">
        <f>IF(A109="","",IF(F109=0,"",IF(G109&lt;0.6,"P0 fix hook (6s retention under 60%)",IF(AND(D109="Harvest",I109=0),"P1 check proof/CTA","P2 keep"))))</f>
        <v/>
      </c>
    </row>
    <row r="110">
      <c r="G110" s="10" t="n"/>
      <c r="H110" s="10" t="n"/>
      <c r="J110" s="7" t="n"/>
      <c r="K110" s="7" t="n"/>
      <c r="L110" s="11">
        <f>IF(A110="","",IFERROR(K110/J110,0))</f>
        <v/>
      </c>
      <c r="M110" s="4">
        <f>IF(A110="","",IF(F110=0,"",IF(G110&lt;0.6,"P0 fix hook (6s retention under 60%)",IF(AND(D110="Harvest",I110=0),"P1 check proof/CTA","P2 keep"))))</f>
        <v/>
      </c>
    </row>
    <row r="111">
      <c r="G111" s="10" t="n"/>
      <c r="H111" s="10" t="n"/>
      <c r="J111" s="7" t="n"/>
      <c r="K111" s="7" t="n"/>
      <c r="L111" s="11">
        <f>IF(A111="","",IFERROR(K111/J111,0))</f>
        <v/>
      </c>
      <c r="M111" s="4">
        <f>IF(A111="","",IF(F111=0,"",IF(G111&lt;0.6,"P0 fix hook (6s retention under 60%)",IF(AND(D111="Harvest",I111=0),"P1 check proof/CTA","P2 keep"))))</f>
        <v/>
      </c>
    </row>
    <row r="112">
      <c r="G112" s="10" t="n"/>
      <c r="H112" s="10" t="n"/>
      <c r="J112" s="7" t="n"/>
      <c r="K112" s="7" t="n"/>
      <c r="L112" s="11">
        <f>IF(A112="","",IFERROR(K112/J112,0))</f>
        <v/>
      </c>
      <c r="M112" s="4">
        <f>IF(A112="","",IF(F112=0,"",IF(G112&lt;0.6,"P0 fix hook (6s retention under 60%)",IF(AND(D112="Harvest",I112=0),"P1 check proof/CTA","P2 keep"))))</f>
        <v/>
      </c>
    </row>
    <row r="113">
      <c r="G113" s="10" t="n"/>
      <c r="H113" s="10" t="n"/>
      <c r="J113" s="7" t="n"/>
      <c r="K113" s="7" t="n"/>
      <c r="L113" s="11">
        <f>IF(A113="","",IFERROR(K113/J113,0))</f>
        <v/>
      </c>
      <c r="M113" s="4">
        <f>IF(A113="","",IF(F113=0,"",IF(G113&lt;0.6,"P0 fix hook (6s retention under 60%)",IF(AND(D113="Harvest",I113=0),"P1 check proof/CTA","P2 keep"))))</f>
        <v/>
      </c>
    </row>
    <row r="114">
      <c r="G114" s="10" t="n"/>
      <c r="H114" s="10" t="n"/>
      <c r="J114" s="7" t="n"/>
      <c r="K114" s="7" t="n"/>
      <c r="L114" s="11">
        <f>IF(A114="","",IFERROR(K114/J114,0))</f>
        <v/>
      </c>
      <c r="M114" s="4">
        <f>IF(A114="","",IF(F114=0,"",IF(G114&lt;0.6,"P0 fix hook (6s retention under 60%)",IF(AND(D114="Harvest",I114=0),"P1 check proof/CTA","P2 keep"))))</f>
        <v/>
      </c>
    </row>
    <row r="115">
      <c r="G115" s="10" t="n"/>
      <c r="H115" s="10" t="n"/>
      <c r="J115" s="7" t="n"/>
      <c r="K115" s="7" t="n"/>
      <c r="L115" s="11">
        <f>IF(A115="","",IFERROR(K115/J115,0))</f>
        <v/>
      </c>
      <c r="M115" s="4">
        <f>IF(A115="","",IF(F115=0,"",IF(G115&lt;0.6,"P0 fix hook (6s retention under 60%)",IF(AND(D115="Harvest",I115=0),"P1 check proof/CTA","P2 keep"))))</f>
        <v/>
      </c>
    </row>
    <row r="116">
      <c r="G116" s="10" t="n"/>
      <c r="H116" s="10" t="n"/>
      <c r="J116" s="7" t="n"/>
      <c r="K116" s="7" t="n"/>
      <c r="L116" s="11">
        <f>IF(A116="","",IFERROR(K116/J116,0))</f>
        <v/>
      </c>
      <c r="M116" s="4">
        <f>IF(A116="","",IF(F116=0,"",IF(G116&lt;0.6,"P0 fix hook (6s retention under 60%)",IF(AND(D116="Harvest",I116=0),"P1 check proof/CTA","P2 keep"))))</f>
        <v/>
      </c>
    </row>
    <row r="117">
      <c r="G117" s="10" t="n"/>
      <c r="H117" s="10" t="n"/>
      <c r="J117" s="7" t="n"/>
      <c r="K117" s="7" t="n"/>
      <c r="L117" s="11">
        <f>IF(A117="","",IFERROR(K117/J117,0))</f>
        <v/>
      </c>
      <c r="M117" s="4">
        <f>IF(A117="","",IF(F117=0,"",IF(G117&lt;0.6,"P0 fix hook (6s retention under 60%)",IF(AND(D117="Harvest",I117=0),"P1 check proof/CTA","P2 keep"))))</f>
        <v/>
      </c>
    </row>
    <row r="118">
      <c r="G118" s="10" t="n"/>
      <c r="H118" s="10" t="n"/>
      <c r="J118" s="7" t="n"/>
      <c r="K118" s="7" t="n"/>
      <c r="L118" s="11">
        <f>IF(A118="","",IFERROR(K118/J118,0))</f>
        <v/>
      </c>
      <c r="M118" s="4">
        <f>IF(A118="","",IF(F118=0,"",IF(G118&lt;0.6,"P0 fix hook (6s retention under 60%)",IF(AND(D118="Harvest",I118=0),"P1 check proof/CTA","P2 keep"))))</f>
        <v/>
      </c>
    </row>
    <row r="119">
      <c r="G119" s="10" t="n"/>
      <c r="H119" s="10" t="n"/>
      <c r="J119" s="7" t="n"/>
      <c r="K119" s="7" t="n"/>
      <c r="L119" s="11">
        <f>IF(A119="","",IFERROR(K119/J119,0))</f>
        <v/>
      </c>
      <c r="M119" s="4">
        <f>IF(A119="","",IF(F119=0,"",IF(G119&lt;0.6,"P0 fix hook (6s retention under 60%)",IF(AND(D119="Harvest",I119=0),"P1 check proof/CTA","P2 keep"))))</f>
        <v/>
      </c>
    </row>
    <row r="120">
      <c r="G120" s="10" t="n"/>
      <c r="H120" s="10" t="n"/>
      <c r="J120" s="7" t="n"/>
      <c r="K120" s="7" t="n"/>
      <c r="L120" s="11">
        <f>IF(A120="","",IFERROR(K120/J120,0))</f>
        <v/>
      </c>
      <c r="M120" s="4">
        <f>IF(A120="","",IF(F120=0,"",IF(G120&lt;0.6,"P0 fix hook (6s retention under 60%)",IF(AND(D120="Harvest",I120=0),"P1 check proof/CTA","P2 keep"))))</f>
        <v/>
      </c>
    </row>
    <row r="121">
      <c r="G121" s="10" t="n"/>
      <c r="H121" s="10" t="n"/>
      <c r="J121" s="7" t="n"/>
      <c r="K121" s="7" t="n"/>
      <c r="L121" s="11">
        <f>IF(A121="","",IFERROR(K121/J121,0))</f>
        <v/>
      </c>
      <c r="M121" s="4">
        <f>IF(A121="","",IF(F121=0,"",IF(G121&lt;0.6,"P0 fix hook (6s retention under 60%)",IF(AND(D121="Harvest",I121=0),"P1 check proof/CTA","P2 keep"))))</f>
        <v/>
      </c>
    </row>
    <row r="122">
      <c r="G122" s="10" t="n"/>
      <c r="H122" s="10" t="n"/>
      <c r="J122" s="7" t="n"/>
      <c r="K122" s="7" t="n"/>
      <c r="L122" s="11">
        <f>IF(A122="","",IFERROR(K122/J122,0))</f>
        <v/>
      </c>
      <c r="M122" s="4">
        <f>IF(A122="","",IF(F122=0,"",IF(G122&lt;0.6,"P0 fix hook (6s retention under 60%)",IF(AND(D122="Harvest",I122=0),"P1 check proof/CTA","P2 keep"))))</f>
        <v/>
      </c>
    </row>
    <row r="123">
      <c r="G123" s="10" t="n"/>
      <c r="H123" s="10" t="n"/>
      <c r="J123" s="7" t="n"/>
      <c r="K123" s="7" t="n"/>
      <c r="L123" s="11">
        <f>IF(A123="","",IFERROR(K123/J123,0))</f>
        <v/>
      </c>
      <c r="M123" s="4">
        <f>IF(A123="","",IF(F123=0,"",IF(G123&lt;0.6,"P0 fix hook (6s retention under 60%)",IF(AND(D123="Harvest",I123=0),"P1 check proof/CTA","P2 keep"))))</f>
        <v/>
      </c>
    </row>
    <row r="124">
      <c r="G124" s="10" t="n"/>
      <c r="H124" s="10" t="n"/>
      <c r="J124" s="7" t="n"/>
      <c r="K124" s="7" t="n"/>
      <c r="L124" s="11">
        <f>IF(A124="","",IFERROR(K124/J124,0))</f>
        <v/>
      </c>
      <c r="M124" s="4">
        <f>IF(A124="","",IF(F124=0,"",IF(G124&lt;0.6,"P0 fix hook (6s retention under 60%)",IF(AND(D124="Harvest",I124=0),"P1 check proof/CTA","P2 keep"))))</f>
        <v/>
      </c>
    </row>
    <row r="125">
      <c r="G125" s="10" t="n"/>
      <c r="H125" s="10" t="n"/>
      <c r="J125" s="7" t="n"/>
      <c r="K125" s="7" t="n"/>
      <c r="L125" s="11">
        <f>IF(A125="","",IFERROR(K125/J125,0))</f>
        <v/>
      </c>
      <c r="M125" s="4">
        <f>IF(A125="","",IF(F125=0,"",IF(G125&lt;0.6,"P0 fix hook (6s retention under 60%)",IF(AND(D125="Harvest",I125=0),"P1 check proof/CTA","P2 keep"))))</f>
        <v/>
      </c>
    </row>
    <row r="126">
      <c r="G126" s="10" t="n"/>
      <c r="H126" s="10" t="n"/>
      <c r="J126" s="7" t="n"/>
      <c r="K126" s="7" t="n"/>
      <c r="L126" s="11">
        <f>IF(A126="","",IFERROR(K126/J126,0))</f>
        <v/>
      </c>
      <c r="M126" s="4">
        <f>IF(A126="","",IF(F126=0,"",IF(G126&lt;0.6,"P0 fix hook (6s retention under 60%)",IF(AND(D126="Harvest",I126=0),"P1 check proof/CTA","P2 keep"))))</f>
        <v/>
      </c>
    </row>
    <row r="127">
      <c r="G127" s="10" t="n"/>
      <c r="H127" s="10" t="n"/>
      <c r="J127" s="7" t="n"/>
      <c r="K127" s="7" t="n"/>
      <c r="L127" s="11">
        <f>IF(A127="","",IFERROR(K127/J127,0))</f>
        <v/>
      </c>
      <c r="M127" s="4">
        <f>IF(A127="","",IF(F127=0,"",IF(G127&lt;0.6,"P0 fix hook (6s retention under 60%)",IF(AND(D127="Harvest",I127=0),"P1 check proof/CTA","P2 keep"))))</f>
        <v/>
      </c>
    </row>
    <row r="128">
      <c r="G128" s="10" t="n"/>
      <c r="H128" s="10" t="n"/>
      <c r="J128" s="7" t="n"/>
      <c r="K128" s="7" t="n"/>
      <c r="L128" s="11">
        <f>IF(A128="","",IFERROR(K128/J128,0))</f>
        <v/>
      </c>
      <c r="M128" s="4">
        <f>IF(A128="","",IF(F128=0,"",IF(G128&lt;0.6,"P0 fix hook (6s retention under 60%)",IF(AND(D128="Harvest",I128=0),"P1 check proof/CTA","P2 keep"))))</f>
        <v/>
      </c>
    </row>
    <row r="129">
      <c r="G129" s="10" t="n"/>
      <c r="H129" s="10" t="n"/>
      <c r="J129" s="7" t="n"/>
      <c r="K129" s="7" t="n"/>
      <c r="L129" s="11">
        <f>IF(A129="","",IFERROR(K129/J129,0))</f>
        <v/>
      </c>
      <c r="M129" s="4">
        <f>IF(A129="","",IF(F129=0,"",IF(G129&lt;0.6,"P0 fix hook (6s retention under 60%)",IF(AND(D129="Harvest",I129=0),"P1 check proof/CTA","P2 keep"))))</f>
        <v/>
      </c>
    </row>
    <row r="130">
      <c r="G130" s="10" t="n"/>
      <c r="H130" s="10" t="n"/>
      <c r="J130" s="7" t="n"/>
      <c r="K130" s="7" t="n"/>
      <c r="L130" s="11">
        <f>IF(A130="","",IFERROR(K130/J130,0))</f>
        <v/>
      </c>
      <c r="M130" s="4">
        <f>IF(A130="","",IF(F130=0,"",IF(G130&lt;0.6,"P0 fix hook (6s retention under 60%)",IF(AND(D130="Harvest",I130=0),"P1 check proof/CTA","P2 keep"))))</f>
        <v/>
      </c>
    </row>
    <row r="131">
      <c r="G131" s="10" t="n"/>
      <c r="H131" s="10" t="n"/>
      <c r="J131" s="7" t="n"/>
      <c r="K131" s="7" t="n"/>
      <c r="L131" s="11">
        <f>IF(A131="","",IFERROR(K131/J131,0))</f>
        <v/>
      </c>
      <c r="M131" s="4">
        <f>IF(A131="","",IF(F131=0,"",IF(G131&lt;0.6,"P0 fix hook (6s retention under 60%)",IF(AND(D131="Harvest",I131=0),"P1 check proof/CTA","P2 keep"))))</f>
        <v/>
      </c>
    </row>
    <row r="132">
      <c r="G132" s="10" t="n"/>
      <c r="H132" s="10" t="n"/>
      <c r="J132" s="7" t="n"/>
      <c r="K132" s="7" t="n"/>
      <c r="L132" s="11">
        <f>IF(A132="","",IFERROR(K132/J132,0))</f>
        <v/>
      </c>
      <c r="M132" s="4">
        <f>IF(A132="","",IF(F132=0,"",IF(G132&lt;0.6,"P0 fix hook (6s retention under 60%)",IF(AND(D132="Harvest",I132=0),"P1 check proof/CTA","P2 keep"))))</f>
        <v/>
      </c>
    </row>
    <row r="133">
      <c r="G133" s="10" t="n"/>
      <c r="H133" s="10" t="n"/>
      <c r="J133" s="7" t="n"/>
      <c r="K133" s="7" t="n"/>
      <c r="L133" s="11">
        <f>IF(A133="","",IFERROR(K133/J133,0))</f>
        <v/>
      </c>
      <c r="M133" s="4">
        <f>IF(A133="","",IF(F133=0,"",IF(G133&lt;0.6,"P0 fix hook (6s retention under 60%)",IF(AND(D133="Harvest",I133=0),"P1 check proof/CTA","P2 keep"))))</f>
        <v/>
      </c>
    </row>
    <row r="134">
      <c r="G134" s="10" t="n"/>
      <c r="H134" s="10" t="n"/>
      <c r="J134" s="7" t="n"/>
      <c r="K134" s="7" t="n"/>
      <c r="L134" s="11">
        <f>IF(A134="","",IFERROR(K134/J134,0))</f>
        <v/>
      </c>
      <c r="M134" s="4">
        <f>IF(A134="","",IF(F134=0,"",IF(G134&lt;0.6,"P0 fix hook (6s retention under 60%)",IF(AND(D134="Harvest",I134=0),"P1 check proof/CTA","P2 keep"))))</f>
        <v/>
      </c>
    </row>
    <row r="135">
      <c r="G135" s="10" t="n"/>
      <c r="H135" s="10" t="n"/>
      <c r="J135" s="7" t="n"/>
      <c r="K135" s="7" t="n"/>
      <c r="L135" s="11">
        <f>IF(A135="","",IFERROR(K135/J135,0))</f>
        <v/>
      </c>
      <c r="M135" s="4">
        <f>IF(A135="","",IF(F135=0,"",IF(G135&lt;0.6,"P0 fix hook (6s retention under 60%)",IF(AND(D135="Harvest",I135=0),"P1 check proof/CTA","P2 keep"))))</f>
        <v/>
      </c>
    </row>
    <row r="136">
      <c r="G136" s="10" t="n"/>
      <c r="H136" s="10" t="n"/>
      <c r="J136" s="7" t="n"/>
      <c r="K136" s="7" t="n"/>
      <c r="L136" s="11">
        <f>IF(A136="","",IFERROR(K136/J136,0))</f>
        <v/>
      </c>
      <c r="M136" s="4">
        <f>IF(A136="","",IF(F136=0,"",IF(G136&lt;0.6,"P0 fix hook (6s retention under 60%)",IF(AND(D136="Harvest",I136=0),"P1 check proof/CTA","P2 keep"))))</f>
        <v/>
      </c>
    </row>
    <row r="137">
      <c r="G137" s="10" t="n"/>
      <c r="H137" s="10" t="n"/>
      <c r="J137" s="7" t="n"/>
      <c r="K137" s="7" t="n"/>
      <c r="L137" s="11">
        <f>IF(A137="","",IFERROR(K137/J137,0))</f>
        <v/>
      </c>
      <c r="M137" s="4">
        <f>IF(A137="","",IF(F137=0,"",IF(G137&lt;0.6,"P0 fix hook (6s retention under 60%)",IF(AND(D137="Harvest",I137=0),"P1 check proof/CTA","P2 keep"))))</f>
        <v/>
      </c>
    </row>
    <row r="138">
      <c r="G138" s="10" t="n"/>
      <c r="H138" s="10" t="n"/>
      <c r="J138" s="7" t="n"/>
      <c r="K138" s="7" t="n"/>
      <c r="L138" s="11">
        <f>IF(A138="","",IFERROR(K138/J138,0))</f>
        <v/>
      </c>
      <c r="M138" s="4">
        <f>IF(A138="","",IF(F138=0,"",IF(G138&lt;0.6,"P0 fix hook (6s retention under 60%)",IF(AND(D138="Harvest",I138=0),"P1 check proof/CTA","P2 keep"))))</f>
        <v/>
      </c>
    </row>
    <row r="139">
      <c r="G139" s="10" t="n"/>
      <c r="H139" s="10" t="n"/>
      <c r="J139" s="7" t="n"/>
      <c r="K139" s="7" t="n"/>
      <c r="L139" s="11">
        <f>IF(A139="","",IFERROR(K139/J139,0))</f>
        <v/>
      </c>
      <c r="M139" s="4">
        <f>IF(A139="","",IF(F139=0,"",IF(G139&lt;0.6,"P0 fix hook (6s retention under 60%)",IF(AND(D139="Harvest",I139=0),"P1 check proof/CTA","P2 keep"))))</f>
        <v/>
      </c>
    </row>
    <row r="140">
      <c r="G140" s="10" t="n"/>
      <c r="H140" s="10" t="n"/>
      <c r="J140" s="7" t="n"/>
      <c r="K140" s="7" t="n"/>
      <c r="L140" s="11">
        <f>IF(A140="","",IFERROR(K140/J140,0))</f>
        <v/>
      </c>
      <c r="M140" s="4">
        <f>IF(A140="","",IF(F140=0,"",IF(G140&lt;0.6,"P0 fix hook (6s retention under 60%)",IF(AND(D140="Harvest",I140=0),"P1 check proof/CTA","P2 keep"))))</f>
        <v/>
      </c>
    </row>
    <row r="141">
      <c r="G141" s="10" t="n"/>
      <c r="H141" s="10" t="n"/>
      <c r="J141" s="7" t="n"/>
      <c r="K141" s="7" t="n"/>
      <c r="L141" s="11">
        <f>IF(A141="","",IFERROR(K141/J141,0))</f>
        <v/>
      </c>
      <c r="M141" s="4">
        <f>IF(A141="","",IF(F141=0,"",IF(G141&lt;0.6,"P0 fix hook (6s retention under 60%)",IF(AND(D141="Harvest",I141=0),"P1 check proof/CTA","P2 keep"))))</f>
        <v/>
      </c>
    </row>
    <row r="142">
      <c r="G142" s="10" t="n"/>
      <c r="H142" s="10" t="n"/>
      <c r="J142" s="7" t="n"/>
      <c r="K142" s="7" t="n"/>
      <c r="L142" s="11">
        <f>IF(A142="","",IFERROR(K142/J142,0))</f>
        <v/>
      </c>
      <c r="M142" s="4">
        <f>IF(A142="","",IF(F142=0,"",IF(G142&lt;0.6,"P0 fix hook (6s retention under 60%)",IF(AND(D142="Harvest",I142=0),"P1 check proof/CTA","P2 keep"))))</f>
        <v/>
      </c>
    </row>
    <row r="143">
      <c r="G143" s="10" t="n"/>
      <c r="H143" s="10" t="n"/>
      <c r="J143" s="7" t="n"/>
      <c r="K143" s="7" t="n"/>
      <c r="L143" s="11">
        <f>IF(A143="","",IFERROR(K143/J143,0))</f>
        <v/>
      </c>
      <c r="M143" s="4">
        <f>IF(A143="","",IF(F143=0,"",IF(G143&lt;0.6,"P0 fix hook (6s retention under 60%)",IF(AND(D143="Harvest",I143=0),"P1 check proof/CTA","P2 keep"))))</f>
        <v/>
      </c>
    </row>
    <row r="144">
      <c r="G144" s="10" t="n"/>
      <c r="H144" s="10" t="n"/>
      <c r="J144" s="7" t="n"/>
      <c r="K144" s="7" t="n"/>
      <c r="L144" s="11">
        <f>IF(A144="","",IFERROR(K144/J144,0))</f>
        <v/>
      </c>
      <c r="M144" s="4">
        <f>IF(A144="","",IF(F144=0,"",IF(G144&lt;0.6,"P0 fix hook (6s retention under 60%)",IF(AND(D144="Harvest",I144=0),"P1 check proof/CTA","P2 keep"))))</f>
        <v/>
      </c>
    </row>
    <row r="145">
      <c r="G145" s="10" t="n"/>
      <c r="H145" s="10" t="n"/>
      <c r="J145" s="7" t="n"/>
      <c r="K145" s="7" t="n"/>
      <c r="L145" s="11">
        <f>IF(A145="","",IFERROR(K145/J145,0))</f>
        <v/>
      </c>
      <c r="M145" s="4">
        <f>IF(A145="","",IF(F145=0,"",IF(G145&lt;0.6,"P0 fix hook (6s retention under 60%)",IF(AND(D145="Harvest",I145=0),"P1 check proof/CTA","P2 keep"))))</f>
        <v/>
      </c>
    </row>
    <row r="146">
      <c r="G146" s="10" t="n"/>
      <c r="H146" s="10" t="n"/>
      <c r="J146" s="7" t="n"/>
      <c r="K146" s="7" t="n"/>
      <c r="L146" s="11">
        <f>IF(A146="","",IFERROR(K146/J146,0))</f>
        <v/>
      </c>
      <c r="M146" s="4">
        <f>IF(A146="","",IF(F146=0,"",IF(G146&lt;0.6,"P0 fix hook (6s retention under 60%)",IF(AND(D146="Harvest",I146=0),"P1 check proof/CTA","P2 keep"))))</f>
        <v/>
      </c>
    </row>
    <row r="147">
      <c r="G147" s="10" t="n"/>
      <c r="H147" s="10" t="n"/>
      <c r="J147" s="7" t="n"/>
      <c r="K147" s="7" t="n"/>
      <c r="L147" s="11">
        <f>IF(A147="","",IFERROR(K147/J147,0))</f>
        <v/>
      </c>
      <c r="M147" s="4">
        <f>IF(A147="","",IF(F147=0,"",IF(G147&lt;0.6,"P0 fix hook (6s retention under 60%)",IF(AND(D147="Harvest",I147=0),"P1 check proof/CTA","P2 keep"))))</f>
        <v/>
      </c>
    </row>
    <row r="148">
      <c r="G148" s="10" t="n"/>
      <c r="H148" s="10" t="n"/>
      <c r="J148" s="7" t="n"/>
      <c r="K148" s="7" t="n"/>
      <c r="L148" s="11">
        <f>IF(A148="","",IFERROR(K148/J148,0))</f>
        <v/>
      </c>
      <c r="M148" s="4">
        <f>IF(A148="","",IF(F148=0,"",IF(G148&lt;0.6,"P0 fix hook (6s retention under 60%)",IF(AND(D148="Harvest",I148=0),"P1 check proof/CTA","P2 keep"))))</f>
        <v/>
      </c>
    </row>
    <row r="149">
      <c r="G149" s="10" t="n"/>
      <c r="H149" s="10" t="n"/>
      <c r="J149" s="7" t="n"/>
      <c r="K149" s="7" t="n"/>
      <c r="L149" s="11">
        <f>IF(A149="","",IFERROR(K149/J149,0))</f>
        <v/>
      </c>
      <c r="M149" s="4">
        <f>IF(A149="","",IF(F149=0,"",IF(G149&lt;0.6,"P0 fix hook (6s retention under 60%)",IF(AND(D149="Harvest",I149=0),"P1 check proof/CTA","P2 keep"))))</f>
        <v/>
      </c>
    </row>
    <row r="150">
      <c r="G150" s="10" t="n"/>
      <c r="H150" s="10" t="n"/>
      <c r="J150" s="7" t="n"/>
      <c r="K150" s="7" t="n"/>
      <c r="L150" s="11">
        <f>IF(A150="","",IFERROR(K150/J150,0))</f>
        <v/>
      </c>
      <c r="M150" s="4">
        <f>IF(A150="","",IF(F150=0,"",IF(G150&lt;0.6,"P0 fix hook (6s retention under 60%)",IF(AND(D150="Harvest",I150=0),"P1 check proof/CTA","P2 keep"))))</f>
        <v/>
      </c>
    </row>
    <row r="151">
      <c r="G151" s="10" t="n"/>
      <c r="H151" s="10" t="n"/>
      <c r="J151" s="7" t="n"/>
      <c r="K151" s="7" t="n"/>
      <c r="L151" s="11">
        <f>IF(A151="","",IFERROR(K151/J151,0))</f>
        <v/>
      </c>
      <c r="M151" s="4">
        <f>IF(A151="","",IF(F151=0,"",IF(G151&lt;0.6,"P0 fix hook (6s retention under 60%)",IF(AND(D151="Harvest",I151=0),"P1 check proof/CTA","P2 keep"))))</f>
        <v/>
      </c>
    </row>
    <row r="152">
      <c r="G152" s="10" t="n"/>
      <c r="H152" s="10" t="n"/>
      <c r="J152" s="7" t="n"/>
      <c r="K152" s="7" t="n"/>
      <c r="L152" s="11">
        <f>IF(A152="","",IFERROR(K152/J152,0))</f>
        <v/>
      </c>
      <c r="M152" s="4">
        <f>IF(A152="","",IF(F152=0,"",IF(G152&lt;0.6,"P0 fix hook (6s retention under 60%)",IF(AND(D152="Harvest",I152=0),"P1 check proof/CTA","P2 keep"))))</f>
        <v/>
      </c>
    </row>
    <row r="153">
      <c r="G153" s="10" t="n"/>
      <c r="H153" s="10" t="n"/>
      <c r="J153" s="7" t="n"/>
      <c r="K153" s="7" t="n"/>
      <c r="L153" s="11">
        <f>IF(A153="","",IFERROR(K153/J153,0))</f>
        <v/>
      </c>
      <c r="M153" s="4">
        <f>IF(A153="","",IF(F153=0,"",IF(G153&lt;0.6,"P0 fix hook (6s retention under 60%)",IF(AND(D153="Harvest",I153=0),"P1 check proof/CTA","P2 keep"))))</f>
        <v/>
      </c>
    </row>
    <row r="154">
      <c r="G154" s="10" t="n"/>
      <c r="H154" s="10" t="n"/>
      <c r="J154" s="7" t="n"/>
      <c r="K154" s="7" t="n"/>
      <c r="L154" s="11">
        <f>IF(A154="","",IFERROR(K154/J154,0))</f>
        <v/>
      </c>
      <c r="M154" s="4">
        <f>IF(A154="","",IF(F154=0,"",IF(G154&lt;0.6,"P0 fix hook (6s retention under 60%)",IF(AND(D154="Harvest",I154=0),"P1 check proof/CTA","P2 keep"))))</f>
        <v/>
      </c>
    </row>
    <row r="155">
      <c r="G155" s="10" t="n"/>
      <c r="H155" s="10" t="n"/>
      <c r="J155" s="7" t="n"/>
      <c r="K155" s="7" t="n"/>
      <c r="L155" s="11">
        <f>IF(A155="","",IFERROR(K155/J155,0))</f>
        <v/>
      </c>
      <c r="M155" s="4">
        <f>IF(A155="","",IF(F155=0,"",IF(G155&lt;0.6,"P0 fix hook (6s retention under 60%)",IF(AND(D155="Harvest",I155=0),"P1 check proof/CTA","P2 keep"))))</f>
        <v/>
      </c>
    </row>
    <row r="156">
      <c r="G156" s="10" t="n"/>
      <c r="H156" s="10" t="n"/>
      <c r="J156" s="7" t="n"/>
      <c r="K156" s="7" t="n"/>
      <c r="L156" s="11">
        <f>IF(A156="","",IFERROR(K156/J156,0))</f>
        <v/>
      </c>
      <c r="M156" s="4">
        <f>IF(A156="","",IF(F156=0,"",IF(G156&lt;0.6,"P0 fix hook (6s retention under 60%)",IF(AND(D156="Harvest",I156=0),"P1 check proof/CTA","P2 keep"))))</f>
        <v/>
      </c>
    </row>
    <row r="157">
      <c r="G157" s="10" t="n"/>
      <c r="H157" s="10" t="n"/>
      <c r="J157" s="7" t="n"/>
      <c r="K157" s="7" t="n"/>
      <c r="L157" s="11">
        <f>IF(A157="","",IFERROR(K157/J157,0))</f>
        <v/>
      </c>
      <c r="M157" s="4">
        <f>IF(A157="","",IF(F157=0,"",IF(G157&lt;0.6,"P0 fix hook (6s retention under 60%)",IF(AND(D157="Harvest",I157=0),"P1 check proof/CTA","P2 keep"))))</f>
        <v/>
      </c>
    </row>
    <row r="158">
      <c r="G158" s="10" t="n"/>
      <c r="H158" s="10" t="n"/>
      <c r="J158" s="7" t="n"/>
      <c r="K158" s="7" t="n"/>
      <c r="L158" s="11">
        <f>IF(A158="","",IFERROR(K158/J158,0))</f>
        <v/>
      </c>
      <c r="M158" s="4">
        <f>IF(A158="","",IF(F158=0,"",IF(G158&lt;0.6,"P0 fix hook (6s retention under 60%)",IF(AND(D158="Harvest",I158=0),"P1 check proof/CTA","P2 keep"))))</f>
        <v/>
      </c>
    </row>
    <row r="159">
      <c r="G159" s="10" t="n"/>
      <c r="H159" s="10" t="n"/>
      <c r="J159" s="7" t="n"/>
      <c r="K159" s="7" t="n"/>
      <c r="L159" s="11">
        <f>IF(A159="","",IFERROR(K159/J159,0))</f>
        <v/>
      </c>
      <c r="M159" s="4">
        <f>IF(A159="","",IF(F159=0,"",IF(G159&lt;0.6,"P0 fix hook (6s retention under 60%)",IF(AND(D159="Harvest",I159=0),"P1 check proof/CTA","P2 keep"))))</f>
        <v/>
      </c>
    </row>
    <row r="160">
      <c r="G160" s="10" t="n"/>
      <c r="H160" s="10" t="n"/>
      <c r="J160" s="7" t="n"/>
      <c r="K160" s="7" t="n"/>
      <c r="L160" s="11">
        <f>IF(A160="","",IFERROR(K160/J160,0))</f>
        <v/>
      </c>
      <c r="M160" s="4">
        <f>IF(A160="","",IF(F160=0,"",IF(G160&lt;0.6,"P0 fix hook (6s retention under 60%)",IF(AND(D160="Harvest",I160=0),"P1 check proof/CTA","P2 keep"))))</f>
        <v/>
      </c>
    </row>
    <row r="161">
      <c r="G161" s="10" t="n"/>
      <c r="H161" s="10" t="n"/>
      <c r="J161" s="7" t="n"/>
      <c r="K161" s="7" t="n"/>
      <c r="L161" s="11">
        <f>IF(A161="","",IFERROR(K161/J161,0))</f>
        <v/>
      </c>
      <c r="M161" s="4">
        <f>IF(A161="","",IF(F161=0,"",IF(G161&lt;0.6,"P0 fix hook (6s retention under 60%)",IF(AND(D161="Harvest",I161=0),"P1 check proof/CTA","P2 keep"))))</f>
        <v/>
      </c>
    </row>
    <row r="162">
      <c r="G162" s="10" t="n"/>
      <c r="H162" s="10" t="n"/>
      <c r="J162" s="7" t="n"/>
      <c r="K162" s="7" t="n"/>
      <c r="L162" s="11">
        <f>IF(A162="","",IFERROR(K162/J162,0))</f>
        <v/>
      </c>
      <c r="M162" s="4">
        <f>IF(A162="","",IF(F162=0,"",IF(G162&lt;0.6,"P0 fix hook (6s retention under 60%)",IF(AND(D162="Harvest",I162=0),"P1 check proof/CTA","P2 keep"))))</f>
        <v/>
      </c>
    </row>
    <row r="163">
      <c r="G163" s="10" t="n"/>
      <c r="H163" s="10" t="n"/>
      <c r="J163" s="7" t="n"/>
      <c r="K163" s="7" t="n"/>
      <c r="L163" s="11">
        <f>IF(A163="","",IFERROR(K163/J163,0))</f>
        <v/>
      </c>
      <c r="M163" s="4">
        <f>IF(A163="","",IF(F163=0,"",IF(G163&lt;0.6,"P0 fix hook (6s retention under 60%)",IF(AND(D163="Harvest",I163=0),"P1 check proof/CTA","P2 keep"))))</f>
        <v/>
      </c>
    </row>
    <row r="164">
      <c r="G164" s="10" t="n"/>
      <c r="H164" s="10" t="n"/>
      <c r="J164" s="7" t="n"/>
      <c r="K164" s="7" t="n"/>
      <c r="L164" s="11">
        <f>IF(A164="","",IFERROR(K164/J164,0))</f>
        <v/>
      </c>
      <c r="M164" s="4">
        <f>IF(A164="","",IF(F164=0,"",IF(G164&lt;0.6,"P0 fix hook (6s retention under 60%)",IF(AND(D164="Harvest",I164=0),"P1 check proof/CTA","P2 keep"))))</f>
        <v/>
      </c>
    </row>
    <row r="165">
      <c r="G165" s="10" t="n"/>
      <c r="H165" s="10" t="n"/>
      <c r="J165" s="7" t="n"/>
      <c r="K165" s="7" t="n"/>
      <c r="L165" s="11">
        <f>IF(A165="","",IFERROR(K165/J165,0))</f>
        <v/>
      </c>
      <c r="M165" s="4">
        <f>IF(A165="","",IF(F165=0,"",IF(G165&lt;0.6,"P0 fix hook (6s retention under 60%)",IF(AND(D165="Harvest",I165=0),"P1 check proof/CTA","P2 keep"))))</f>
        <v/>
      </c>
    </row>
    <row r="166">
      <c r="G166" s="10" t="n"/>
      <c r="H166" s="10" t="n"/>
      <c r="J166" s="7" t="n"/>
      <c r="K166" s="7" t="n"/>
      <c r="L166" s="11">
        <f>IF(A166="","",IFERROR(K166/J166,0))</f>
        <v/>
      </c>
      <c r="M166" s="4">
        <f>IF(A166="","",IF(F166=0,"",IF(G166&lt;0.6,"P0 fix hook (6s retention under 60%)",IF(AND(D166="Harvest",I166=0),"P1 check proof/CTA","P2 keep"))))</f>
        <v/>
      </c>
    </row>
    <row r="167">
      <c r="G167" s="10" t="n"/>
      <c r="H167" s="10" t="n"/>
      <c r="J167" s="7" t="n"/>
      <c r="K167" s="7" t="n"/>
      <c r="L167" s="11">
        <f>IF(A167="","",IFERROR(K167/J167,0))</f>
        <v/>
      </c>
      <c r="M167" s="4">
        <f>IF(A167="","",IF(F167=0,"",IF(G167&lt;0.6,"P0 fix hook (6s retention under 60%)",IF(AND(D167="Harvest",I167=0),"P1 check proof/CTA","P2 keep"))))</f>
        <v/>
      </c>
    </row>
    <row r="168">
      <c r="G168" s="10" t="n"/>
      <c r="H168" s="10" t="n"/>
      <c r="J168" s="7" t="n"/>
      <c r="K168" s="7" t="n"/>
      <c r="L168" s="11">
        <f>IF(A168="","",IFERROR(K168/J168,0))</f>
        <v/>
      </c>
      <c r="M168" s="4">
        <f>IF(A168="","",IF(F168=0,"",IF(G168&lt;0.6,"P0 fix hook (6s retention under 60%)",IF(AND(D168="Harvest",I168=0),"P1 check proof/CTA","P2 keep"))))</f>
        <v/>
      </c>
    </row>
    <row r="169">
      <c r="G169" s="10" t="n"/>
      <c r="H169" s="10" t="n"/>
      <c r="J169" s="7" t="n"/>
      <c r="K169" s="7" t="n"/>
      <c r="L169" s="11">
        <f>IF(A169="","",IFERROR(K169/J169,0))</f>
        <v/>
      </c>
      <c r="M169" s="4">
        <f>IF(A169="","",IF(F169=0,"",IF(G169&lt;0.6,"P0 fix hook (6s retention under 60%)",IF(AND(D169="Harvest",I169=0),"P1 check proof/CTA","P2 keep"))))</f>
        <v/>
      </c>
    </row>
    <row r="170">
      <c r="G170" s="10" t="n"/>
      <c r="H170" s="10" t="n"/>
      <c r="J170" s="7" t="n"/>
      <c r="K170" s="7" t="n"/>
      <c r="L170" s="11">
        <f>IF(A170="","",IFERROR(K170/J170,0))</f>
        <v/>
      </c>
      <c r="M170" s="4">
        <f>IF(A170="","",IF(F170=0,"",IF(G170&lt;0.6,"P0 fix hook (6s retention under 60%)",IF(AND(D170="Harvest",I170=0),"P1 check proof/CTA","P2 keep"))))</f>
        <v/>
      </c>
    </row>
    <row r="171">
      <c r="G171" s="10" t="n"/>
      <c r="H171" s="10" t="n"/>
      <c r="J171" s="7" t="n"/>
      <c r="K171" s="7" t="n"/>
      <c r="L171" s="11">
        <f>IF(A171="","",IFERROR(K171/J171,0))</f>
        <v/>
      </c>
      <c r="M171" s="4">
        <f>IF(A171="","",IF(F171=0,"",IF(G171&lt;0.6,"P0 fix hook (6s retention under 60%)",IF(AND(D171="Harvest",I171=0),"P1 check proof/CTA","P2 keep"))))</f>
        <v/>
      </c>
    </row>
    <row r="172">
      <c r="G172" s="10" t="n"/>
      <c r="H172" s="10" t="n"/>
      <c r="J172" s="7" t="n"/>
      <c r="K172" s="7" t="n"/>
      <c r="L172" s="11">
        <f>IF(A172="","",IFERROR(K172/J172,0))</f>
        <v/>
      </c>
      <c r="M172" s="4">
        <f>IF(A172="","",IF(F172=0,"",IF(G172&lt;0.6,"P0 fix hook (6s retention under 60%)",IF(AND(D172="Harvest",I172=0),"P1 check proof/CTA","P2 keep"))))</f>
        <v/>
      </c>
    </row>
    <row r="173">
      <c r="G173" s="10" t="n"/>
      <c r="H173" s="10" t="n"/>
      <c r="J173" s="7" t="n"/>
      <c r="K173" s="7" t="n"/>
      <c r="L173" s="11">
        <f>IF(A173="","",IFERROR(K173/J173,0))</f>
        <v/>
      </c>
      <c r="M173" s="4">
        <f>IF(A173="","",IF(F173=0,"",IF(G173&lt;0.6,"P0 fix hook (6s retention under 60%)",IF(AND(D173="Harvest",I173=0),"P1 check proof/CTA","P2 keep"))))</f>
        <v/>
      </c>
    </row>
    <row r="174">
      <c r="G174" s="10" t="n"/>
      <c r="H174" s="10" t="n"/>
      <c r="J174" s="7" t="n"/>
      <c r="K174" s="7" t="n"/>
      <c r="L174" s="11">
        <f>IF(A174="","",IFERROR(K174/J174,0))</f>
        <v/>
      </c>
      <c r="M174" s="4">
        <f>IF(A174="","",IF(F174=0,"",IF(G174&lt;0.6,"P0 fix hook (6s retention under 60%)",IF(AND(D174="Harvest",I174=0),"P1 check proof/CTA","P2 keep"))))</f>
        <v/>
      </c>
    </row>
    <row r="175">
      <c r="G175" s="10" t="n"/>
      <c r="H175" s="10" t="n"/>
      <c r="J175" s="7" t="n"/>
      <c r="K175" s="7" t="n"/>
      <c r="L175" s="11">
        <f>IF(A175="","",IFERROR(K175/J175,0))</f>
        <v/>
      </c>
      <c r="M175" s="4">
        <f>IF(A175="","",IF(F175=0,"",IF(G175&lt;0.6,"P0 fix hook (6s retention under 60%)",IF(AND(D175="Harvest",I175=0),"P1 check proof/CTA","P2 keep"))))</f>
        <v/>
      </c>
    </row>
    <row r="176">
      <c r="G176" s="10" t="n"/>
      <c r="H176" s="10" t="n"/>
      <c r="J176" s="7" t="n"/>
      <c r="K176" s="7" t="n"/>
      <c r="L176" s="11">
        <f>IF(A176="","",IFERROR(K176/J176,0))</f>
        <v/>
      </c>
      <c r="M176" s="4">
        <f>IF(A176="","",IF(F176=0,"",IF(G176&lt;0.6,"P0 fix hook (6s retention under 60%)",IF(AND(D176="Harvest",I176=0),"P1 check proof/CTA","P2 keep"))))</f>
        <v/>
      </c>
    </row>
    <row r="177">
      <c r="G177" s="10" t="n"/>
      <c r="H177" s="10" t="n"/>
      <c r="J177" s="7" t="n"/>
      <c r="K177" s="7" t="n"/>
      <c r="L177" s="11">
        <f>IF(A177="","",IFERROR(K177/J177,0))</f>
        <v/>
      </c>
      <c r="M177" s="4">
        <f>IF(A177="","",IF(F177=0,"",IF(G177&lt;0.6,"P0 fix hook (6s retention under 60%)",IF(AND(D177="Harvest",I177=0),"P1 check proof/CTA","P2 keep"))))</f>
        <v/>
      </c>
    </row>
    <row r="178">
      <c r="G178" s="10" t="n"/>
      <c r="H178" s="10" t="n"/>
      <c r="J178" s="7" t="n"/>
      <c r="K178" s="7" t="n"/>
      <c r="L178" s="11">
        <f>IF(A178="","",IFERROR(K178/J178,0))</f>
        <v/>
      </c>
      <c r="M178" s="4">
        <f>IF(A178="","",IF(F178=0,"",IF(G178&lt;0.6,"P0 fix hook (6s retention under 60%)",IF(AND(D178="Harvest",I178=0),"P1 check proof/CTA","P2 keep"))))</f>
        <v/>
      </c>
    </row>
    <row r="179">
      <c r="G179" s="10" t="n"/>
      <c r="H179" s="10" t="n"/>
      <c r="J179" s="7" t="n"/>
      <c r="K179" s="7" t="n"/>
      <c r="L179" s="11">
        <f>IF(A179="","",IFERROR(K179/J179,0))</f>
        <v/>
      </c>
      <c r="M179" s="4">
        <f>IF(A179="","",IF(F179=0,"",IF(G179&lt;0.6,"P0 fix hook (6s retention under 60%)",IF(AND(D179="Harvest",I179=0),"P1 check proof/CTA","P2 keep"))))</f>
        <v/>
      </c>
    </row>
    <row r="180">
      <c r="G180" s="10" t="n"/>
      <c r="H180" s="10" t="n"/>
      <c r="J180" s="7" t="n"/>
      <c r="K180" s="7" t="n"/>
      <c r="L180" s="11">
        <f>IF(A180="","",IFERROR(K180/J180,0))</f>
        <v/>
      </c>
      <c r="M180" s="4">
        <f>IF(A180="","",IF(F180=0,"",IF(G180&lt;0.6,"P0 fix hook (6s retention under 60%)",IF(AND(D180="Harvest",I180=0),"P1 check proof/CTA","P2 keep"))))</f>
        <v/>
      </c>
    </row>
    <row r="181">
      <c r="G181" s="10" t="n"/>
      <c r="H181" s="10" t="n"/>
      <c r="J181" s="7" t="n"/>
      <c r="K181" s="7" t="n"/>
      <c r="L181" s="11">
        <f>IF(A181="","",IFERROR(K181/J181,0))</f>
        <v/>
      </c>
      <c r="M181" s="4">
        <f>IF(A181="","",IF(F181=0,"",IF(G181&lt;0.6,"P0 fix hook (6s retention under 60%)",IF(AND(D181="Harvest",I181=0),"P1 check proof/CTA","P2 keep"))))</f>
        <v/>
      </c>
    </row>
    <row r="182">
      <c r="G182" s="10" t="n"/>
      <c r="H182" s="10" t="n"/>
      <c r="J182" s="7" t="n"/>
      <c r="K182" s="7" t="n"/>
      <c r="L182" s="11">
        <f>IF(A182="","",IFERROR(K182/J182,0))</f>
        <v/>
      </c>
      <c r="M182" s="4">
        <f>IF(A182="","",IF(F182=0,"",IF(G182&lt;0.6,"P0 fix hook (6s retention under 60%)",IF(AND(D182="Harvest",I182=0),"P1 check proof/CTA","P2 keep"))))</f>
        <v/>
      </c>
    </row>
    <row r="183">
      <c r="G183" s="10" t="n"/>
      <c r="H183" s="10" t="n"/>
      <c r="J183" s="7" t="n"/>
      <c r="K183" s="7" t="n"/>
      <c r="L183" s="11">
        <f>IF(A183="","",IFERROR(K183/J183,0))</f>
        <v/>
      </c>
      <c r="M183" s="4">
        <f>IF(A183="","",IF(F183=0,"",IF(G183&lt;0.6,"P0 fix hook (6s retention under 60%)",IF(AND(D183="Harvest",I183=0),"P1 check proof/CTA","P2 keep"))))</f>
        <v/>
      </c>
    </row>
    <row r="184">
      <c r="G184" s="10" t="n"/>
      <c r="H184" s="10" t="n"/>
      <c r="J184" s="7" t="n"/>
      <c r="K184" s="7" t="n"/>
      <c r="L184" s="11">
        <f>IF(A184="","",IFERROR(K184/J184,0))</f>
        <v/>
      </c>
      <c r="M184" s="4">
        <f>IF(A184="","",IF(F184=0,"",IF(G184&lt;0.6,"P0 fix hook (6s retention under 60%)",IF(AND(D184="Harvest",I184=0),"P1 check proof/CTA","P2 keep"))))</f>
        <v/>
      </c>
    </row>
    <row r="185">
      <c r="G185" s="10" t="n"/>
      <c r="H185" s="10" t="n"/>
      <c r="J185" s="7" t="n"/>
      <c r="K185" s="7" t="n"/>
      <c r="L185" s="11">
        <f>IF(A185="","",IFERROR(K185/J185,0))</f>
        <v/>
      </c>
      <c r="M185" s="4">
        <f>IF(A185="","",IF(F185=0,"",IF(G185&lt;0.6,"P0 fix hook (6s retention under 60%)",IF(AND(D185="Harvest",I185=0),"P1 check proof/CTA","P2 keep"))))</f>
        <v/>
      </c>
    </row>
    <row r="186">
      <c r="G186" s="10" t="n"/>
      <c r="H186" s="10" t="n"/>
      <c r="J186" s="7" t="n"/>
      <c r="K186" s="7" t="n"/>
      <c r="L186" s="11">
        <f>IF(A186="","",IFERROR(K186/J186,0))</f>
        <v/>
      </c>
      <c r="M186" s="4">
        <f>IF(A186="","",IF(F186=0,"",IF(G186&lt;0.6,"P0 fix hook (6s retention under 60%)",IF(AND(D186="Harvest",I186=0),"P1 check proof/CTA","P2 keep"))))</f>
        <v/>
      </c>
    </row>
    <row r="187">
      <c r="G187" s="10" t="n"/>
      <c r="H187" s="10" t="n"/>
      <c r="J187" s="7" t="n"/>
      <c r="K187" s="7" t="n"/>
      <c r="L187" s="11">
        <f>IF(A187="","",IFERROR(K187/J187,0))</f>
        <v/>
      </c>
      <c r="M187" s="4">
        <f>IF(A187="","",IF(F187=0,"",IF(G187&lt;0.6,"P0 fix hook (6s retention under 60%)",IF(AND(D187="Harvest",I187=0),"P1 check proof/CTA","P2 keep"))))</f>
        <v/>
      </c>
    </row>
    <row r="188">
      <c r="G188" s="10" t="n"/>
      <c r="H188" s="10" t="n"/>
      <c r="J188" s="7" t="n"/>
      <c r="K188" s="7" t="n"/>
      <c r="L188" s="11">
        <f>IF(A188="","",IFERROR(K188/J188,0))</f>
        <v/>
      </c>
      <c r="M188" s="4">
        <f>IF(A188="","",IF(F188=0,"",IF(G188&lt;0.6,"P0 fix hook (6s retention under 60%)",IF(AND(D188="Harvest",I188=0),"P1 check proof/CTA","P2 keep"))))</f>
        <v/>
      </c>
    </row>
    <row r="189">
      <c r="G189" s="10" t="n"/>
      <c r="H189" s="10" t="n"/>
      <c r="J189" s="7" t="n"/>
      <c r="K189" s="7" t="n"/>
      <c r="L189" s="11">
        <f>IF(A189="","",IFERROR(K189/J189,0))</f>
        <v/>
      </c>
      <c r="M189" s="4">
        <f>IF(A189="","",IF(F189=0,"",IF(G189&lt;0.6,"P0 fix hook (6s retention under 60%)",IF(AND(D189="Harvest",I189=0),"P1 check proof/CTA","P2 keep"))))</f>
        <v/>
      </c>
    </row>
    <row r="190">
      <c r="G190" s="10" t="n"/>
      <c r="H190" s="10" t="n"/>
      <c r="J190" s="7" t="n"/>
      <c r="K190" s="7" t="n"/>
      <c r="L190" s="11">
        <f>IF(A190="","",IFERROR(K190/J190,0))</f>
        <v/>
      </c>
      <c r="M190" s="4">
        <f>IF(A190="","",IF(F190=0,"",IF(G190&lt;0.6,"P0 fix hook (6s retention under 60%)",IF(AND(D190="Harvest",I190=0),"P1 check proof/CTA","P2 keep"))))</f>
        <v/>
      </c>
    </row>
    <row r="191">
      <c r="G191" s="10" t="n"/>
      <c r="H191" s="10" t="n"/>
      <c r="J191" s="7" t="n"/>
      <c r="K191" s="7" t="n"/>
      <c r="L191" s="11">
        <f>IF(A191="","",IFERROR(K191/J191,0))</f>
        <v/>
      </c>
      <c r="M191" s="4">
        <f>IF(A191="","",IF(F191=0,"",IF(G191&lt;0.6,"P0 fix hook (6s retention under 60%)",IF(AND(D191="Harvest",I191=0),"P1 check proof/CTA","P2 keep"))))</f>
        <v/>
      </c>
    </row>
    <row r="192">
      <c r="G192" s="10" t="n"/>
      <c r="H192" s="10" t="n"/>
      <c r="J192" s="7" t="n"/>
      <c r="K192" s="7" t="n"/>
      <c r="L192" s="11">
        <f>IF(A192="","",IFERROR(K192/J192,0))</f>
        <v/>
      </c>
      <c r="M192" s="4">
        <f>IF(A192="","",IF(F192=0,"",IF(G192&lt;0.6,"P0 fix hook (6s retention under 60%)",IF(AND(D192="Harvest",I192=0),"P1 check proof/CTA","P2 keep"))))</f>
        <v/>
      </c>
    </row>
    <row r="193">
      <c r="G193" s="10" t="n"/>
      <c r="H193" s="10" t="n"/>
      <c r="J193" s="7" t="n"/>
      <c r="K193" s="7" t="n"/>
      <c r="L193" s="11">
        <f>IF(A193="","",IFERROR(K193/J193,0))</f>
        <v/>
      </c>
      <c r="M193" s="4">
        <f>IF(A193="","",IF(F193=0,"",IF(G193&lt;0.6,"P0 fix hook (6s retention under 60%)",IF(AND(D193="Harvest",I193=0),"P1 check proof/CTA","P2 keep"))))</f>
        <v/>
      </c>
    </row>
    <row r="194">
      <c r="G194" s="10" t="n"/>
      <c r="H194" s="10" t="n"/>
      <c r="J194" s="7" t="n"/>
      <c r="K194" s="7" t="n"/>
      <c r="L194" s="11">
        <f>IF(A194="","",IFERROR(K194/J194,0))</f>
        <v/>
      </c>
      <c r="M194" s="4">
        <f>IF(A194="","",IF(F194=0,"",IF(G194&lt;0.6,"P0 fix hook (6s retention under 60%)",IF(AND(D194="Harvest",I194=0),"P1 check proof/CTA","P2 keep"))))</f>
        <v/>
      </c>
    </row>
    <row r="195">
      <c r="G195" s="10" t="n"/>
      <c r="H195" s="10" t="n"/>
      <c r="J195" s="7" t="n"/>
      <c r="K195" s="7" t="n"/>
      <c r="L195" s="11">
        <f>IF(A195="","",IFERROR(K195/J195,0))</f>
        <v/>
      </c>
      <c r="M195" s="4">
        <f>IF(A195="","",IF(F195=0,"",IF(G195&lt;0.6,"P0 fix hook (6s retention under 60%)",IF(AND(D195="Harvest",I195=0),"P1 check proof/CTA","P2 keep"))))</f>
        <v/>
      </c>
    </row>
    <row r="196">
      <c r="G196" s="10" t="n"/>
      <c r="H196" s="10" t="n"/>
      <c r="J196" s="7" t="n"/>
      <c r="K196" s="7" t="n"/>
      <c r="L196" s="11">
        <f>IF(A196="","",IFERROR(K196/J196,0))</f>
        <v/>
      </c>
      <c r="M196" s="4">
        <f>IF(A196="","",IF(F196=0,"",IF(G196&lt;0.6,"P0 fix hook (6s retention under 60%)",IF(AND(D196="Harvest",I196=0),"P1 check proof/CTA","P2 keep"))))</f>
        <v/>
      </c>
    </row>
    <row r="197">
      <c r="G197" s="10" t="n"/>
      <c r="H197" s="10" t="n"/>
      <c r="J197" s="7" t="n"/>
      <c r="K197" s="7" t="n"/>
      <c r="L197" s="11">
        <f>IF(A197="","",IFERROR(K197/J197,0))</f>
        <v/>
      </c>
      <c r="M197" s="4">
        <f>IF(A197="","",IF(F197=0,"",IF(G197&lt;0.6,"P0 fix hook (6s retention under 60%)",IF(AND(D197="Harvest",I197=0),"P1 check proof/CTA","P2 keep"))))</f>
        <v/>
      </c>
    </row>
    <row r="198">
      <c r="G198" s="10" t="n"/>
      <c r="H198" s="10" t="n"/>
      <c r="J198" s="7" t="n"/>
      <c r="K198" s="7" t="n"/>
      <c r="L198" s="11">
        <f>IF(A198="","",IFERROR(K198/J198,0))</f>
        <v/>
      </c>
      <c r="M198" s="4">
        <f>IF(A198="","",IF(F198=0,"",IF(G198&lt;0.6,"P0 fix hook (6s retention under 60%)",IF(AND(D198="Harvest",I198=0),"P1 check proof/CTA","P2 keep"))))</f>
        <v/>
      </c>
    </row>
    <row r="199">
      <c r="G199" s="10" t="n"/>
      <c r="H199" s="10" t="n"/>
      <c r="J199" s="7" t="n"/>
      <c r="K199" s="7" t="n"/>
      <c r="L199" s="11">
        <f>IF(A199="","",IFERROR(K199/J199,0))</f>
        <v/>
      </c>
      <c r="M199" s="4">
        <f>IF(A199="","",IF(F199=0,"",IF(G199&lt;0.6,"P0 fix hook (6s retention under 60%)",IF(AND(D199="Harvest",I199=0),"P1 check proof/CTA","P2 keep"))))</f>
        <v/>
      </c>
    </row>
    <row r="200">
      <c r="G200" s="10" t="n"/>
      <c r="H200" s="10" t="n"/>
      <c r="J200" s="7" t="n"/>
      <c r="K200" s="7" t="n"/>
      <c r="L200" s="11">
        <f>IF(A200="","",IFERROR(K200/J200,0))</f>
        <v/>
      </c>
      <c r="M200" s="4">
        <f>IF(A200="","",IF(F200=0,"",IF(G200&lt;0.6,"P0 fix hook (6s retention under 60%)",IF(AND(D200="Harvest",I200=0),"P1 check proof/CTA","P2 keep"))))</f>
        <v/>
      </c>
    </row>
    <row r="201">
      <c r="G201" s="10" t="n"/>
      <c r="H201" s="10" t="n"/>
      <c r="J201" s="7" t="n"/>
      <c r="K201" s="7" t="n"/>
      <c r="L201" s="11">
        <f>IF(A201="","",IFERROR(K201/J201,0))</f>
        <v/>
      </c>
      <c r="M201" s="4">
        <f>IF(A201="","",IF(F201=0,"",IF(G201&lt;0.6,"P0 fix hook (6s retention under 60%)",IF(AND(D201="Harvest",I201=0),"P1 check proof/CTA","P2 keep"))))</f>
        <v/>
      </c>
    </row>
    <row r="203">
      <c r="A203" s="5" t="inlineStr">
        <is>
          <t>TOTAL</t>
        </is>
      </c>
      <c r="F203" s="5">
        <f>SUM(F2:F201)</f>
        <v/>
      </c>
      <c r="I203" s="5">
        <f>SUM(I2:I201)</f>
        <v/>
      </c>
      <c r="J203" s="12">
        <f>SUM(J2:J201)</f>
        <v/>
      </c>
      <c r="K203" s="12">
        <f>SUM(K2:K201)</f>
        <v/>
      </c>
    </row>
  </sheetData>
  <dataValidations count="1">
    <dataValidation sqref="D2:D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.85714285714286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2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25.71428571428572" customWidth="1" min="15" max="15"/>
  </cols>
  <sheetData>
    <row r="1" ht="48" customHeight="1">
      <c r="A1" s="1" t="inlineStr">
        <is>
          <t>Creator</t>
        </is>
      </c>
      <c r="B1" s="1" t="inlineStr">
        <is>
          <t>Platform</t>
        </is>
      </c>
      <c r="C1" s="1" t="inlineStr">
        <is>
          <t>Segment</t>
        </is>
      </c>
      <c r="D1" s="1" t="inlineStr">
        <is>
          <t>Followers</t>
        </is>
      </c>
      <c r="E1" s="1" t="inlineStr">
        <is>
          <t>Fit (1-5)</t>
        </is>
      </c>
      <c r="F1" s="1" t="inlineStr">
        <is>
          <t>Inflated metrics?</t>
        </is>
      </c>
      <c r="G1" s="1" t="inlineStr">
        <is>
          <t>Outreach variant</t>
        </is>
      </c>
      <c r="H1" s="1" t="inlineStr">
        <is>
          <t>Replied (1/0)</t>
        </is>
      </c>
      <c r="I1" s="1" t="inlineStr">
        <is>
          <t>Moved to direct channel (1/0)</t>
        </is>
      </c>
      <c r="J1" s="1" t="inlineStr">
        <is>
          <t>Sample sent (1/0)</t>
        </is>
      </c>
      <c r="K1" s="1" t="inlineStr">
        <is>
          <t>Content returned (1/0)</t>
        </is>
      </c>
      <c r="L1" s="1" t="inlineStr">
        <is>
          <t>Orders</t>
        </is>
      </c>
      <c r="M1" s="1" t="inlineStr">
        <is>
          <t>Revenue ($)</t>
        </is>
      </c>
      <c r="N1" s="1" t="inlineStr">
        <is>
          <t>Relationship</t>
        </is>
      </c>
      <c r="O1" s="1" t="inlineStr">
        <is>
          <t>Next step</t>
        </is>
      </c>
    </row>
    <row r="2">
      <c r="A2" t="inlineStr">
        <is>
          <t>@example_mom</t>
        </is>
      </c>
      <c r="B2" t="inlineStr">
        <is>
          <t>TikTok</t>
        </is>
      </c>
      <c r="C2" t="inlineStr">
        <is>
          <t>Parents</t>
        </is>
      </c>
      <c r="D2" t="n">
        <v>84000</v>
      </c>
      <c r="E2" t="n">
        <v>5</v>
      </c>
      <c r="F2" t="inlineStr">
        <is>
          <t>No</t>
        </is>
      </c>
      <c r="G2" t="inlineStr">
        <is>
          <t>P-A</t>
        </is>
      </c>
      <c r="H2" t="n">
        <v>1</v>
      </c>
      <c r="I2" t="n">
        <v>1</v>
      </c>
      <c r="J2" t="n">
        <v>1</v>
      </c>
      <c r="K2" t="n">
        <v>1</v>
      </c>
      <c r="L2" t="n">
        <v>22</v>
      </c>
      <c r="M2" s="7" t="n">
        <v>1078</v>
      </c>
      <c r="N2" t="inlineStr">
        <is>
          <t>Partner</t>
        </is>
      </c>
      <c r="O2" t="inlineStr">
        <is>
          <t>Co-write next script</t>
        </is>
      </c>
    </row>
    <row r="3">
      <c r="M3" s="7" t="n"/>
    </row>
    <row r="4">
      <c r="M4" s="7" t="n"/>
    </row>
    <row r="5">
      <c r="M5" s="7" t="n"/>
    </row>
    <row r="6">
      <c r="M6" s="7" t="n"/>
    </row>
    <row r="7">
      <c r="M7" s="7" t="n"/>
    </row>
    <row r="8">
      <c r="M8" s="7" t="n"/>
    </row>
    <row r="9">
      <c r="M9" s="7" t="n"/>
    </row>
    <row r="10">
      <c r="M10" s="7" t="n"/>
    </row>
    <row r="11">
      <c r="M11" s="7" t="n"/>
    </row>
    <row r="12">
      <c r="M12" s="7" t="n"/>
    </row>
    <row r="13">
      <c r="M13" s="7" t="n"/>
    </row>
    <row r="14">
      <c r="M14" s="7" t="n"/>
    </row>
    <row r="15">
      <c r="M15" s="7" t="n"/>
    </row>
    <row r="16">
      <c r="M16" s="7" t="n"/>
    </row>
    <row r="17">
      <c r="M17" s="7" t="n"/>
    </row>
    <row r="18">
      <c r="M18" s="7" t="n"/>
    </row>
    <row r="19">
      <c r="M19" s="7" t="n"/>
    </row>
    <row r="20">
      <c r="M20" s="7" t="n"/>
    </row>
    <row r="21">
      <c r="M21" s="7" t="n"/>
    </row>
    <row r="22">
      <c r="M22" s="7" t="n"/>
    </row>
    <row r="23">
      <c r="M23" s="7" t="n"/>
    </row>
    <row r="24">
      <c r="M24" s="7" t="n"/>
    </row>
    <row r="25">
      <c r="M25" s="7" t="n"/>
    </row>
    <row r="26">
      <c r="M26" s="7" t="n"/>
    </row>
    <row r="27">
      <c r="M27" s="7" t="n"/>
    </row>
    <row r="28">
      <c r="M28" s="7" t="n"/>
    </row>
    <row r="29">
      <c r="M29" s="7" t="n"/>
    </row>
    <row r="30">
      <c r="M30" s="7" t="n"/>
    </row>
    <row r="31">
      <c r="M31" s="7" t="n"/>
    </row>
    <row r="32">
      <c r="M32" s="7" t="n"/>
    </row>
    <row r="33">
      <c r="M33" s="7" t="n"/>
    </row>
    <row r="34">
      <c r="M34" s="7" t="n"/>
    </row>
    <row r="35">
      <c r="M35" s="7" t="n"/>
    </row>
    <row r="36">
      <c r="M36" s="7" t="n"/>
    </row>
    <row r="37">
      <c r="M37" s="7" t="n"/>
    </row>
    <row r="38">
      <c r="M38" s="7" t="n"/>
    </row>
    <row r="39">
      <c r="M39" s="7" t="n"/>
    </row>
    <row r="40">
      <c r="M40" s="7" t="n"/>
    </row>
    <row r="41">
      <c r="M41" s="7" t="n"/>
    </row>
    <row r="42">
      <c r="M42" s="7" t="n"/>
    </row>
    <row r="43">
      <c r="M43" s="7" t="n"/>
    </row>
    <row r="44">
      <c r="M44" s="7" t="n"/>
    </row>
    <row r="45">
      <c r="M45" s="7" t="n"/>
    </row>
    <row r="46">
      <c r="M46" s="7" t="n"/>
    </row>
    <row r="47">
      <c r="M47" s="7" t="n"/>
    </row>
    <row r="48">
      <c r="M48" s="7" t="n"/>
    </row>
    <row r="49">
      <c r="M49" s="7" t="n"/>
    </row>
    <row r="50">
      <c r="M50" s="7" t="n"/>
    </row>
    <row r="51">
      <c r="M51" s="7" t="n"/>
    </row>
    <row r="52">
      <c r="M52" s="7" t="n"/>
    </row>
    <row r="53">
      <c r="M53" s="7" t="n"/>
    </row>
    <row r="54">
      <c r="M54" s="7" t="n"/>
    </row>
    <row r="55">
      <c r="M55" s="7" t="n"/>
    </row>
    <row r="56">
      <c r="M56" s="7" t="n"/>
    </row>
    <row r="57">
      <c r="M57" s="7" t="n"/>
    </row>
    <row r="58">
      <c r="M58" s="7" t="n"/>
    </row>
    <row r="59">
      <c r="M59" s="7" t="n"/>
    </row>
    <row r="60">
      <c r="M60" s="7" t="n"/>
    </row>
    <row r="61">
      <c r="M61" s="7" t="n"/>
    </row>
    <row r="62">
      <c r="M62" s="7" t="n"/>
    </row>
    <row r="63">
      <c r="M63" s="7" t="n"/>
    </row>
    <row r="64">
      <c r="M64" s="7" t="n"/>
    </row>
    <row r="65">
      <c r="M65" s="7" t="n"/>
    </row>
    <row r="66">
      <c r="M66" s="7" t="n"/>
    </row>
    <row r="67">
      <c r="M67" s="7" t="n"/>
    </row>
    <row r="68">
      <c r="M68" s="7" t="n"/>
    </row>
    <row r="69">
      <c r="M69" s="7" t="n"/>
    </row>
    <row r="70">
      <c r="M70" s="7" t="n"/>
    </row>
    <row r="71">
      <c r="M71" s="7" t="n"/>
    </row>
    <row r="72">
      <c r="M72" s="7" t="n"/>
    </row>
    <row r="73">
      <c r="M73" s="7" t="n"/>
    </row>
    <row r="74">
      <c r="M74" s="7" t="n"/>
    </row>
    <row r="75">
      <c r="M75" s="7" t="n"/>
    </row>
    <row r="76">
      <c r="M76" s="7" t="n"/>
    </row>
    <row r="77">
      <c r="M77" s="7" t="n"/>
    </row>
    <row r="78">
      <c r="M78" s="7" t="n"/>
    </row>
    <row r="79">
      <c r="M79" s="7" t="n"/>
    </row>
    <row r="80">
      <c r="M80" s="7" t="n"/>
    </row>
    <row r="81">
      <c r="M81" s="7" t="n"/>
    </row>
    <row r="82">
      <c r="M82" s="7" t="n"/>
    </row>
    <row r="83">
      <c r="M83" s="7" t="n"/>
    </row>
    <row r="84">
      <c r="M84" s="7" t="n"/>
    </row>
    <row r="85">
      <c r="M85" s="7" t="n"/>
    </row>
    <row r="86">
      <c r="M86" s="7" t="n"/>
    </row>
    <row r="87">
      <c r="M87" s="7" t="n"/>
    </row>
    <row r="88">
      <c r="M88" s="7" t="n"/>
    </row>
    <row r="89">
      <c r="M89" s="7" t="n"/>
    </row>
    <row r="90">
      <c r="M90" s="7" t="n"/>
    </row>
    <row r="91">
      <c r="M91" s="7" t="n"/>
    </row>
    <row r="92">
      <c r="M92" s="7" t="n"/>
    </row>
    <row r="93">
      <c r="M93" s="7" t="n"/>
    </row>
    <row r="94">
      <c r="M94" s="7" t="n"/>
    </row>
    <row r="95">
      <c r="M95" s="7" t="n"/>
    </row>
    <row r="96">
      <c r="M96" s="7" t="n"/>
    </row>
    <row r="97">
      <c r="M97" s="7" t="n"/>
    </row>
    <row r="98">
      <c r="M98" s="7" t="n"/>
    </row>
    <row r="99">
      <c r="M99" s="7" t="n"/>
    </row>
    <row r="100">
      <c r="M100" s="7" t="n"/>
    </row>
    <row r="101">
      <c r="M101" s="7" t="n"/>
    </row>
    <row r="102">
      <c r="M102" s="7" t="n"/>
    </row>
    <row r="103">
      <c r="M103" s="7" t="n"/>
    </row>
    <row r="104">
      <c r="M104" s="7" t="n"/>
    </row>
    <row r="105">
      <c r="M105" s="7" t="n"/>
    </row>
    <row r="106">
      <c r="M106" s="7" t="n"/>
    </row>
    <row r="107">
      <c r="M107" s="7" t="n"/>
    </row>
    <row r="108">
      <c r="M108" s="7" t="n"/>
    </row>
    <row r="109">
      <c r="M109" s="7" t="n"/>
    </row>
    <row r="110">
      <c r="M110" s="7" t="n"/>
    </row>
    <row r="111">
      <c r="M111" s="7" t="n"/>
    </row>
    <row r="112">
      <c r="M112" s="7" t="n"/>
    </row>
    <row r="113">
      <c r="M113" s="7" t="n"/>
    </row>
    <row r="114">
      <c r="M114" s="7" t="n"/>
    </row>
    <row r="115">
      <c r="M115" s="7" t="n"/>
    </row>
    <row r="116">
      <c r="M116" s="7" t="n"/>
    </row>
    <row r="117">
      <c r="M117" s="7" t="n"/>
    </row>
    <row r="118">
      <c r="M118" s="7" t="n"/>
    </row>
    <row r="119">
      <c r="M119" s="7" t="n"/>
    </row>
    <row r="120">
      <c r="M120" s="7" t="n"/>
    </row>
    <row r="121">
      <c r="M121" s="7" t="n"/>
    </row>
    <row r="122">
      <c r="M122" s="7" t="n"/>
    </row>
    <row r="123">
      <c r="M123" s="7" t="n"/>
    </row>
    <row r="124">
      <c r="M124" s="7" t="n"/>
    </row>
    <row r="125">
      <c r="M125" s="7" t="n"/>
    </row>
    <row r="126">
      <c r="M126" s="7" t="n"/>
    </row>
    <row r="127">
      <c r="M127" s="7" t="n"/>
    </row>
    <row r="128">
      <c r="M128" s="7" t="n"/>
    </row>
    <row r="129">
      <c r="M129" s="7" t="n"/>
    </row>
    <row r="130">
      <c r="M130" s="7" t="n"/>
    </row>
    <row r="131">
      <c r="M131" s="7" t="n"/>
    </row>
    <row r="132">
      <c r="M132" s="7" t="n"/>
    </row>
    <row r="133">
      <c r="M133" s="7" t="n"/>
    </row>
    <row r="134">
      <c r="M134" s="7" t="n"/>
    </row>
    <row r="135">
      <c r="M135" s="7" t="n"/>
    </row>
    <row r="136">
      <c r="M136" s="7" t="n"/>
    </row>
    <row r="137">
      <c r="M137" s="7" t="n"/>
    </row>
    <row r="138">
      <c r="M138" s="7" t="n"/>
    </row>
    <row r="139">
      <c r="M139" s="7" t="n"/>
    </row>
    <row r="140">
      <c r="M140" s="7" t="n"/>
    </row>
    <row r="141">
      <c r="M141" s="7" t="n"/>
    </row>
    <row r="142">
      <c r="M142" s="7" t="n"/>
    </row>
    <row r="143">
      <c r="M143" s="7" t="n"/>
    </row>
    <row r="144">
      <c r="M144" s="7" t="n"/>
    </row>
    <row r="145">
      <c r="M145" s="7" t="n"/>
    </row>
    <row r="146">
      <c r="M146" s="7" t="n"/>
    </row>
    <row r="147">
      <c r="M147" s="7" t="n"/>
    </row>
    <row r="148">
      <c r="M148" s="7" t="n"/>
    </row>
    <row r="149">
      <c r="M149" s="7" t="n"/>
    </row>
    <row r="150">
      <c r="M150" s="7" t="n"/>
    </row>
    <row r="151">
      <c r="M151" s="7" t="n"/>
    </row>
    <row r="152">
      <c r="M152" s="7" t="n"/>
    </row>
    <row r="153">
      <c r="M153" s="7" t="n"/>
    </row>
    <row r="154">
      <c r="M154" s="7" t="n"/>
    </row>
    <row r="155">
      <c r="M155" s="7" t="n"/>
    </row>
    <row r="156">
      <c r="M156" s="7" t="n"/>
    </row>
    <row r="157">
      <c r="M157" s="7" t="n"/>
    </row>
    <row r="158">
      <c r="M158" s="7" t="n"/>
    </row>
    <row r="159">
      <c r="M159" s="7" t="n"/>
    </row>
    <row r="160">
      <c r="M160" s="7" t="n"/>
    </row>
    <row r="161">
      <c r="M161" s="7" t="n"/>
    </row>
    <row r="162">
      <c r="M162" s="7" t="n"/>
    </row>
    <row r="163">
      <c r="M163" s="7" t="n"/>
    </row>
    <row r="164">
      <c r="M164" s="7" t="n"/>
    </row>
    <row r="165">
      <c r="M165" s="7" t="n"/>
    </row>
    <row r="166">
      <c r="M166" s="7" t="n"/>
    </row>
    <row r="167">
      <c r="M167" s="7" t="n"/>
    </row>
    <row r="168">
      <c r="M168" s="7" t="n"/>
    </row>
    <row r="169">
      <c r="M169" s="7" t="n"/>
    </row>
    <row r="170">
      <c r="M170" s="7" t="n"/>
    </row>
    <row r="171">
      <c r="M171" s="7" t="n"/>
    </row>
    <row r="172">
      <c r="M172" s="7" t="n"/>
    </row>
    <row r="173">
      <c r="M173" s="7" t="n"/>
    </row>
    <row r="174">
      <c r="M174" s="7" t="n"/>
    </row>
    <row r="175">
      <c r="M175" s="7" t="n"/>
    </row>
    <row r="176">
      <c r="M176" s="7" t="n"/>
    </row>
    <row r="177">
      <c r="M177" s="7" t="n"/>
    </row>
    <row r="178">
      <c r="M178" s="7" t="n"/>
    </row>
    <row r="179">
      <c r="M179" s="7" t="n"/>
    </row>
    <row r="180">
      <c r="M180" s="7" t="n"/>
    </row>
    <row r="181">
      <c r="M181" s="7" t="n"/>
    </row>
    <row r="182">
      <c r="M182" s="7" t="n"/>
    </row>
    <row r="183">
      <c r="M183" s="7" t="n"/>
    </row>
    <row r="184">
      <c r="M184" s="7" t="n"/>
    </row>
    <row r="185">
      <c r="M185" s="7" t="n"/>
    </row>
    <row r="186">
      <c r="M186" s="7" t="n"/>
    </row>
    <row r="187">
      <c r="M187" s="7" t="n"/>
    </row>
    <row r="188">
      <c r="M188" s="7" t="n"/>
    </row>
    <row r="189">
      <c r="M189" s="7" t="n"/>
    </row>
    <row r="190">
      <c r="M190" s="7" t="n"/>
    </row>
    <row r="191">
      <c r="M191" s="7" t="n"/>
    </row>
    <row r="192">
      <c r="M192" s="7" t="n"/>
    </row>
    <row r="193">
      <c r="M193" s="7" t="n"/>
    </row>
    <row r="194">
      <c r="M194" s="7" t="n"/>
    </row>
    <row r="195">
      <c r="M195" s="7" t="n"/>
    </row>
    <row r="196">
      <c r="M196" s="7" t="n"/>
    </row>
    <row r="197">
      <c r="M197" s="7" t="n"/>
    </row>
    <row r="198">
      <c r="M198" s="7" t="n"/>
    </row>
    <row r="199">
      <c r="M199" s="7" t="n"/>
    </row>
    <row r="200">
      <c r="M200" s="7" t="n"/>
    </row>
    <row r="201">
      <c r="M201" s="7" t="n"/>
    </row>
    <row r="203">
      <c r="A203" s="5">
        <f>COUNTA(A2:A201)</f>
        <v/>
      </c>
      <c r="H203" s="5">
        <f>SUM(H2:H201)</f>
        <v/>
      </c>
      <c r="I203" s="5">
        <f>SUM(I2:I201)</f>
        <v/>
      </c>
      <c r="J203" s="5">
        <f>SUM(J2:J201)</f>
        <v/>
      </c>
      <c r="K203" s="5">
        <f>SUM(K2:K201)</f>
        <v/>
      </c>
      <c r="L203" s="5">
        <f>SUM(L2:L201)</f>
        <v/>
      </c>
      <c r="M203" s="12">
        <f>SUM(M2:M201)</f>
        <v/>
      </c>
    </row>
    <row r="205">
      <c r="A205" s="5" t="inlineStr">
        <is>
          <t>Reply rate</t>
        </is>
      </c>
      <c r="B205" s="10">
        <f>IFERROR(SUM(H2:H201)/COUNTA(A2:A201),0)</f>
        <v/>
      </c>
    </row>
    <row r="206">
      <c r="A206" s="5" t="inlineStr">
        <is>
          <t>Content return rate (target ≥90%)</t>
        </is>
      </c>
      <c r="B206" s="10">
        <f>IFERROR(SUM(K2:K201)/SUM(J2:J201),0)</f>
        <v/>
      </c>
    </row>
    <row r="207">
      <c r="A207" s="5" t="inlineStr">
        <is>
          <t>Revenue per sample</t>
        </is>
      </c>
      <c r="B207" s="7">
        <f>IFERROR(SUM(M2:M201)/SUM(J2:J201),0)</f>
        <v/>
      </c>
    </row>
  </sheetData>
  <dataValidations count="3">
    <dataValidation sqref="C2:C201" showDropDown="0" showInputMessage="0" showErrorMessage="0" allowBlank="1" type="list">
      <formula1>"General,Parents,Fitness,Beauty,Home,Tech,Pets,Other"</formula1>
    </dataValidation>
    <dataValidation sqref="F2:F201" showDropDown="0" showInputMessage="0" showErrorMessage="0" allowBlank="1" type="list">
      <formula1>"No,Suspect,Yes"</formula1>
    </dataValidation>
    <dataValidation sqref="N2:N201" showDropDown="0" showInputMessage="0" showErrorMessage="0" allowBlank="1" type="list">
      <formula1>"Contacted,Talking,Trial,Partner,Long-term distributor,Dropped"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.14285714285714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24.28571428571428" customWidth="1" min="12" max="12"/>
    <col width="28.57142857142857" customWidth="1" min="13" max="13"/>
  </cols>
  <sheetData>
    <row r="1" ht="48" customHeight="1">
      <c r="A1" s="1" t="inlineStr">
        <is>
          <t>Creative</t>
        </is>
      </c>
      <c r="B1" s="1" t="inlineStr">
        <is>
          <t>Stage</t>
        </is>
      </c>
      <c r="C1" s="1" t="inlineStr">
        <is>
          <t>Role</t>
        </is>
      </c>
      <c r="D1" s="1" t="inlineStr">
        <is>
          <t>Spend ($)</t>
        </is>
      </c>
      <c r="E1" s="1" t="inlineStr">
        <is>
          <t>Revenue ($)</t>
        </is>
      </c>
      <c r="F1" s="1" t="inlineStr">
        <is>
          <t>Conversions</t>
        </is>
      </c>
      <c r="G1" s="1" t="inlineStr">
        <is>
          <t>Break-even ROAS</t>
        </is>
      </c>
      <c r="H1" s="1" t="inlineStr">
        <is>
          <t>Stop-loss: max net loss accepted ($, set before launch)</t>
        </is>
      </c>
      <c r="I1" s="2" t="inlineStr">
        <is>
          <t>ROAS ƒ</t>
        </is>
      </c>
      <c r="J1" s="2" t="inlineStr">
        <is>
          <t>Net after ads ($) = revenue ÷ break-even − spend ƒ</t>
        </is>
      </c>
      <c r="K1" s="2" t="inlineStr">
        <is>
          <t>Activated? ƒ</t>
        </is>
      </c>
      <c r="L1" s="2" t="inlineStr">
        <is>
          <t>Priority ƒ</t>
        </is>
      </c>
      <c r="M1" s="1" t="inlineStr">
        <is>
          <t>Single-variable change</t>
        </is>
      </c>
    </row>
    <row r="2">
      <c r="A2" t="inlineStr">
        <is>
          <t>V-001 hook A</t>
        </is>
      </c>
      <c r="B2" t="inlineStr">
        <is>
          <t>0→1 validate</t>
        </is>
      </c>
      <c r="C2" t="inlineStr">
        <is>
          <t>Harvest</t>
        </is>
      </c>
      <c r="D2" s="7" t="n">
        <v>300</v>
      </c>
      <c r="E2" s="7" t="n">
        <v>540</v>
      </c>
      <c r="F2" t="n">
        <v>11</v>
      </c>
      <c r="G2" s="6" t="n">
        <v>2.6</v>
      </c>
      <c r="H2" s="7" t="n">
        <v>200</v>
      </c>
      <c r="I2" s="11">
        <f>IF(A2="","",IFERROR(E2/D2,0))</f>
        <v/>
      </c>
      <c r="J2" s="8">
        <f>IF(A2="","",IFERROR(E2/G2,0)-D2)</f>
        <v/>
      </c>
      <c r="K2" s="4">
        <f>IF(A2="","",IF(D2&gt;0,"Yes","No spend"))</f>
        <v/>
      </c>
      <c r="L2" s="4">
        <f>IF(A2="","",IF(D2=0,"Check target/activation",IF(AND(H2&gt;0,J2&lt;=0-H2),"Stop-loss hit - pause; fix creative/offer",IF(C2="Seed","P2 keep (seeding)",IF(I2&gt;=G2,"P2 hero - scale",IF(AND(B2="0→1 validate",F2&lt;50),"Learning - hold until ~50 conversions",IF(I2&gt;=G2*0.7,"P1 watch","P0 fix opening")))))))</f>
        <v/>
      </c>
    </row>
    <row r="3">
      <c r="D3" s="7" t="n"/>
      <c r="E3" s="7" t="n"/>
      <c r="G3" s="6" t="n"/>
      <c r="H3" s="7" t="n"/>
      <c r="I3" s="11">
        <f>IF(A3="","",IFERROR(E3/D3,0))</f>
        <v/>
      </c>
      <c r="J3" s="8">
        <f>IF(A3="","",IFERROR(E3/G3,0)-D3)</f>
        <v/>
      </c>
      <c r="K3" s="4">
        <f>IF(A3="","",IF(D3&gt;0,"Yes","No spend"))</f>
        <v/>
      </c>
      <c r="L3" s="4">
        <f>IF(A3="","",IF(D3=0,"Check target/activation",IF(AND(H3&gt;0,J3&lt;=0-H3),"Stop-loss hit - pause; fix creative/offer",IF(C3="Seed","P2 keep (seeding)",IF(I3&gt;=G3,"P2 hero - scale",IF(AND(B3="0→1 validate",F3&lt;50),"Learning - hold until ~50 conversions",IF(I3&gt;=G3*0.7,"P1 watch","P0 fix opening")))))))</f>
        <v/>
      </c>
    </row>
    <row r="4">
      <c r="D4" s="7" t="n"/>
      <c r="E4" s="7" t="n"/>
      <c r="G4" s="6" t="n"/>
      <c r="H4" s="7" t="n"/>
      <c r="I4" s="11">
        <f>IF(A4="","",IFERROR(E4/D4,0))</f>
        <v/>
      </c>
      <c r="J4" s="8">
        <f>IF(A4="","",IFERROR(E4/G4,0)-D4)</f>
        <v/>
      </c>
      <c r="K4" s="4">
        <f>IF(A4="","",IF(D4&gt;0,"Yes","No spend"))</f>
        <v/>
      </c>
      <c r="L4" s="4">
        <f>IF(A4="","",IF(D4=0,"Check target/activation",IF(AND(H4&gt;0,J4&lt;=0-H4),"Stop-loss hit - pause; fix creative/offer",IF(C4="Seed","P2 keep (seeding)",IF(I4&gt;=G4,"P2 hero - scale",IF(AND(B4="0→1 validate",F4&lt;50),"Learning - hold until ~50 conversions",IF(I4&gt;=G4*0.7,"P1 watch","P0 fix opening")))))))</f>
        <v/>
      </c>
    </row>
    <row r="5">
      <c r="D5" s="7" t="n"/>
      <c r="E5" s="7" t="n"/>
      <c r="G5" s="6" t="n"/>
      <c r="H5" s="7" t="n"/>
      <c r="I5" s="11">
        <f>IF(A5="","",IFERROR(E5/D5,0))</f>
        <v/>
      </c>
      <c r="J5" s="8">
        <f>IF(A5="","",IFERROR(E5/G5,0)-D5)</f>
        <v/>
      </c>
      <c r="K5" s="4">
        <f>IF(A5="","",IF(D5&gt;0,"Yes","No spend"))</f>
        <v/>
      </c>
      <c r="L5" s="4">
        <f>IF(A5="","",IF(D5=0,"Check target/activation",IF(AND(H5&gt;0,J5&lt;=0-H5),"Stop-loss hit - pause; fix creative/offer",IF(C5="Seed","P2 keep (seeding)",IF(I5&gt;=G5,"P2 hero - scale",IF(AND(B5="0→1 validate",F5&lt;50),"Learning - hold until ~50 conversions",IF(I5&gt;=G5*0.7,"P1 watch","P0 fix opening")))))))</f>
        <v/>
      </c>
    </row>
    <row r="6">
      <c r="D6" s="7" t="n"/>
      <c r="E6" s="7" t="n"/>
      <c r="G6" s="6" t="n"/>
      <c r="H6" s="7" t="n"/>
      <c r="I6" s="11">
        <f>IF(A6="","",IFERROR(E6/D6,0))</f>
        <v/>
      </c>
      <c r="J6" s="8">
        <f>IF(A6="","",IFERROR(E6/G6,0)-D6)</f>
        <v/>
      </c>
      <c r="K6" s="4">
        <f>IF(A6="","",IF(D6&gt;0,"Yes","No spend"))</f>
        <v/>
      </c>
      <c r="L6" s="4">
        <f>IF(A6="","",IF(D6=0,"Check target/activation",IF(AND(H6&gt;0,J6&lt;=0-H6),"Stop-loss hit - pause; fix creative/offer",IF(C6="Seed","P2 keep (seeding)",IF(I6&gt;=G6,"P2 hero - scale",IF(AND(B6="0→1 validate",F6&lt;50),"Learning - hold until ~50 conversions",IF(I6&gt;=G6*0.7,"P1 watch","P0 fix opening")))))))</f>
        <v/>
      </c>
    </row>
    <row r="7">
      <c r="D7" s="7" t="n"/>
      <c r="E7" s="7" t="n"/>
      <c r="G7" s="6" t="n"/>
      <c r="H7" s="7" t="n"/>
      <c r="I7" s="11">
        <f>IF(A7="","",IFERROR(E7/D7,0))</f>
        <v/>
      </c>
      <c r="J7" s="8">
        <f>IF(A7="","",IFERROR(E7/G7,0)-D7)</f>
        <v/>
      </c>
      <c r="K7" s="4">
        <f>IF(A7="","",IF(D7&gt;0,"Yes","No spend"))</f>
        <v/>
      </c>
      <c r="L7" s="4">
        <f>IF(A7="","",IF(D7=0,"Check target/activation",IF(AND(H7&gt;0,J7&lt;=0-H7),"Stop-loss hit - pause; fix creative/offer",IF(C7="Seed","P2 keep (seeding)",IF(I7&gt;=G7,"P2 hero - scale",IF(AND(B7="0→1 validate",F7&lt;50),"Learning - hold until ~50 conversions",IF(I7&gt;=G7*0.7,"P1 watch","P0 fix opening")))))))</f>
        <v/>
      </c>
    </row>
    <row r="8">
      <c r="D8" s="7" t="n"/>
      <c r="E8" s="7" t="n"/>
      <c r="G8" s="6" t="n"/>
      <c r="H8" s="7" t="n"/>
      <c r="I8" s="11">
        <f>IF(A8="","",IFERROR(E8/D8,0))</f>
        <v/>
      </c>
      <c r="J8" s="8">
        <f>IF(A8="","",IFERROR(E8/G8,0)-D8)</f>
        <v/>
      </c>
      <c r="K8" s="4">
        <f>IF(A8="","",IF(D8&gt;0,"Yes","No spend"))</f>
        <v/>
      </c>
      <c r="L8" s="4">
        <f>IF(A8="","",IF(D8=0,"Check target/activation",IF(AND(H8&gt;0,J8&lt;=0-H8),"Stop-loss hit - pause; fix creative/offer",IF(C8="Seed","P2 keep (seeding)",IF(I8&gt;=G8,"P2 hero - scale",IF(AND(B8="0→1 validate",F8&lt;50),"Learning - hold until ~50 conversions",IF(I8&gt;=G8*0.7,"P1 watch","P0 fix opening")))))))</f>
        <v/>
      </c>
    </row>
    <row r="9">
      <c r="D9" s="7" t="n"/>
      <c r="E9" s="7" t="n"/>
      <c r="G9" s="6" t="n"/>
      <c r="H9" s="7" t="n"/>
      <c r="I9" s="11">
        <f>IF(A9="","",IFERROR(E9/D9,0))</f>
        <v/>
      </c>
      <c r="J9" s="8">
        <f>IF(A9="","",IFERROR(E9/G9,0)-D9)</f>
        <v/>
      </c>
      <c r="K9" s="4">
        <f>IF(A9="","",IF(D9&gt;0,"Yes","No spend"))</f>
        <v/>
      </c>
      <c r="L9" s="4">
        <f>IF(A9="","",IF(D9=0,"Check target/activation",IF(AND(H9&gt;0,J9&lt;=0-H9),"Stop-loss hit - pause; fix creative/offer",IF(C9="Seed","P2 keep (seeding)",IF(I9&gt;=G9,"P2 hero - scale",IF(AND(B9="0→1 validate",F9&lt;50),"Learning - hold until ~50 conversions",IF(I9&gt;=G9*0.7,"P1 watch","P0 fix opening")))))))</f>
        <v/>
      </c>
    </row>
    <row r="10">
      <c r="D10" s="7" t="n"/>
      <c r="E10" s="7" t="n"/>
      <c r="G10" s="6" t="n"/>
      <c r="H10" s="7" t="n"/>
      <c r="I10" s="11">
        <f>IF(A10="","",IFERROR(E10/D10,0))</f>
        <v/>
      </c>
      <c r="J10" s="8">
        <f>IF(A10="","",IFERROR(E10/G10,0)-D10)</f>
        <v/>
      </c>
      <c r="K10" s="4">
        <f>IF(A10="","",IF(D10&gt;0,"Yes","No spend"))</f>
        <v/>
      </c>
      <c r="L10" s="4">
        <f>IF(A10="","",IF(D10=0,"Check target/activation",IF(AND(H10&gt;0,J10&lt;=0-H10),"Stop-loss hit - pause; fix creative/offer",IF(C10="Seed","P2 keep (seeding)",IF(I10&gt;=G10,"P2 hero - scale",IF(AND(B10="0→1 validate",F10&lt;50),"Learning - hold until ~50 conversions",IF(I10&gt;=G10*0.7,"P1 watch","P0 fix opening")))))))</f>
        <v/>
      </c>
    </row>
    <row r="11">
      <c r="D11" s="7" t="n"/>
      <c r="E11" s="7" t="n"/>
      <c r="G11" s="6" t="n"/>
      <c r="H11" s="7" t="n"/>
      <c r="I11" s="11">
        <f>IF(A11="","",IFERROR(E11/D11,0))</f>
        <v/>
      </c>
      <c r="J11" s="8">
        <f>IF(A11="","",IFERROR(E11/G11,0)-D11)</f>
        <v/>
      </c>
      <c r="K11" s="4">
        <f>IF(A11="","",IF(D11&gt;0,"Yes","No spend"))</f>
        <v/>
      </c>
      <c r="L11" s="4">
        <f>IF(A11="","",IF(D11=0,"Check target/activation",IF(AND(H11&gt;0,J11&lt;=0-H11),"Stop-loss hit - pause; fix creative/offer",IF(C11="Seed","P2 keep (seeding)",IF(I11&gt;=G11,"P2 hero - scale",IF(AND(B11="0→1 validate",F11&lt;50),"Learning - hold until ~50 conversions",IF(I11&gt;=G11*0.7,"P1 watch","P0 fix opening")))))))</f>
        <v/>
      </c>
    </row>
    <row r="12">
      <c r="D12" s="7" t="n"/>
      <c r="E12" s="7" t="n"/>
      <c r="G12" s="6" t="n"/>
      <c r="H12" s="7" t="n"/>
      <c r="I12" s="11">
        <f>IF(A12="","",IFERROR(E12/D12,0))</f>
        <v/>
      </c>
      <c r="J12" s="8">
        <f>IF(A12="","",IFERROR(E12/G12,0)-D12)</f>
        <v/>
      </c>
      <c r="K12" s="4">
        <f>IF(A12="","",IF(D12&gt;0,"Yes","No spend"))</f>
        <v/>
      </c>
      <c r="L12" s="4">
        <f>IF(A12="","",IF(D12=0,"Check target/activation",IF(AND(H12&gt;0,J12&lt;=0-H12),"Stop-loss hit - pause; fix creative/offer",IF(C12="Seed","P2 keep (seeding)",IF(I12&gt;=G12,"P2 hero - scale",IF(AND(B12="0→1 validate",F12&lt;50),"Learning - hold until ~50 conversions",IF(I12&gt;=G12*0.7,"P1 watch","P0 fix opening")))))))</f>
        <v/>
      </c>
    </row>
    <row r="13">
      <c r="D13" s="7" t="n"/>
      <c r="E13" s="7" t="n"/>
      <c r="G13" s="6" t="n"/>
      <c r="H13" s="7" t="n"/>
      <c r="I13" s="11">
        <f>IF(A13="","",IFERROR(E13/D13,0))</f>
        <v/>
      </c>
      <c r="J13" s="8">
        <f>IF(A13="","",IFERROR(E13/G13,0)-D13)</f>
        <v/>
      </c>
      <c r="K13" s="4">
        <f>IF(A13="","",IF(D13&gt;0,"Yes","No spend"))</f>
        <v/>
      </c>
      <c r="L13" s="4">
        <f>IF(A13="","",IF(D13=0,"Check target/activation",IF(AND(H13&gt;0,J13&lt;=0-H13),"Stop-loss hit - pause; fix creative/offer",IF(C13="Seed","P2 keep (seeding)",IF(I13&gt;=G13,"P2 hero - scale",IF(AND(B13="0→1 validate",F13&lt;50),"Learning - hold until ~50 conversions",IF(I13&gt;=G13*0.7,"P1 watch","P0 fix opening")))))))</f>
        <v/>
      </c>
    </row>
    <row r="14">
      <c r="D14" s="7" t="n"/>
      <c r="E14" s="7" t="n"/>
      <c r="G14" s="6" t="n"/>
      <c r="H14" s="7" t="n"/>
      <c r="I14" s="11">
        <f>IF(A14="","",IFERROR(E14/D14,0))</f>
        <v/>
      </c>
      <c r="J14" s="8">
        <f>IF(A14="","",IFERROR(E14/G14,0)-D14)</f>
        <v/>
      </c>
      <c r="K14" s="4">
        <f>IF(A14="","",IF(D14&gt;0,"Yes","No spend"))</f>
        <v/>
      </c>
      <c r="L14" s="4">
        <f>IF(A14="","",IF(D14=0,"Check target/activation",IF(AND(H14&gt;0,J14&lt;=0-H14),"Stop-loss hit - pause; fix creative/offer",IF(C14="Seed","P2 keep (seeding)",IF(I14&gt;=G14,"P2 hero - scale",IF(AND(B14="0→1 validate",F14&lt;50),"Learning - hold until ~50 conversions",IF(I14&gt;=G14*0.7,"P1 watch","P0 fix opening")))))))</f>
        <v/>
      </c>
    </row>
    <row r="15">
      <c r="D15" s="7" t="n"/>
      <c r="E15" s="7" t="n"/>
      <c r="G15" s="6" t="n"/>
      <c r="H15" s="7" t="n"/>
      <c r="I15" s="11">
        <f>IF(A15="","",IFERROR(E15/D15,0))</f>
        <v/>
      </c>
      <c r="J15" s="8">
        <f>IF(A15="","",IFERROR(E15/G15,0)-D15)</f>
        <v/>
      </c>
      <c r="K15" s="4">
        <f>IF(A15="","",IF(D15&gt;0,"Yes","No spend"))</f>
        <v/>
      </c>
      <c r="L15" s="4">
        <f>IF(A15="","",IF(D15=0,"Check target/activation",IF(AND(H15&gt;0,J15&lt;=0-H15),"Stop-loss hit - pause; fix creative/offer",IF(C15="Seed","P2 keep (seeding)",IF(I15&gt;=G15,"P2 hero - scale",IF(AND(B15="0→1 validate",F15&lt;50),"Learning - hold until ~50 conversions",IF(I15&gt;=G15*0.7,"P1 watch","P0 fix opening")))))))</f>
        <v/>
      </c>
    </row>
    <row r="16">
      <c r="D16" s="7" t="n"/>
      <c r="E16" s="7" t="n"/>
      <c r="G16" s="6" t="n"/>
      <c r="H16" s="7" t="n"/>
      <c r="I16" s="11">
        <f>IF(A16="","",IFERROR(E16/D16,0))</f>
        <v/>
      </c>
      <c r="J16" s="8">
        <f>IF(A16="","",IFERROR(E16/G16,0)-D16)</f>
        <v/>
      </c>
      <c r="K16" s="4">
        <f>IF(A16="","",IF(D16&gt;0,"Yes","No spend"))</f>
        <v/>
      </c>
      <c r="L16" s="4">
        <f>IF(A16="","",IF(D16=0,"Check target/activation",IF(AND(H16&gt;0,J16&lt;=0-H16),"Stop-loss hit - pause; fix creative/offer",IF(C16="Seed","P2 keep (seeding)",IF(I16&gt;=G16,"P2 hero - scale",IF(AND(B16="0→1 validate",F16&lt;50),"Learning - hold until ~50 conversions",IF(I16&gt;=G16*0.7,"P1 watch","P0 fix opening")))))))</f>
        <v/>
      </c>
    </row>
    <row r="17">
      <c r="D17" s="7" t="n"/>
      <c r="E17" s="7" t="n"/>
      <c r="G17" s="6" t="n"/>
      <c r="H17" s="7" t="n"/>
      <c r="I17" s="11">
        <f>IF(A17="","",IFERROR(E17/D17,0))</f>
        <v/>
      </c>
      <c r="J17" s="8">
        <f>IF(A17="","",IFERROR(E17/G17,0)-D17)</f>
        <v/>
      </c>
      <c r="K17" s="4">
        <f>IF(A17="","",IF(D17&gt;0,"Yes","No spend"))</f>
        <v/>
      </c>
      <c r="L17" s="4">
        <f>IF(A17="","",IF(D17=0,"Check target/activation",IF(AND(H17&gt;0,J17&lt;=0-H17),"Stop-loss hit - pause; fix creative/offer",IF(C17="Seed","P2 keep (seeding)",IF(I17&gt;=G17,"P2 hero - scale",IF(AND(B17="0→1 validate",F17&lt;50),"Learning - hold until ~50 conversions",IF(I17&gt;=G17*0.7,"P1 watch","P0 fix opening")))))))</f>
        <v/>
      </c>
    </row>
    <row r="18">
      <c r="D18" s="7" t="n"/>
      <c r="E18" s="7" t="n"/>
      <c r="G18" s="6" t="n"/>
      <c r="H18" s="7" t="n"/>
      <c r="I18" s="11">
        <f>IF(A18="","",IFERROR(E18/D18,0))</f>
        <v/>
      </c>
      <c r="J18" s="8">
        <f>IF(A18="","",IFERROR(E18/G18,0)-D18)</f>
        <v/>
      </c>
      <c r="K18" s="4">
        <f>IF(A18="","",IF(D18&gt;0,"Yes","No spend"))</f>
        <v/>
      </c>
      <c r="L18" s="4">
        <f>IF(A18="","",IF(D18=0,"Check target/activation",IF(AND(H18&gt;0,J18&lt;=0-H18),"Stop-loss hit - pause; fix creative/offer",IF(C18="Seed","P2 keep (seeding)",IF(I18&gt;=G18,"P2 hero - scale",IF(AND(B18="0→1 validate",F18&lt;50),"Learning - hold until ~50 conversions",IF(I18&gt;=G18*0.7,"P1 watch","P0 fix opening")))))))</f>
        <v/>
      </c>
    </row>
    <row r="19">
      <c r="D19" s="7" t="n"/>
      <c r="E19" s="7" t="n"/>
      <c r="G19" s="6" t="n"/>
      <c r="H19" s="7" t="n"/>
      <c r="I19" s="11">
        <f>IF(A19="","",IFERROR(E19/D19,0))</f>
        <v/>
      </c>
      <c r="J19" s="8">
        <f>IF(A19="","",IFERROR(E19/G19,0)-D19)</f>
        <v/>
      </c>
      <c r="K19" s="4">
        <f>IF(A19="","",IF(D19&gt;0,"Yes","No spend"))</f>
        <v/>
      </c>
      <c r="L19" s="4">
        <f>IF(A19="","",IF(D19=0,"Check target/activation",IF(AND(H19&gt;0,J19&lt;=0-H19),"Stop-loss hit - pause; fix creative/offer",IF(C19="Seed","P2 keep (seeding)",IF(I19&gt;=G19,"P2 hero - scale",IF(AND(B19="0→1 validate",F19&lt;50),"Learning - hold until ~50 conversions",IF(I19&gt;=G19*0.7,"P1 watch","P0 fix opening")))))))</f>
        <v/>
      </c>
    </row>
    <row r="20">
      <c r="D20" s="7" t="n"/>
      <c r="E20" s="7" t="n"/>
      <c r="G20" s="6" t="n"/>
      <c r="H20" s="7" t="n"/>
      <c r="I20" s="11">
        <f>IF(A20="","",IFERROR(E20/D20,0))</f>
        <v/>
      </c>
      <c r="J20" s="8">
        <f>IF(A20="","",IFERROR(E20/G20,0)-D20)</f>
        <v/>
      </c>
      <c r="K20" s="4">
        <f>IF(A20="","",IF(D20&gt;0,"Yes","No spend"))</f>
        <v/>
      </c>
      <c r="L20" s="4">
        <f>IF(A20="","",IF(D20=0,"Check target/activation",IF(AND(H20&gt;0,J20&lt;=0-H20),"Stop-loss hit - pause; fix creative/offer",IF(C20="Seed","P2 keep (seeding)",IF(I20&gt;=G20,"P2 hero - scale",IF(AND(B20="0→1 validate",F20&lt;50),"Learning - hold until ~50 conversions",IF(I20&gt;=G20*0.7,"P1 watch","P0 fix opening")))))))</f>
        <v/>
      </c>
    </row>
    <row r="21">
      <c r="D21" s="7" t="n"/>
      <c r="E21" s="7" t="n"/>
      <c r="G21" s="6" t="n"/>
      <c r="H21" s="7" t="n"/>
      <c r="I21" s="11">
        <f>IF(A21="","",IFERROR(E21/D21,0))</f>
        <v/>
      </c>
      <c r="J21" s="8">
        <f>IF(A21="","",IFERROR(E21/G21,0)-D21)</f>
        <v/>
      </c>
      <c r="K21" s="4">
        <f>IF(A21="","",IF(D21&gt;0,"Yes","No spend"))</f>
        <v/>
      </c>
      <c r="L21" s="4">
        <f>IF(A21="","",IF(D21=0,"Check target/activation",IF(AND(H21&gt;0,J21&lt;=0-H21),"Stop-loss hit - pause; fix creative/offer",IF(C21="Seed","P2 keep (seeding)",IF(I21&gt;=G21,"P2 hero - scale",IF(AND(B21="0→1 validate",F21&lt;50),"Learning - hold until ~50 conversions",IF(I21&gt;=G21*0.7,"P1 watch","P0 fix opening")))))))</f>
        <v/>
      </c>
    </row>
    <row r="22">
      <c r="D22" s="7" t="n"/>
      <c r="E22" s="7" t="n"/>
      <c r="G22" s="6" t="n"/>
      <c r="H22" s="7" t="n"/>
      <c r="I22" s="11">
        <f>IF(A22="","",IFERROR(E22/D22,0))</f>
        <v/>
      </c>
      <c r="J22" s="8">
        <f>IF(A22="","",IFERROR(E22/G22,0)-D22)</f>
        <v/>
      </c>
      <c r="K22" s="4">
        <f>IF(A22="","",IF(D22&gt;0,"Yes","No spend"))</f>
        <v/>
      </c>
      <c r="L22" s="4">
        <f>IF(A22="","",IF(D22=0,"Check target/activation",IF(AND(H22&gt;0,J22&lt;=0-H22),"Stop-loss hit - pause; fix creative/offer",IF(C22="Seed","P2 keep (seeding)",IF(I22&gt;=G22,"P2 hero - scale",IF(AND(B22="0→1 validate",F22&lt;50),"Learning - hold until ~50 conversions",IF(I22&gt;=G22*0.7,"P1 watch","P0 fix opening")))))))</f>
        <v/>
      </c>
    </row>
    <row r="23">
      <c r="D23" s="7" t="n"/>
      <c r="E23" s="7" t="n"/>
      <c r="G23" s="6" t="n"/>
      <c r="H23" s="7" t="n"/>
      <c r="I23" s="11">
        <f>IF(A23="","",IFERROR(E23/D23,0))</f>
        <v/>
      </c>
      <c r="J23" s="8">
        <f>IF(A23="","",IFERROR(E23/G23,0)-D23)</f>
        <v/>
      </c>
      <c r="K23" s="4">
        <f>IF(A23="","",IF(D23&gt;0,"Yes","No spend"))</f>
        <v/>
      </c>
      <c r="L23" s="4">
        <f>IF(A23="","",IF(D23=0,"Check target/activation",IF(AND(H23&gt;0,J23&lt;=0-H23),"Stop-loss hit - pause; fix creative/offer",IF(C23="Seed","P2 keep (seeding)",IF(I23&gt;=G23,"P2 hero - scale",IF(AND(B23="0→1 validate",F23&lt;50),"Learning - hold until ~50 conversions",IF(I23&gt;=G23*0.7,"P1 watch","P0 fix opening")))))))</f>
        <v/>
      </c>
    </row>
    <row r="24">
      <c r="D24" s="7" t="n"/>
      <c r="E24" s="7" t="n"/>
      <c r="G24" s="6" t="n"/>
      <c r="H24" s="7" t="n"/>
      <c r="I24" s="11">
        <f>IF(A24="","",IFERROR(E24/D24,0))</f>
        <v/>
      </c>
      <c r="J24" s="8">
        <f>IF(A24="","",IFERROR(E24/G24,0)-D24)</f>
        <v/>
      </c>
      <c r="K24" s="4">
        <f>IF(A24="","",IF(D24&gt;0,"Yes","No spend"))</f>
        <v/>
      </c>
      <c r="L24" s="4">
        <f>IF(A24="","",IF(D24=0,"Check target/activation",IF(AND(H24&gt;0,J24&lt;=0-H24),"Stop-loss hit - pause; fix creative/offer",IF(C24="Seed","P2 keep (seeding)",IF(I24&gt;=G24,"P2 hero - scale",IF(AND(B24="0→1 validate",F24&lt;50),"Learning - hold until ~50 conversions",IF(I24&gt;=G24*0.7,"P1 watch","P0 fix opening")))))))</f>
        <v/>
      </c>
    </row>
    <row r="25">
      <c r="D25" s="7" t="n"/>
      <c r="E25" s="7" t="n"/>
      <c r="G25" s="6" t="n"/>
      <c r="H25" s="7" t="n"/>
      <c r="I25" s="11">
        <f>IF(A25="","",IFERROR(E25/D25,0))</f>
        <v/>
      </c>
      <c r="J25" s="8">
        <f>IF(A25="","",IFERROR(E25/G25,0)-D25)</f>
        <v/>
      </c>
      <c r="K25" s="4">
        <f>IF(A25="","",IF(D25&gt;0,"Yes","No spend"))</f>
        <v/>
      </c>
      <c r="L25" s="4">
        <f>IF(A25="","",IF(D25=0,"Check target/activation",IF(AND(H25&gt;0,J25&lt;=0-H25),"Stop-loss hit - pause; fix creative/offer",IF(C25="Seed","P2 keep (seeding)",IF(I25&gt;=G25,"P2 hero - scale",IF(AND(B25="0→1 validate",F25&lt;50),"Learning - hold until ~50 conversions",IF(I25&gt;=G25*0.7,"P1 watch","P0 fix opening")))))))</f>
        <v/>
      </c>
    </row>
    <row r="26">
      <c r="D26" s="7" t="n"/>
      <c r="E26" s="7" t="n"/>
      <c r="G26" s="6" t="n"/>
      <c r="H26" s="7" t="n"/>
      <c r="I26" s="11">
        <f>IF(A26="","",IFERROR(E26/D26,0))</f>
        <v/>
      </c>
      <c r="J26" s="8">
        <f>IF(A26="","",IFERROR(E26/G26,0)-D26)</f>
        <v/>
      </c>
      <c r="K26" s="4">
        <f>IF(A26="","",IF(D26&gt;0,"Yes","No spend"))</f>
        <v/>
      </c>
      <c r="L26" s="4">
        <f>IF(A26="","",IF(D26=0,"Check target/activation",IF(AND(H26&gt;0,J26&lt;=0-H26),"Stop-loss hit - pause; fix creative/offer",IF(C26="Seed","P2 keep (seeding)",IF(I26&gt;=G26,"P2 hero - scale",IF(AND(B26="0→1 validate",F26&lt;50),"Learning - hold until ~50 conversions",IF(I26&gt;=G26*0.7,"P1 watch","P0 fix opening")))))))</f>
        <v/>
      </c>
    </row>
    <row r="27">
      <c r="D27" s="7" t="n"/>
      <c r="E27" s="7" t="n"/>
      <c r="G27" s="6" t="n"/>
      <c r="H27" s="7" t="n"/>
      <c r="I27" s="11">
        <f>IF(A27="","",IFERROR(E27/D27,0))</f>
        <v/>
      </c>
      <c r="J27" s="8">
        <f>IF(A27="","",IFERROR(E27/G27,0)-D27)</f>
        <v/>
      </c>
      <c r="K27" s="4">
        <f>IF(A27="","",IF(D27&gt;0,"Yes","No spend"))</f>
        <v/>
      </c>
      <c r="L27" s="4">
        <f>IF(A27="","",IF(D27=0,"Check target/activation",IF(AND(H27&gt;0,J27&lt;=0-H27),"Stop-loss hit - pause; fix creative/offer",IF(C27="Seed","P2 keep (seeding)",IF(I27&gt;=G27,"P2 hero - scale",IF(AND(B27="0→1 validate",F27&lt;50),"Learning - hold until ~50 conversions",IF(I27&gt;=G27*0.7,"P1 watch","P0 fix opening")))))))</f>
        <v/>
      </c>
    </row>
    <row r="28">
      <c r="D28" s="7" t="n"/>
      <c r="E28" s="7" t="n"/>
      <c r="G28" s="6" t="n"/>
      <c r="H28" s="7" t="n"/>
      <c r="I28" s="11">
        <f>IF(A28="","",IFERROR(E28/D28,0))</f>
        <v/>
      </c>
      <c r="J28" s="8">
        <f>IF(A28="","",IFERROR(E28/G28,0)-D28)</f>
        <v/>
      </c>
      <c r="K28" s="4">
        <f>IF(A28="","",IF(D28&gt;0,"Yes","No spend"))</f>
        <v/>
      </c>
      <c r="L28" s="4">
        <f>IF(A28="","",IF(D28=0,"Check target/activation",IF(AND(H28&gt;0,J28&lt;=0-H28),"Stop-loss hit - pause; fix creative/offer",IF(C28="Seed","P2 keep (seeding)",IF(I28&gt;=G28,"P2 hero - scale",IF(AND(B28="0→1 validate",F28&lt;50),"Learning - hold until ~50 conversions",IF(I28&gt;=G28*0.7,"P1 watch","P0 fix opening")))))))</f>
        <v/>
      </c>
    </row>
    <row r="29">
      <c r="D29" s="7" t="n"/>
      <c r="E29" s="7" t="n"/>
      <c r="G29" s="6" t="n"/>
      <c r="H29" s="7" t="n"/>
      <c r="I29" s="11">
        <f>IF(A29="","",IFERROR(E29/D29,0))</f>
        <v/>
      </c>
      <c r="J29" s="8">
        <f>IF(A29="","",IFERROR(E29/G29,0)-D29)</f>
        <v/>
      </c>
      <c r="K29" s="4">
        <f>IF(A29="","",IF(D29&gt;0,"Yes","No spend"))</f>
        <v/>
      </c>
      <c r="L29" s="4">
        <f>IF(A29="","",IF(D29=0,"Check target/activation",IF(AND(H29&gt;0,J29&lt;=0-H29),"Stop-loss hit - pause; fix creative/offer",IF(C29="Seed","P2 keep (seeding)",IF(I29&gt;=G29,"P2 hero - scale",IF(AND(B29="0→1 validate",F29&lt;50),"Learning - hold until ~50 conversions",IF(I29&gt;=G29*0.7,"P1 watch","P0 fix opening")))))))</f>
        <v/>
      </c>
    </row>
    <row r="30">
      <c r="D30" s="7" t="n"/>
      <c r="E30" s="7" t="n"/>
      <c r="G30" s="6" t="n"/>
      <c r="H30" s="7" t="n"/>
      <c r="I30" s="11">
        <f>IF(A30="","",IFERROR(E30/D30,0))</f>
        <v/>
      </c>
      <c r="J30" s="8">
        <f>IF(A30="","",IFERROR(E30/G30,0)-D30)</f>
        <v/>
      </c>
      <c r="K30" s="4">
        <f>IF(A30="","",IF(D30&gt;0,"Yes","No spend"))</f>
        <v/>
      </c>
      <c r="L30" s="4">
        <f>IF(A30="","",IF(D30=0,"Check target/activation",IF(AND(H30&gt;0,J30&lt;=0-H30),"Stop-loss hit - pause; fix creative/offer",IF(C30="Seed","P2 keep (seeding)",IF(I30&gt;=G30,"P2 hero - scale",IF(AND(B30="0→1 validate",F30&lt;50),"Learning - hold until ~50 conversions",IF(I30&gt;=G30*0.7,"P1 watch","P0 fix opening")))))))</f>
        <v/>
      </c>
    </row>
    <row r="31">
      <c r="D31" s="7" t="n"/>
      <c r="E31" s="7" t="n"/>
      <c r="G31" s="6" t="n"/>
      <c r="H31" s="7" t="n"/>
      <c r="I31" s="11">
        <f>IF(A31="","",IFERROR(E31/D31,0))</f>
        <v/>
      </c>
      <c r="J31" s="8">
        <f>IF(A31="","",IFERROR(E31/G31,0)-D31)</f>
        <v/>
      </c>
      <c r="K31" s="4">
        <f>IF(A31="","",IF(D31&gt;0,"Yes","No spend"))</f>
        <v/>
      </c>
      <c r="L31" s="4">
        <f>IF(A31="","",IF(D31=0,"Check target/activation",IF(AND(H31&gt;0,J31&lt;=0-H31),"Stop-loss hit - pause; fix creative/offer",IF(C31="Seed","P2 keep (seeding)",IF(I31&gt;=G31,"P2 hero - scale",IF(AND(B31="0→1 validate",F31&lt;50),"Learning - hold until ~50 conversions",IF(I31&gt;=G31*0.7,"P1 watch","P0 fix opening")))))))</f>
        <v/>
      </c>
    </row>
    <row r="32">
      <c r="D32" s="7" t="n"/>
      <c r="E32" s="7" t="n"/>
      <c r="G32" s="6" t="n"/>
      <c r="H32" s="7" t="n"/>
      <c r="I32" s="11">
        <f>IF(A32="","",IFERROR(E32/D32,0))</f>
        <v/>
      </c>
      <c r="J32" s="8">
        <f>IF(A32="","",IFERROR(E32/G32,0)-D32)</f>
        <v/>
      </c>
      <c r="K32" s="4">
        <f>IF(A32="","",IF(D32&gt;0,"Yes","No spend"))</f>
        <v/>
      </c>
      <c r="L32" s="4">
        <f>IF(A32="","",IF(D32=0,"Check target/activation",IF(AND(H32&gt;0,J32&lt;=0-H32),"Stop-loss hit - pause; fix creative/offer",IF(C32="Seed","P2 keep (seeding)",IF(I32&gt;=G32,"P2 hero - scale",IF(AND(B32="0→1 validate",F32&lt;50),"Learning - hold until ~50 conversions",IF(I32&gt;=G32*0.7,"P1 watch","P0 fix opening")))))))</f>
        <v/>
      </c>
    </row>
    <row r="33">
      <c r="D33" s="7" t="n"/>
      <c r="E33" s="7" t="n"/>
      <c r="G33" s="6" t="n"/>
      <c r="H33" s="7" t="n"/>
      <c r="I33" s="11">
        <f>IF(A33="","",IFERROR(E33/D33,0))</f>
        <v/>
      </c>
      <c r="J33" s="8">
        <f>IF(A33="","",IFERROR(E33/G33,0)-D33)</f>
        <v/>
      </c>
      <c r="K33" s="4">
        <f>IF(A33="","",IF(D33&gt;0,"Yes","No spend"))</f>
        <v/>
      </c>
      <c r="L33" s="4">
        <f>IF(A33="","",IF(D33=0,"Check target/activation",IF(AND(H33&gt;0,J33&lt;=0-H33),"Stop-loss hit - pause; fix creative/offer",IF(C33="Seed","P2 keep (seeding)",IF(I33&gt;=G33,"P2 hero - scale",IF(AND(B33="0→1 validate",F33&lt;50),"Learning - hold until ~50 conversions",IF(I33&gt;=G33*0.7,"P1 watch","P0 fix opening")))))))</f>
        <v/>
      </c>
    </row>
    <row r="34">
      <c r="D34" s="7" t="n"/>
      <c r="E34" s="7" t="n"/>
      <c r="G34" s="6" t="n"/>
      <c r="H34" s="7" t="n"/>
      <c r="I34" s="11">
        <f>IF(A34="","",IFERROR(E34/D34,0))</f>
        <v/>
      </c>
      <c r="J34" s="8">
        <f>IF(A34="","",IFERROR(E34/G34,0)-D34)</f>
        <v/>
      </c>
      <c r="K34" s="4">
        <f>IF(A34="","",IF(D34&gt;0,"Yes","No spend"))</f>
        <v/>
      </c>
      <c r="L34" s="4">
        <f>IF(A34="","",IF(D34=0,"Check target/activation",IF(AND(H34&gt;0,J34&lt;=0-H34),"Stop-loss hit - pause; fix creative/offer",IF(C34="Seed","P2 keep (seeding)",IF(I34&gt;=G34,"P2 hero - scale",IF(AND(B34="0→1 validate",F34&lt;50),"Learning - hold until ~50 conversions",IF(I34&gt;=G34*0.7,"P1 watch","P0 fix opening")))))))</f>
        <v/>
      </c>
    </row>
    <row r="35">
      <c r="D35" s="7" t="n"/>
      <c r="E35" s="7" t="n"/>
      <c r="G35" s="6" t="n"/>
      <c r="H35" s="7" t="n"/>
      <c r="I35" s="11">
        <f>IF(A35="","",IFERROR(E35/D35,0))</f>
        <v/>
      </c>
      <c r="J35" s="8">
        <f>IF(A35="","",IFERROR(E35/G35,0)-D35)</f>
        <v/>
      </c>
      <c r="K35" s="4">
        <f>IF(A35="","",IF(D35&gt;0,"Yes","No spend"))</f>
        <v/>
      </c>
      <c r="L35" s="4">
        <f>IF(A35="","",IF(D35=0,"Check target/activation",IF(AND(H35&gt;0,J35&lt;=0-H35),"Stop-loss hit - pause; fix creative/offer",IF(C35="Seed","P2 keep (seeding)",IF(I35&gt;=G35,"P2 hero - scale",IF(AND(B35="0→1 validate",F35&lt;50),"Learning - hold until ~50 conversions",IF(I35&gt;=G35*0.7,"P1 watch","P0 fix opening")))))))</f>
        <v/>
      </c>
    </row>
    <row r="36">
      <c r="D36" s="7" t="n"/>
      <c r="E36" s="7" t="n"/>
      <c r="G36" s="6" t="n"/>
      <c r="H36" s="7" t="n"/>
      <c r="I36" s="11">
        <f>IF(A36="","",IFERROR(E36/D36,0))</f>
        <v/>
      </c>
      <c r="J36" s="8">
        <f>IF(A36="","",IFERROR(E36/G36,0)-D36)</f>
        <v/>
      </c>
      <c r="K36" s="4">
        <f>IF(A36="","",IF(D36&gt;0,"Yes","No spend"))</f>
        <v/>
      </c>
      <c r="L36" s="4">
        <f>IF(A36="","",IF(D36=0,"Check target/activation",IF(AND(H36&gt;0,J36&lt;=0-H36),"Stop-loss hit - pause; fix creative/offer",IF(C36="Seed","P2 keep (seeding)",IF(I36&gt;=G36,"P2 hero - scale",IF(AND(B36="0→1 validate",F36&lt;50),"Learning - hold until ~50 conversions",IF(I36&gt;=G36*0.7,"P1 watch","P0 fix opening")))))))</f>
        <v/>
      </c>
    </row>
    <row r="37">
      <c r="D37" s="7" t="n"/>
      <c r="E37" s="7" t="n"/>
      <c r="G37" s="6" t="n"/>
      <c r="H37" s="7" t="n"/>
      <c r="I37" s="11">
        <f>IF(A37="","",IFERROR(E37/D37,0))</f>
        <v/>
      </c>
      <c r="J37" s="8">
        <f>IF(A37="","",IFERROR(E37/G37,0)-D37)</f>
        <v/>
      </c>
      <c r="K37" s="4">
        <f>IF(A37="","",IF(D37&gt;0,"Yes","No spend"))</f>
        <v/>
      </c>
      <c r="L37" s="4">
        <f>IF(A37="","",IF(D37=0,"Check target/activation",IF(AND(H37&gt;0,J37&lt;=0-H37),"Stop-loss hit - pause; fix creative/offer",IF(C37="Seed","P2 keep (seeding)",IF(I37&gt;=G37,"P2 hero - scale",IF(AND(B37="0→1 validate",F37&lt;50),"Learning - hold until ~50 conversions",IF(I37&gt;=G37*0.7,"P1 watch","P0 fix opening")))))))</f>
        <v/>
      </c>
    </row>
    <row r="38">
      <c r="D38" s="7" t="n"/>
      <c r="E38" s="7" t="n"/>
      <c r="G38" s="6" t="n"/>
      <c r="H38" s="7" t="n"/>
      <c r="I38" s="11">
        <f>IF(A38="","",IFERROR(E38/D38,0))</f>
        <v/>
      </c>
      <c r="J38" s="8">
        <f>IF(A38="","",IFERROR(E38/G38,0)-D38)</f>
        <v/>
      </c>
      <c r="K38" s="4">
        <f>IF(A38="","",IF(D38&gt;0,"Yes","No spend"))</f>
        <v/>
      </c>
      <c r="L38" s="4">
        <f>IF(A38="","",IF(D38=0,"Check target/activation",IF(AND(H38&gt;0,J38&lt;=0-H38),"Stop-loss hit - pause; fix creative/offer",IF(C38="Seed","P2 keep (seeding)",IF(I38&gt;=G38,"P2 hero - scale",IF(AND(B38="0→1 validate",F38&lt;50),"Learning - hold until ~50 conversions",IF(I38&gt;=G38*0.7,"P1 watch","P0 fix opening")))))))</f>
        <v/>
      </c>
    </row>
    <row r="39">
      <c r="D39" s="7" t="n"/>
      <c r="E39" s="7" t="n"/>
      <c r="G39" s="6" t="n"/>
      <c r="H39" s="7" t="n"/>
      <c r="I39" s="11">
        <f>IF(A39="","",IFERROR(E39/D39,0))</f>
        <v/>
      </c>
      <c r="J39" s="8">
        <f>IF(A39="","",IFERROR(E39/G39,0)-D39)</f>
        <v/>
      </c>
      <c r="K39" s="4">
        <f>IF(A39="","",IF(D39&gt;0,"Yes","No spend"))</f>
        <v/>
      </c>
      <c r="L39" s="4">
        <f>IF(A39="","",IF(D39=0,"Check target/activation",IF(AND(H39&gt;0,J39&lt;=0-H39),"Stop-loss hit - pause; fix creative/offer",IF(C39="Seed","P2 keep (seeding)",IF(I39&gt;=G39,"P2 hero - scale",IF(AND(B39="0→1 validate",F39&lt;50),"Learning - hold until ~50 conversions",IF(I39&gt;=G39*0.7,"P1 watch","P0 fix opening")))))))</f>
        <v/>
      </c>
    </row>
    <row r="40">
      <c r="D40" s="7" t="n"/>
      <c r="E40" s="7" t="n"/>
      <c r="G40" s="6" t="n"/>
      <c r="H40" s="7" t="n"/>
      <c r="I40" s="11">
        <f>IF(A40="","",IFERROR(E40/D40,0))</f>
        <v/>
      </c>
      <c r="J40" s="8">
        <f>IF(A40="","",IFERROR(E40/G40,0)-D40)</f>
        <v/>
      </c>
      <c r="K40" s="4">
        <f>IF(A40="","",IF(D40&gt;0,"Yes","No spend"))</f>
        <v/>
      </c>
      <c r="L40" s="4">
        <f>IF(A40="","",IF(D40=0,"Check target/activation",IF(AND(H40&gt;0,J40&lt;=0-H40),"Stop-loss hit - pause; fix creative/offer",IF(C40="Seed","P2 keep (seeding)",IF(I40&gt;=G40,"P2 hero - scale",IF(AND(B40="0→1 validate",F40&lt;50),"Learning - hold until ~50 conversions",IF(I40&gt;=G40*0.7,"P1 watch","P0 fix opening")))))))</f>
        <v/>
      </c>
    </row>
    <row r="41">
      <c r="D41" s="7" t="n"/>
      <c r="E41" s="7" t="n"/>
      <c r="G41" s="6" t="n"/>
      <c r="H41" s="7" t="n"/>
      <c r="I41" s="11">
        <f>IF(A41="","",IFERROR(E41/D41,0))</f>
        <v/>
      </c>
      <c r="J41" s="8">
        <f>IF(A41="","",IFERROR(E41/G41,0)-D41)</f>
        <v/>
      </c>
      <c r="K41" s="4">
        <f>IF(A41="","",IF(D41&gt;0,"Yes","No spend"))</f>
        <v/>
      </c>
      <c r="L41" s="4">
        <f>IF(A41="","",IF(D41=0,"Check target/activation",IF(AND(H41&gt;0,J41&lt;=0-H41),"Stop-loss hit - pause; fix creative/offer",IF(C41="Seed","P2 keep (seeding)",IF(I41&gt;=G41,"P2 hero - scale",IF(AND(B41="0→1 validate",F41&lt;50),"Learning - hold until ~50 conversions",IF(I41&gt;=G41*0.7,"P1 watch","P0 fix opening")))))))</f>
        <v/>
      </c>
    </row>
    <row r="42">
      <c r="D42" s="7" t="n"/>
      <c r="E42" s="7" t="n"/>
      <c r="G42" s="6" t="n"/>
      <c r="H42" s="7" t="n"/>
      <c r="I42" s="11">
        <f>IF(A42="","",IFERROR(E42/D42,0))</f>
        <v/>
      </c>
      <c r="J42" s="8">
        <f>IF(A42="","",IFERROR(E42/G42,0)-D42)</f>
        <v/>
      </c>
      <c r="K42" s="4">
        <f>IF(A42="","",IF(D42&gt;0,"Yes","No spend"))</f>
        <v/>
      </c>
      <c r="L42" s="4">
        <f>IF(A42="","",IF(D42=0,"Check target/activation",IF(AND(H42&gt;0,J42&lt;=0-H42),"Stop-loss hit - pause; fix creative/offer",IF(C42="Seed","P2 keep (seeding)",IF(I42&gt;=G42,"P2 hero - scale",IF(AND(B42="0→1 validate",F42&lt;50),"Learning - hold until ~50 conversions",IF(I42&gt;=G42*0.7,"P1 watch","P0 fix opening")))))))</f>
        <v/>
      </c>
    </row>
    <row r="43">
      <c r="D43" s="7" t="n"/>
      <c r="E43" s="7" t="n"/>
      <c r="G43" s="6" t="n"/>
      <c r="H43" s="7" t="n"/>
      <c r="I43" s="11">
        <f>IF(A43="","",IFERROR(E43/D43,0))</f>
        <v/>
      </c>
      <c r="J43" s="8">
        <f>IF(A43="","",IFERROR(E43/G43,0)-D43)</f>
        <v/>
      </c>
      <c r="K43" s="4">
        <f>IF(A43="","",IF(D43&gt;0,"Yes","No spend"))</f>
        <v/>
      </c>
      <c r="L43" s="4">
        <f>IF(A43="","",IF(D43=0,"Check target/activation",IF(AND(H43&gt;0,J43&lt;=0-H43),"Stop-loss hit - pause; fix creative/offer",IF(C43="Seed","P2 keep (seeding)",IF(I43&gt;=G43,"P2 hero - scale",IF(AND(B43="0→1 validate",F43&lt;50),"Learning - hold until ~50 conversions",IF(I43&gt;=G43*0.7,"P1 watch","P0 fix opening")))))))</f>
        <v/>
      </c>
    </row>
    <row r="44">
      <c r="D44" s="7" t="n"/>
      <c r="E44" s="7" t="n"/>
      <c r="G44" s="6" t="n"/>
      <c r="H44" s="7" t="n"/>
      <c r="I44" s="11">
        <f>IF(A44="","",IFERROR(E44/D44,0))</f>
        <v/>
      </c>
      <c r="J44" s="8">
        <f>IF(A44="","",IFERROR(E44/G44,0)-D44)</f>
        <v/>
      </c>
      <c r="K44" s="4">
        <f>IF(A44="","",IF(D44&gt;0,"Yes","No spend"))</f>
        <v/>
      </c>
      <c r="L44" s="4">
        <f>IF(A44="","",IF(D44=0,"Check target/activation",IF(AND(H44&gt;0,J44&lt;=0-H44),"Stop-loss hit - pause; fix creative/offer",IF(C44="Seed","P2 keep (seeding)",IF(I44&gt;=G44,"P2 hero - scale",IF(AND(B44="0→1 validate",F44&lt;50),"Learning - hold until ~50 conversions",IF(I44&gt;=G44*0.7,"P1 watch","P0 fix opening")))))))</f>
        <v/>
      </c>
    </row>
    <row r="45">
      <c r="D45" s="7" t="n"/>
      <c r="E45" s="7" t="n"/>
      <c r="G45" s="6" t="n"/>
      <c r="H45" s="7" t="n"/>
      <c r="I45" s="11">
        <f>IF(A45="","",IFERROR(E45/D45,0))</f>
        <v/>
      </c>
      <c r="J45" s="8">
        <f>IF(A45="","",IFERROR(E45/G45,0)-D45)</f>
        <v/>
      </c>
      <c r="K45" s="4">
        <f>IF(A45="","",IF(D45&gt;0,"Yes","No spend"))</f>
        <v/>
      </c>
      <c r="L45" s="4">
        <f>IF(A45="","",IF(D45=0,"Check target/activation",IF(AND(H45&gt;0,J45&lt;=0-H45),"Stop-loss hit - pause; fix creative/offer",IF(C45="Seed","P2 keep (seeding)",IF(I45&gt;=G45,"P2 hero - scale",IF(AND(B45="0→1 validate",F45&lt;50),"Learning - hold until ~50 conversions",IF(I45&gt;=G45*0.7,"P1 watch","P0 fix opening")))))))</f>
        <v/>
      </c>
    </row>
    <row r="46">
      <c r="D46" s="7" t="n"/>
      <c r="E46" s="7" t="n"/>
      <c r="G46" s="6" t="n"/>
      <c r="H46" s="7" t="n"/>
      <c r="I46" s="11">
        <f>IF(A46="","",IFERROR(E46/D46,0))</f>
        <v/>
      </c>
      <c r="J46" s="8">
        <f>IF(A46="","",IFERROR(E46/G46,0)-D46)</f>
        <v/>
      </c>
      <c r="K46" s="4">
        <f>IF(A46="","",IF(D46&gt;0,"Yes","No spend"))</f>
        <v/>
      </c>
      <c r="L46" s="4">
        <f>IF(A46="","",IF(D46=0,"Check target/activation",IF(AND(H46&gt;0,J46&lt;=0-H46),"Stop-loss hit - pause; fix creative/offer",IF(C46="Seed","P2 keep (seeding)",IF(I46&gt;=G46,"P2 hero - scale",IF(AND(B46="0→1 validate",F46&lt;50),"Learning - hold until ~50 conversions",IF(I46&gt;=G46*0.7,"P1 watch","P0 fix opening")))))))</f>
        <v/>
      </c>
    </row>
    <row r="47">
      <c r="D47" s="7" t="n"/>
      <c r="E47" s="7" t="n"/>
      <c r="G47" s="6" t="n"/>
      <c r="H47" s="7" t="n"/>
      <c r="I47" s="11">
        <f>IF(A47="","",IFERROR(E47/D47,0))</f>
        <v/>
      </c>
      <c r="J47" s="8">
        <f>IF(A47="","",IFERROR(E47/G47,0)-D47)</f>
        <v/>
      </c>
      <c r="K47" s="4">
        <f>IF(A47="","",IF(D47&gt;0,"Yes","No spend"))</f>
        <v/>
      </c>
      <c r="L47" s="4">
        <f>IF(A47="","",IF(D47=0,"Check target/activation",IF(AND(H47&gt;0,J47&lt;=0-H47),"Stop-loss hit - pause; fix creative/offer",IF(C47="Seed","P2 keep (seeding)",IF(I47&gt;=G47,"P2 hero - scale",IF(AND(B47="0→1 validate",F47&lt;50),"Learning - hold until ~50 conversions",IF(I47&gt;=G47*0.7,"P1 watch","P0 fix opening")))))))</f>
        <v/>
      </c>
    </row>
    <row r="48">
      <c r="D48" s="7" t="n"/>
      <c r="E48" s="7" t="n"/>
      <c r="G48" s="6" t="n"/>
      <c r="H48" s="7" t="n"/>
      <c r="I48" s="11">
        <f>IF(A48="","",IFERROR(E48/D48,0))</f>
        <v/>
      </c>
      <c r="J48" s="8">
        <f>IF(A48="","",IFERROR(E48/G48,0)-D48)</f>
        <v/>
      </c>
      <c r="K48" s="4">
        <f>IF(A48="","",IF(D48&gt;0,"Yes","No spend"))</f>
        <v/>
      </c>
      <c r="L48" s="4">
        <f>IF(A48="","",IF(D48=0,"Check target/activation",IF(AND(H48&gt;0,J48&lt;=0-H48),"Stop-loss hit - pause; fix creative/offer",IF(C48="Seed","P2 keep (seeding)",IF(I48&gt;=G48,"P2 hero - scale",IF(AND(B48="0→1 validate",F48&lt;50),"Learning - hold until ~50 conversions",IF(I48&gt;=G48*0.7,"P1 watch","P0 fix opening")))))))</f>
        <v/>
      </c>
    </row>
    <row r="49">
      <c r="D49" s="7" t="n"/>
      <c r="E49" s="7" t="n"/>
      <c r="G49" s="6" t="n"/>
      <c r="H49" s="7" t="n"/>
      <c r="I49" s="11">
        <f>IF(A49="","",IFERROR(E49/D49,0))</f>
        <v/>
      </c>
      <c r="J49" s="8">
        <f>IF(A49="","",IFERROR(E49/G49,0)-D49)</f>
        <v/>
      </c>
      <c r="K49" s="4">
        <f>IF(A49="","",IF(D49&gt;0,"Yes","No spend"))</f>
        <v/>
      </c>
      <c r="L49" s="4">
        <f>IF(A49="","",IF(D49=0,"Check target/activation",IF(AND(H49&gt;0,J49&lt;=0-H49),"Stop-loss hit - pause; fix creative/offer",IF(C49="Seed","P2 keep (seeding)",IF(I49&gt;=G49,"P2 hero - scale",IF(AND(B49="0→1 validate",F49&lt;50),"Learning - hold until ~50 conversions",IF(I49&gt;=G49*0.7,"P1 watch","P0 fix opening")))))))</f>
        <v/>
      </c>
    </row>
    <row r="50">
      <c r="D50" s="7" t="n"/>
      <c r="E50" s="7" t="n"/>
      <c r="G50" s="6" t="n"/>
      <c r="H50" s="7" t="n"/>
      <c r="I50" s="11">
        <f>IF(A50="","",IFERROR(E50/D50,0))</f>
        <v/>
      </c>
      <c r="J50" s="8">
        <f>IF(A50="","",IFERROR(E50/G50,0)-D50)</f>
        <v/>
      </c>
      <c r="K50" s="4">
        <f>IF(A50="","",IF(D50&gt;0,"Yes","No spend"))</f>
        <v/>
      </c>
      <c r="L50" s="4">
        <f>IF(A50="","",IF(D50=0,"Check target/activation",IF(AND(H50&gt;0,J50&lt;=0-H50),"Stop-loss hit - pause; fix creative/offer",IF(C50="Seed","P2 keep (seeding)",IF(I50&gt;=G50,"P2 hero - scale",IF(AND(B50="0→1 validate",F50&lt;50),"Learning - hold until ~50 conversions",IF(I50&gt;=G50*0.7,"P1 watch","P0 fix opening")))))))</f>
        <v/>
      </c>
    </row>
    <row r="51">
      <c r="D51" s="7" t="n"/>
      <c r="E51" s="7" t="n"/>
      <c r="G51" s="6" t="n"/>
      <c r="H51" s="7" t="n"/>
      <c r="I51" s="11">
        <f>IF(A51="","",IFERROR(E51/D51,0))</f>
        <v/>
      </c>
      <c r="J51" s="8">
        <f>IF(A51="","",IFERROR(E51/G51,0)-D51)</f>
        <v/>
      </c>
      <c r="K51" s="4">
        <f>IF(A51="","",IF(D51&gt;0,"Yes","No spend"))</f>
        <v/>
      </c>
      <c r="L51" s="4">
        <f>IF(A51="","",IF(D51=0,"Check target/activation",IF(AND(H51&gt;0,J51&lt;=0-H51),"Stop-loss hit - pause; fix creative/offer",IF(C51="Seed","P2 keep (seeding)",IF(I51&gt;=G51,"P2 hero - scale",IF(AND(B51="0→1 validate",F51&lt;50),"Learning - hold until ~50 conversions",IF(I51&gt;=G51*0.7,"P1 watch","P0 fix opening")))))))</f>
        <v/>
      </c>
    </row>
    <row r="52">
      <c r="D52" s="7" t="n"/>
      <c r="E52" s="7" t="n"/>
      <c r="G52" s="6" t="n"/>
      <c r="H52" s="7" t="n"/>
      <c r="I52" s="11">
        <f>IF(A52="","",IFERROR(E52/D52,0))</f>
        <v/>
      </c>
      <c r="J52" s="8">
        <f>IF(A52="","",IFERROR(E52/G52,0)-D52)</f>
        <v/>
      </c>
      <c r="K52" s="4">
        <f>IF(A52="","",IF(D52&gt;0,"Yes","No spend"))</f>
        <v/>
      </c>
      <c r="L52" s="4">
        <f>IF(A52="","",IF(D52=0,"Check target/activation",IF(AND(H52&gt;0,J52&lt;=0-H52),"Stop-loss hit - pause; fix creative/offer",IF(C52="Seed","P2 keep (seeding)",IF(I52&gt;=G52,"P2 hero - scale",IF(AND(B52="0→1 validate",F52&lt;50),"Learning - hold until ~50 conversions",IF(I52&gt;=G52*0.7,"P1 watch","P0 fix opening")))))))</f>
        <v/>
      </c>
    </row>
    <row r="53">
      <c r="D53" s="7" t="n"/>
      <c r="E53" s="7" t="n"/>
      <c r="G53" s="6" t="n"/>
      <c r="H53" s="7" t="n"/>
      <c r="I53" s="11">
        <f>IF(A53="","",IFERROR(E53/D53,0))</f>
        <v/>
      </c>
      <c r="J53" s="8">
        <f>IF(A53="","",IFERROR(E53/G53,0)-D53)</f>
        <v/>
      </c>
      <c r="K53" s="4">
        <f>IF(A53="","",IF(D53&gt;0,"Yes","No spend"))</f>
        <v/>
      </c>
      <c r="L53" s="4">
        <f>IF(A53="","",IF(D53=0,"Check target/activation",IF(AND(H53&gt;0,J53&lt;=0-H53),"Stop-loss hit - pause; fix creative/offer",IF(C53="Seed","P2 keep (seeding)",IF(I53&gt;=G53,"P2 hero - scale",IF(AND(B53="0→1 validate",F53&lt;50),"Learning - hold until ~50 conversions",IF(I53&gt;=G53*0.7,"P1 watch","P0 fix opening")))))))</f>
        <v/>
      </c>
    </row>
    <row r="54">
      <c r="D54" s="7" t="n"/>
      <c r="E54" s="7" t="n"/>
      <c r="G54" s="6" t="n"/>
      <c r="H54" s="7" t="n"/>
      <c r="I54" s="11">
        <f>IF(A54="","",IFERROR(E54/D54,0))</f>
        <v/>
      </c>
      <c r="J54" s="8">
        <f>IF(A54="","",IFERROR(E54/G54,0)-D54)</f>
        <v/>
      </c>
      <c r="K54" s="4">
        <f>IF(A54="","",IF(D54&gt;0,"Yes","No spend"))</f>
        <v/>
      </c>
      <c r="L54" s="4">
        <f>IF(A54="","",IF(D54=0,"Check target/activation",IF(AND(H54&gt;0,J54&lt;=0-H54),"Stop-loss hit - pause; fix creative/offer",IF(C54="Seed","P2 keep (seeding)",IF(I54&gt;=G54,"P2 hero - scale",IF(AND(B54="0→1 validate",F54&lt;50),"Learning - hold until ~50 conversions",IF(I54&gt;=G54*0.7,"P1 watch","P0 fix opening")))))))</f>
        <v/>
      </c>
    </row>
    <row r="55">
      <c r="D55" s="7" t="n"/>
      <c r="E55" s="7" t="n"/>
      <c r="G55" s="6" t="n"/>
      <c r="H55" s="7" t="n"/>
      <c r="I55" s="11">
        <f>IF(A55="","",IFERROR(E55/D55,0))</f>
        <v/>
      </c>
      <c r="J55" s="8">
        <f>IF(A55="","",IFERROR(E55/G55,0)-D55)</f>
        <v/>
      </c>
      <c r="K55" s="4">
        <f>IF(A55="","",IF(D55&gt;0,"Yes","No spend"))</f>
        <v/>
      </c>
      <c r="L55" s="4">
        <f>IF(A55="","",IF(D55=0,"Check target/activation",IF(AND(H55&gt;0,J55&lt;=0-H55),"Stop-loss hit - pause; fix creative/offer",IF(C55="Seed","P2 keep (seeding)",IF(I55&gt;=G55,"P2 hero - scale",IF(AND(B55="0→1 validate",F55&lt;50),"Learning - hold until ~50 conversions",IF(I55&gt;=G55*0.7,"P1 watch","P0 fix opening")))))))</f>
        <v/>
      </c>
    </row>
    <row r="56">
      <c r="D56" s="7" t="n"/>
      <c r="E56" s="7" t="n"/>
      <c r="G56" s="6" t="n"/>
      <c r="H56" s="7" t="n"/>
      <c r="I56" s="11">
        <f>IF(A56="","",IFERROR(E56/D56,0))</f>
        <v/>
      </c>
      <c r="J56" s="8">
        <f>IF(A56="","",IFERROR(E56/G56,0)-D56)</f>
        <v/>
      </c>
      <c r="K56" s="4">
        <f>IF(A56="","",IF(D56&gt;0,"Yes","No spend"))</f>
        <v/>
      </c>
      <c r="L56" s="4">
        <f>IF(A56="","",IF(D56=0,"Check target/activation",IF(AND(H56&gt;0,J56&lt;=0-H56),"Stop-loss hit - pause; fix creative/offer",IF(C56="Seed","P2 keep (seeding)",IF(I56&gt;=G56,"P2 hero - scale",IF(AND(B56="0→1 validate",F56&lt;50),"Learning - hold until ~50 conversions",IF(I56&gt;=G56*0.7,"P1 watch","P0 fix opening")))))))</f>
        <v/>
      </c>
    </row>
    <row r="57">
      <c r="D57" s="7" t="n"/>
      <c r="E57" s="7" t="n"/>
      <c r="G57" s="6" t="n"/>
      <c r="H57" s="7" t="n"/>
      <c r="I57" s="11">
        <f>IF(A57="","",IFERROR(E57/D57,0))</f>
        <v/>
      </c>
      <c r="J57" s="8">
        <f>IF(A57="","",IFERROR(E57/G57,0)-D57)</f>
        <v/>
      </c>
      <c r="K57" s="4">
        <f>IF(A57="","",IF(D57&gt;0,"Yes","No spend"))</f>
        <v/>
      </c>
      <c r="L57" s="4">
        <f>IF(A57="","",IF(D57=0,"Check target/activation",IF(AND(H57&gt;0,J57&lt;=0-H57),"Stop-loss hit - pause; fix creative/offer",IF(C57="Seed","P2 keep (seeding)",IF(I57&gt;=G57,"P2 hero - scale",IF(AND(B57="0→1 validate",F57&lt;50),"Learning - hold until ~50 conversions",IF(I57&gt;=G57*0.7,"P1 watch","P0 fix opening")))))))</f>
        <v/>
      </c>
    </row>
    <row r="58">
      <c r="D58" s="7" t="n"/>
      <c r="E58" s="7" t="n"/>
      <c r="G58" s="6" t="n"/>
      <c r="H58" s="7" t="n"/>
      <c r="I58" s="11">
        <f>IF(A58="","",IFERROR(E58/D58,0))</f>
        <v/>
      </c>
      <c r="J58" s="8">
        <f>IF(A58="","",IFERROR(E58/G58,0)-D58)</f>
        <v/>
      </c>
      <c r="K58" s="4">
        <f>IF(A58="","",IF(D58&gt;0,"Yes","No spend"))</f>
        <v/>
      </c>
      <c r="L58" s="4">
        <f>IF(A58="","",IF(D58=0,"Check target/activation",IF(AND(H58&gt;0,J58&lt;=0-H58),"Stop-loss hit - pause; fix creative/offer",IF(C58="Seed","P2 keep (seeding)",IF(I58&gt;=G58,"P2 hero - scale",IF(AND(B58="0→1 validate",F58&lt;50),"Learning - hold until ~50 conversions",IF(I58&gt;=G58*0.7,"P1 watch","P0 fix opening")))))))</f>
        <v/>
      </c>
    </row>
    <row r="59">
      <c r="D59" s="7" t="n"/>
      <c r="E59" s="7" t="n"/>
      <c r="G59" s="6" t="n"/>
      <c r="H59" s="7" t="n"/>
      <c r="I59" s="11">
        <f>IF(A59="","",IFERROR(E59/D59,0))</f>
        <v/>
      </c>
      <c r="J59" s="8">
        <f>IF(A59="","",IFERROR(E59/G59,0)-D59)</f>
        <v/>
      </c>
      <c r="K59" s="4">
        <f>IF(A59="","",IF(D59&gt;0,"Yes","No spend"))</f>
        <v/>
      </c>
      <c r="L59" s="4">
        <f>IF(A59="","",IF(D59=0,"Check target/activation",IF(AND(H59&gt;0,J59&lt;=0-H59),"Stop-loss hit - pause; fix creative/offer",IF(C59="Seed","P2 keep (seeding)",IF(I59&gt;=G59,"P2 hero - scale",IF(AND(B59="0→1 validate",F59&lt;50),"Learning - hold until ~50 conversions",IF(I59&gt;=G59*0.7,"P1 watch","P0 fix opening")))))))</f>
        <v/>
      </c>
    </row>
    <row r="60">
      <c r="D60" s="7" t="n"/>
      <c r="E60" s="7" t="n"/>
      <c r="G60" s="6" t="n"/>
      <c r="H60" s="7" t="n"/>
      <c r="I60" s="11">
        <f>IF(A60="","",IFERROR(E60/D60,0))</f>
        <v/>
      </c>
      <c r="J60" s="8">
        <f>IF(A60="","",IFERROR(E60/G60,0)-D60)</f>
        <v/>
      </c>
      <c r="K60" s="4">
        <f>IF(A60="","",IF(D60&gt;0,"Yes","No spend"))</f>
        <v/>
      </c>
      <c r="L60" s="4">
        <f>IF(A60="","",IF(D60=0,"Check target/activation",IF(AND(H60&gt;0,J60&lt;=0-H60),"Stop-loss hit - pause; fix creative/offer",IF(C60="Seed","P2 keep (seeding)",IF(I60&gt;=G60,"P2 hero - scale",IF(AND(B60="0→1 validate",F60&lt;50),"Learning - hold until ~50 conversions",IF(I60&gt;=G60*0.7,"P1 watch","P0 fix opening")))))))</f>
        <v/>
      </c>
    </row>
    <row r="61">
      <c r="D61" s="7" t="n"/>
      <c r="E61" s="7" t="n"/>
      <c r="G61" s="6" t="n"/>
      <c r="H61" s="7" t="n"/>
      <c r="I61" s="11">
        <f>IF(A61="","",IFERROR(E61/D61,0))</f>
        <v/>
      </c>
      <c r="J61" s="8">
        <f>IF(A61="","",IFERROR(E61/G61,0)-D61)</f>
        <v/>
      </c>
      <c r="K61" s="4">
        <f>IF(A61="","",IF(D61&gt;0,"Yes","No spend"))</f>
        <v/>
      </c>
      <c r="L61" s="4">
        <f>IF(A61="","",IF(D61=0,"Check target/activation",IF(AND(H61&gt;0,J61&lt;=0-H61),"Stop-loss hit - pause; fix creative/offer",IF(C61="Seed","P2 keep (seeding)",IF(I61&gt;=G61,"P2 hero - scale",IF(AND(B61="0→1 validate",F61&lt;50),"Learning - hold until ~50 conversions",IF(I61&gt;=G61*0.7,"P1 watch","P0 fix opening")))))))</f>
        <v/>
      </c>
    </row>
    <row r="62">
      <c r="D62" s="7" t="n"/>
      <c r="E62" s="7" t="n"/>
      <c r="G62" s="6" t="n"/>
      <c r="H62" s="7" t="n"/>
      <c r="I62" s="11">
        <f>IF(A62="","",IFERROR(E62/D62,0))</f>
        <v/>
      </c>
      <c r="J62" s="8">
        <f>IF(A62="","",IFERROR(E62/G62,0)-D62)</f>
        <v/>
      </c>
      <c r="K62" s="4">
        <f>IF(A62="","",IF(D62&gt;0,"Yes","No spend"))</f>
        <v/>
      </c>
      <c r="L62" s="4">
        <f>IF(A62="","",IF(D62=0,"Check target/activation",IF(AND(H62&gt;0,J62&lt;=0-H62),"Stop-loss hit - pause; fix creative/offer",IF(C62="Seed","P2 keep (seeding)",IF(I62&gt;=G62,"P2 hero - scale",IF(AND(B62="0→1 validate",F62&lt;50),"Learning - hold until ~50 conversions",IF(I62&gt;=G62*0.7,"P1 watch","P0 fix opening")))))))</f>
        <v/>
      </c>
    </row>
    <row r="63">
      <c r="D63" s="7" t="n"/>
      <c r="E63" s="7" t="n"/>
      <c r="G63" s="6" t="n"/>
      <c r="H63" s="7" t="n"/>
      <c r="I63" s="11">
        <f>IF(A63="","",IFERROR(E63/D63,0))</f>
        <v/>
      </c>
      <c r="J63" s="8">
        <f>IF(A63="","",IFERROR(E63/G63,0)-D63)</f>
        <v/>
      </c>
      <c r="K63" s="4">
        <f>IF(A63="","",IF(D63&gt;0,"Yes","No spend"))</f>
        <v/>
      </c>
      <c r="L63" s="4">
        <f>IF(A63="","",IF(D63=0,"Check target/activation",IF(AND(H63&gt;0,J63&lt;=0-H63),"Stop-loss hit - pause; fix creative/offer",IF(C63="Seed","P2 keep (seeding)",IF(I63&gt;=G63,"P2 hero - scale",IF(AND(B63="0→1 validate",F63&lt;50),"Learning - hold until ~50 conversions",IF(I63&gt;=G63*0.7,"P1 watch","P0 fix opening")))))))</f>
        <v/>
      </c>
    </row>
    <row r="64">
      <c r="D64" s="7" t="n"/>
      <c r="E64" s="7" t="n"/>
      <c r="G64" s="6" t="n"/>
      <c r="H64" s="7" t="n"/>
      <c r="I64" s="11">
        <f>IF(A64="","",IFERROR(E64/D64,0))</f>
        <v/>
      </c>
      <c r="J64" s="8">
        <f>IF(A64="","",IFERROR(E64/G64,0)-D64)</f>
        <v/>
      </c>
      <c r="K64" s="4">
        <f>IF(A64="","",IF(D64&gt;0,"Yes","No spend"))</f>
        <v/>
      </c>
      <c r="L64" s="4">
        <f>IF(A64="","",IF(D64=0,"Check target/activation",IF(AND(H64&gt;0,J64&lt;=0-H64),"Stop-loss hit - pause; fix creative/offer",IF(C64="Seed","P2 keep (seeding)",IF(I64&gt;=G64,"P2 hero - scale",IF(AND(B64="0→1 validate",F64&lt;50),"Learning - hold until ~50 conversions",IF(I64&gt;=G64*0.7,"P1 watch","P0 fix opening")))))))</f>
        <v/>
      </c>
    </row>
    <row r="65">
      <c r="D65" s="7" t="n"/>
      <c r="E65" s="7" t="n"/>
      <c r="G65" s="6" t="n"/>
      <c r="H65" s="7" t="n"/>
      <c r="I65" s="11">
        <f>IF(A65="","",IFERROR(E65/D65,0))</f>
        <v/>
      </c>
      <c r="J65" s="8">
        <f>IF(A65="","",IFERROR(E65/G65,0)-D65)</f>
        <v/>
      </c>
      <c r="K65" s="4">
        <f>IF(A65="","",IF(D65&gt;0,"Yes","No spend"))</f>
        <v/>
      </c>
      <c r="L65" s="4">
        <f>IF(A65="","",IF(D65=0,"Check target/activation",IF(AND(H65&gt;0,J65&lt;=0-H65),"Stop-loss hit - pause; fix creative/offer",IF(C65="Seed","P2 keep (seeding)",IF(I65&gt;=G65,"P2 hero - scale",IF(AND(B65="0→1 validate",F65&lt;50),"Learning - hold until ~50 conversions",IF(I65&gt;=G65*0.7,"P1 watch","P0 fix opening")))))))</f>
        <v/>
      </c>
    </row>
    <row r="66">
      <c r="D66" s="7" t="n"/>
      <c r="E66" s="7" t="n"/>
      <c r="G66" s="6" t="n"/>
      <c r="H66" s="7" t="n"/>
      <c r="I66" s="11">
        <f>IF(A66="","",IFERROR(E66/D66,0))</f>
        <v/>
      </c>
      <c r="J66" s="8">
        <f>IF(A66="","",IFERROR(E66/G66,0)-D66)</f>
        <v/>
      </c>
      <c r="K66" s="4">
        <f>IF(A66="","",IF(D66&gt;0,"Yes","No spend"))</f>
        <v/>
      </c>
      <c r="L66" s="4">
        <f>IF(A66="","",IF(D66=0,"Check target/activation",IF(AND(H66&gt;0,J66&lt;=0-H66),"Stop-loss hit - pause; fix creative/offer",IF(C66="Seed","P2 keep (seeding)",IF(I66&gt;=G66,"P2 hero - scale",IF(AND(B66="0→1 validate",F66&lt;50),"Learning - hold until ~50 conversions",IF(I66&gt;=G66*0.7,"P1 watch","P0 fix opening")))))))</f>
        <v/>
      </c>
    </row>
    <row r="67">
      <c r="D67" s="7" t="n"/>
      <c r="E67" s="7" t="n"/>
      <c r="G67" s="6" t="n"/>
      <c r="H67" s="7" t="n"/>
      <c r="I67" s="11">
        <f>IF(A67="","",IFERROR(E67/D67,0))</f>
        <v/>
      </c>
      <c r="J67" s="8">
        <f>IF(A67="","",IFERROR(E67/G67,0)-D67)</f>
        <v/>
      </c>
      <c r="K67" s="4">
        <f>IF(A67="","",IF(D67&gt;0,"Yes","No spend"))</f>
        <v/>
      </c>
      <c r="L67" s="4">
        <f>IF(A67="","",IF(D67=0,"Check target/activation",IF(AND(H67&gt;0,J67&lt;=0-H67),"Stop-loss hit - pause; fix creative/offer",IF(C67="Seed","P2 keep (seeding)",IF(I67&gt;=G67,"P2 hero - scale",IF(AND(B67="0→1 validate",F67&lt;50),"Learning - hold until ~50 conversions",IF(I67&gt;=G67*0.7,"P1 watch","P0 fix opening")))))))</f>
        <v/>
      </c>
    </row>
    <row r="68">
      <c r="D68" s="7" t="n"/>
      <c r="E68" s="7" t="n"/>
      <c r="G68" s="6" t="n"/>
      <c r="H68" s="7" t="n"/>
      <c r="I68" s="11">
        <f>IF(A68="","",IFERROR(E68/D68,0))</f>
        <v/>
      </c>
      <c r="J68" s="8">
        <f>IF(A68="","",IFERROR(E68/G68,0)-D68)</f>
        <v/>
      </c>
      <c r="K68" s="4">
        <f>IF(A68="","",IF(D68&gt;0,"Yes","No spend"))</f>
        <v/>
      </c>
      <c r="L68" s="4">
        <f>IF(A68="","",IF(D68=0,"Check target/activation",IF(AND(H68&gt;0,J68&lt;=0-H68),"Stop-loss hit - pause; fix creative/offer",IF(C68="Seed","P2 keep (seeding)",IF(I68&gt;=G68,"P2 hero - scale",IF(AND(B68="0→1 validate",F68&lt;50),"Learning - hold until ~50 conversions",IF(I68&gt;=G68*0.7,"P1 watch","P0 fix opening")))))))</f>
        <v/>
      </c>
    </row>
    <row r="69">
      <c r="D69" s="7" t="n"/>
      <c r="E69" s="7" t="n"/>
      <c r="G69" s="6" t="n"/>
      <c r="H69" s="7" t="n"/>
      <c r="I69" s="11">
        <f>IF(A69="","",IFERROR(E69/D69,0))</f>
        <v/>
      </c>
      <c r="J69" s="8">
        <f>IF(A69="","",IFERROR(E69/G69,0)-D69)</f>
        <v/>
      </c>
      <c r="K69" s="4">
        <f>IF(A69="","",IF(D69&gt;0,"Yes","No spend"))</f>
        <v/>
      </c>
      <c r="L69" s="4">
        <f>IF(A69="","",IF(D69=0,"Check target/activation",IF(AND(H69&gt;0,J69&lt;=0-H69),"Stop-loss hit - pause; fix creative/offer",IF(C69="Seed","P2 keep (seeding)",IF(I69&gt;=G69,"P2 hero - scale",IF(AND(B69="0→1 validate",F69&lt;50),"Learning - hold until ~50 conversions",IF(I69&gt;=G69*0.7,"P1 watch","P0 fix opening")))))))</f>
        <v/>
      </c>
    </row>
    <row r="70">
      <c r="D70" s="7" t="n"/>
      <c r="E70" s="7" t="n"/>
      <c r="G70" s="6" t="n"/>
      <c r="H70" s="7" t="n"/>
      <c r="I70" s="11">
        <f>IF(A70="","",IFERROR(E70/D70,0))</f>
        <v/>
      </c>
      <c r="J70" s="8">
        <f>IF(A70="","",IFERROR(E70/G70,0)-D70)</f>
        <v/>
      </c>
      <c r="K70" s="4">
        <f>IF(A70="","",IF(D70&gt;0,"Yes","No spend"))</f>
        <v/>
      </c>
      <c r="L70" s="4">
        <f>IF(A70="","",IF(D70=0,"Check target/activation",IF(AND(H70&gt;0,J70&lt;=0-H70),"Stop-loss hit - pause; fix creative/offer",IF(C70="Seed","P2 keep (seeding)",IF(I70&gt;=G70,"P2 hero - scale",IF(AND(B70="0→1 validate",F70&lt;50),"Learning - hold until ~50 conversions",IF(I70&gt;=G70*0.7,"P1 watch","P0 fix opening")))))))</f>
        <v/>
      </c>
    </row>
    <row r="71">
      <c r="D71" s="7" t="n"/>
      <c r="E71" s="7" t="n"/>
      <c r="G71" s="6" t="n"/>
      <c r="H71" s="7" t="n"/>
      <c r="I71" s="11">
        <f>IF(A71="","",IFERROR(E71/D71,0))</f>
        <v/>
      </c>
      <c r="J71" s="8">
        <f>IF(A71="","",IFERROR(E71/G71,0)-D71)</f>
        <v/>
      </c>
      <c r="K71" s="4">
        <f>IF(A71="","",IF(D71&gt;0,"Yes","No spend"))</f>
        <v/>
      </c>
      <c r="L71" s="4">
        <f>IF(A71="","",IF(D71=0,"Check target/activation",IF(AND(H71&gt;0,J71&lt;=0-H71),"Stop-loss hit - pause; fix creative/offer",IF(C71="Seed","P2 keep (seeding)",IF(I71&gt;=G71,"P2 hero - scale",IF(AND(B71="0→1 validate",F71&lt;50),"Learning - hold until ~50 conversions",IF(I71&gt;=G71*0.7,"P1 watch","P0 fix opening")))))))</f>
        <v/>
      </c>
    </row>
    <row r="72">
      <c r="D72" s="7" t="n"/>
      <c r="E72" s="7" t="n"/>
      <c r="G72" s="6" t="n"/>
      <c r="H72" s="7" t="n"/>
      <c r="I72" s="11">
        <f>IF(A72="","",IFERROR(E72/D72,0))</f>
        <v/>
      </c>
      <c r="J72" s="8">
        <f>IF(A72="","",IFERROR(E72/G72,0)-D72)</f>
        <v/>
      </c>
      <c r="K72" s="4">
        <f>IF(A72="","",IF(D72&gt;0,"Yes","No spend"))</f>
        <v/>
      </c>
      <c r="L72" s="4">
        <f>IF(A72="","",IF(D72=0,"Check target/activation",IF(AND(H72&gt;0,J72&lt;=0-H72),"Stop-loss hit - pause; fix creative/offer",IF(C72="Seed","P2 keep (seeding)",IF(I72&gt;=G72,"P2 hero - scale",IF(AND(B72="0→1 validate",F72&lt;50),"Learning - hold until ~50 conversions",IF(I72&gt;=G72*0.7,"P1 watch","P0 fix opening")))))))</f>
        <v/>
      </c>
    </row>
    <row r="73">
      <c r="D73" s="7" t="n"/>
      <c r="E73" s="7" t="n"/>
      <c r="G73" s="6" t="n"/>
      <c r="H73" s="7" t="n"/>
      <c r="I73" s="11">
        <f>IF(A73="","",IFERROR(E73/D73,0))</f>
        <v/>
      </c>
      <c r="J73" s="8">
        <f>IF(A73="","",IFERROR(E73/G73,0)-D73)</f>
        <v/>
      </c>
      <c r="K73" s="4">
        <f>IF(A73="","",IF(D73&gt;0,"Yes","No spend"))</f>
        <v/>
      </c>
      <c r="L73" s="4">
        <f>IF(A73="","",IF(D73=0,"Check target/activation",IF(AND(H73&gt;0,J73&lt;=0-H73),"Stop-loss hit - pause; fix creative/offer",IF(C73="Seed","P2 keep (seeding)",IF(I73&gt;=G73,"P2 hero - scale",IF(AND(B73="0→1 validate",F73&lt;50),"Learning - hold until ~50 conversions",IF(I73&gt;=G73*0.7,"P1 watch","P0 fix opening")))))))</f>
        <v/>
      </c>
    </row>
    <row r="74">
      <c r="D74" s="7" t="n"/>
      <c r="E74" s="7" t="n"/>
      <c r="G74" s="6" t="n"/>
      <c r="H74" s="7" t="n"/>
      <c r="I74" s="11">
        <f>IF(A74="","",IFERROR(E74/D74,0))</f>
        <v/>
      </c>
      <c r="J74" s="8">
        <f>IF(A74="","",IFERROR(E74/G74,0)-D74)</f>
        <v/>
      </c>
      <c r="K74" s="4">
        <f>IF(A74="","",IF(D74&gt;0,"Yes","No spend"))</f>
        <v/>
      </c>
      <c r="L74" s="4">
        <f>IF(A74="","",IF(D74=0,"Check target/activation",IF(AND(H74&gt;0,J74&lt;=0-H74),"Stop-loss hit - pause; fix creative/offer",IF(C74="Seed","P2 keep (seeding)",IF(I74&gt;=G74,"P2 hero - scale",IF(AND(B74="0→1 validate",F74&lt;50),"Learning - hold until ~50 conversions",IF(I74&gt;=G74*0.7,"P1 watch","P0 fix opening")))))))</f>
        <v/>
      </c>
    </row>
    <row r="75">
      <c r="D75" s="7" t="n"/>
      <c r="E75" s="7" t="n"/>
      <c r="G75" s="6" t="n"/>
      <c r="H75" s="7" t="n"/>
      <c r="I75" s="11">
        <f>IF(A75="","",IFERROR(E75/D75,0))</f>
        <v/>
      </c>
      <c r="J75" s="8">
        <f>IF(A75="","",IFERROR(E75/G75,0)-D75)</f>
        <v/>
      </c>
      <c r="K75" s="4">
        <f>IF(A75="","",IF(D75&gt;0,"Yes","No spend"))</f>
        <v/>
      </c>
      <c r="L75" s="4">
        <f>IF(A75="","",IF(D75=0,"Check target/activation",IF(AND(H75&gt;0,J75&lt;=0-H75),"Stop-loss hit - pause; fix creative/offer",IF(C75="Seed","P2 keep (seeding)",IF(I75&gt;=G75,"P2 hero - scale",IF(AND(B75="0→1 validate",F75&lt;50),"Learning - hold until ~50 conversions",IF(I75&gt;=G75*0.7,"P1 watch","P0 fix opening")))))))</f>
        <v/>
      </c>
    </row>
    <row r="76">
      <c r="D76" s="7" t="n"/>
      <c r="E76" s="7" t="n"/>
      <c r="G76" s="6" t="n"/>
      <c r="H76" s="7" t="n"/>
      <c r="I76" s="11">
        <f>IF(A76="","",IFERROR(E76/D76,0))</f>
        <v/>
      </c>
      <c r="J76" s="8">
        <f>IF(A76="","",IFERROR(E76/G76,0)-D76)</f>
        <v/>
      </c>
      <c r="K76" s="4">
        <f>IF(A76="","",IF(D76&gt;0,"Yes","No spend"))</f>
        <v/>
      </c>
      <c r="L76" s="4">
        <f>IF(A76="","",IF(D76=0,"Check target/activation",IF(AND(H76&gt;0,J76&lt;=0-H76),"Stop-loss hit - pause; fix creative/offer",IF(C76="Seed","P2 keep (seeding)",IF(I76&gt;=G76,"P2 hero - scale",IF(AND(B76="0→1 validate",F76&lt;50),"Learning - hold until ~50 conversions",IF(I76&gt;=G76*0.7,"P1 watch","P0 fix opening")))))))</f>
        <v/>
      </c>
    </row>
    <row r="77">
      <c r="D77" s="7" t="n"/>
      <c r="E77" s="7" t="n"/>
      <c r="G77" s="6" t="n"/>
      <c r="H77" s="7" t="n"/>
      <c r="I77" s="11">
        <f>IF(A77="","",IFERROR(E77/D77,0))</f>
        <v/>
      </c>
      <c r="J77" s="8">
        <f>IF(A77="","",IFERROR(E77/G77,0)-D77)</f>
        <v/>
      </c>
      <c r="K77" s="4">
        <f>IF(A77="","",IF(D77&gt;0,"Yes","No spend"))</f>
        <v/>
      </c>
      <c r="L77" s="4">
        <f>IF(A77="","",IF(D77=0,"Check target/activation",IF(AND(H77&gt;0,J77&lt;=0-H77),"Stop-loss hit - pause; fix creative/offer",IF(C77="Seed","P2 keep (seeding)",IF(I77&gt;=G77,"P2 hero - scale",IF(AND(B77="0→1 validate",F77&lt;50),"Learning - hold until ~50 conversions",IF(I77&gt;=G77*0.7,"P1 watch","P0 fix opening")))))))</f>
        <v/>
      </c>
    </row>
    <row r="78">
      <c r="D78" s="7" t="n"/>
      <c r="E78" s="7" t="n"/>
      <c r="G78" s="6" t="n"/>
      <c r="H78" s="7" t="n"/>
      <c r="I78" s="11">
        <f>IF(A78="","",IFERROR(E78/D78,0))</f>
        <v/>
      </c>
      <c r="J78" s="8">
        <f>IF(A78="","",IFERROR(E78/G78,0)-D78)</f>
        <v/>
      </c>
      <c r="K78" s="4">
        <f>IF(A78="","",IF(D78&gt;0,"Yes","No spend"))</f>
        <v/>
      </c>
      <c r="L78" s="4">
        <f>IF(A78="","",IF(D78=0,"Check target/activation",IF(AND(H78&gt;0,J78&lt;=0-H78),"Stop-loss hit - pause; fix creative/offer",IF(C78="Seed","P2 keep (seeding)",IF(I78&gt;=G78,"P2 hero - scale",IF(AND(B78="0→1 validate",F78&lt;50),"Learning - hold until ~50 conversions",IF(I78&gt;=G78*0.7,"P1 watch","P0 fix opening")))))))</f>
        <v/>
      </c>
    </row>
    <row r="79">
      <c r="D79" s="7" t="n"/>
      <c r="E79" s="7" t="n"/>
      <c r="G79" s="6" t="n"/>
      <c r="H79" s="7" t="n"/>
      <c r="I79" s="11">
        <f>IF(A79="","",IFERROR(E79/D79,0))</f>
        <v/>
      </c>
      <c r="J79" s="8">
        <f>IF(A79="","",IFERROR(E79/G79,0)-D79)</f>
        <v/>
      </c>
      <c r="K79" s="4">
        <f>IF(A79="","",IF(D79&gt;0,"Yes","No spend"))</f>
        <v/>
      </c>
      <c r="L79" s="4">
        <f>IF(A79="","",IF(D79=0,"Check target/activation",IF(AND(H79&gt;0,J79&lt;=0-H79),"Stop-loss hit - pause; fix creative/offer",IF(C79="Seed","P2 keep (seeding)",IF(I79&gt;=G79,"P2 hero - scale",IF(AND(B79="0→1 validate",F79&lt;50),"Learning - hold until ~50 conversions",IF(I79&gt;=G79*0.7,"P1 watch","P0 fix opening")))))))</f>
        <v/>
      </c>
    </row>
    <row r="80">
      <c r="D80" s="7" t="n"/>
      <c r="E80" s="7" t="n"/>
      <c r="G80" s="6" t="n"/>
      <c r="H80" s="7" t="n"/>
      <c r="I80" s="11">
        <f>IF(A80="","",IFERROR(E80/D80,0))</f>
        <v/>
      </c>
      <c r="J80" s="8">
        <f>IF(A80="","",IFERROR(E80/G80,0)-D80)</f>
        <v/>
      </c>
      <c r="K80" s="4">
        <f>IF(A80="","",IF(D80&gt;0,"Yes","No spend"))</f>
        <v/>
      </c>
      <c r="L80" s="4">
        <f>IF(A80="","",IF(D80=0,"Check target/activation",IF(AND(H80&gt;0,J80&lt;=0-H80),"Stop-loss hit - pause; fix creative/offer",IF(C80="Seed","P2 keep (seeding)",IF(I80&gt;=G80,"P2 hero - scale",IF(AND(B80="0→1 validate",F80&lt;50),"Learning - hold until ~50 conversions",IF(I80&gt;=G80*0.7,"P1 watch","P0 fix opening")))))))</f>
        <v/>
      </c>
    </row>
    <row r="81">
      <c r="D81" s="7" t="n"/>
      <c r="E81" s="7" t="n"/>
      <c r="G81" s="6" t="n"/>
      <c r="H81" s="7" t="n"/>
      <c r="I81" s="11">
        <f>IF(A81="","",IFERROR(E81/D81,0))</f>
        <v/>
      </c>
      <c r="J81" s="8">
        <f>IF(A81="","",IFERROR(E81/G81,0)-D81)</f>
        <v/>
      </c>
      <c r="K81" s="4">
        <f>IF(A81="","",IF(D81&gt;0,"Yes","No spend"))</f>
        <v/>
      </c>
      <c r="L81" s="4">
        <f>IF(A81="","",IF(D81=0,"Check target/activation",IF(AND(H81&gt;0,J81&lt;=0-H81),"Stop-loss hit - pause; fix creative/offer",IF(C81="Seed","P2 keep (seeding)",IF(I81&gt;=G81,"P2 hero - scale",IF(AND(B81="0→1 validate",F81&lt;50),"Learning - hold until ~50 conversions",IF(I81&gt;=G81*0.7,"P1 watch","P0 fix opening")))))))</f>
        <v/>
      </c>
    </row>
    <row r="82">
      <c r="D82" s="7" t="n"/>
      <c r="E82" s="7" t="n"/>
      <c r="G82" s="6" t="n"/>
      <c r="H82" s="7" t="n"/>
      <c r="I82" s="11">
        <f>IF(A82="","",IFERROR(E82/D82,0))</f>
        <v/>
      </c>
      <c r="J82" s="8">
        <f>IF(A82="","",IFERROR(E82/G82,0)-D82)</f>
        <v/>
      </c>
      <c r="K82" s="4">
        <f>IF(A82="","",IF(D82&gt;0,"Yes","No spend"))</f>
        <v/>
      </c>
      <c r="L82" s="4">
        <f>IF(A82="","",IF(D82=0,"Check target/activation",IF(AND(H82&gt;0,J82&lt;=0-H82),"Stop-loss hit - pause; fix creative/offer",IF(C82="Seed","P2 keep (seeding)",IF(I82&gt;=G82,"P2 hero - scale",IF(AND(B82="0→1 validate",F82&lt;50),"Learning - hold until ~50 conversions",IF(I82&gt;=G82*0.7,"P1 watch","P0 fix opening")))))))</f>
        <v/>
      </c>
    </row>
    <row r="83">
      <c r="D83" s="7" t="n"/>
      <c r="E83" s="7" t="n"/>
      <c r="G83" s="6" t="n"/>
      <c r="H83" s="7" t="n"/>
      <c r="I83" s="11">
        <f>IF(A83="","",IFERROR(E83/D83,0))</f>
        <v/>
      </c>
      <c r="J83" s="8">
        <f>IF(A83="","",IFERROR(E83/G83,0)-D83)</f>
        <v/>
      </c>
      <c r="K83" s="4">
        <f>IF(A83="","",IF(D83&gt;0,"Yes","No spend"))</f>
        <v/>
      </c>
      <c r="L83" s="4">
        <f>IF(A83="","",IF(D83=0,"Check target/activation",IF(AND(H83&gt;0,J83&lt;=0-H83),"Stop-loss hit - pause; fix creative/offer",IF(C83="Seed","P2 keep (seeding)",IF(I83&gt;=G83,"P2 hero - scale",IF(AND(B83="0→1 validate",F83&lt;50),"Learning - hold until ~50 conversions",IF(I83&gt;=G83*0.7,"P1 watch","P0 fix opening")))))))</f>
        <v/>
      </c>
    </row>
    <row r="84">
      <c r="D84" s="7" t="n"/>
      <c r="E84" s="7" t="n"/>
      <c r="G84" s="6" t="n"/>
      <c r="H84" s="7" t="n"/>
      <c r="I84" s="11">
        <f>IF(A84="","",IFERROR(E84/D84,0))</f>
        <v/>
      </c>
      <c r="J84" s="8">
        <f>IF(A84="","",IFERROR(E84/G84,0)-D84)</f>
        <v/>
      </c>
      <c r="K84" s="4">
        <f>IF(A84="","",IF(D84&gt;0,"Yes","No spend"))</f>
        <v/>
      </c>
      <c r="L84" s="4">
        <f>IF(A84="","",IF(D84=0,"Check target/activation",IF(AND(H84&gt;0,J84&lt;=0-H84),"Stop-loss hit - pause; fix creative/offer",IF(C84="Seed","P2 keep (seeding)",IF(I84&gt;=G84,"P2 hero - scale",IF(AND(B84="0→1 validate",F84&lt;50),"Learning - hold until ~50 conversions",IF(I84&gt;=G84*0.7,"P1 watch","P0 fix opening")))))))</f>
        <v/>
      </c>
    </row>
    <row r="85">
      <c r="D85" s="7" t="n"/>
      <c r="E85" s="7" t="n"/>
      <c r="G85" s="6" t="n"/>
      <c r="H85" s="7" t="n"/>
      <c r="I85" s="11">
        <f>IF(A85="","",IFERROR(E85/D85,0))</f>
        <v/>
      </c>
      <c r="J85" s="8">
        <f>IF(A85="","",IFERROR(E85/G85,0)-D85)</f>
        <v/>
      </c>
      <c r="K85" s="4">
        <f>IF(A85="","",IF(D85&gt;0,"Yes","No spend"))</f>
        <v/>
      </c>
      <c r="L85" s="4">
        <f>IF(A85="","",IF(D85=0,"Check target/activation",IF(AND(H85&gt;0,J85&lt;=0-H85),"Stop-loss hit - pause; fix creative/offer",IF(C85="Seed","P2 keep (seeding)",IF(I85&gt;=G85,"P2 hero - scale",IF(AND(B85="0→1 validate",F85&lt;50),"Learning - hold until ~50 conversions",IF(I85&gt;=G85*0.7,"P1 watch","P0 fix opening")))))))</f>
        <v/>
      </c>
    </row>
    <row r="86">
      <c r="D86" s="7" t="n"/>
      <c r="E86" s="7" t="n"/>
      <c r="G86" s="6" t="n"/>
      <c r="H86" s="7" t="n"/>
      <c r="I86" s="11">
        <f>IF(A86="","",IFERROR(E86/D86,0))</f>
        <v/>
      </c>
      <c r="J86" s="8">
        <f>IF(A86="","",IFERROR(E86/G86,0)-D86)</f>
        <v/>
      </c>
      <c r="K86" s="4">
        <f>IF(A86="","",IF(D86&gt;0,"Yes","No spend"))</f>
        <v/>
      </c>
      <c r="L86" s="4">
        <f>IF(A86="","",IF(D86=0,"Check target/activation",IF(AND(H86&gt;0,J86&lt;=0-H86),"Stop-loss hit - pause; fix creative/offer",IF(C86="Seed","P2 keep (seeding)",IF(I86&gt;=G86,"P2 hero - scale",IF(AND(B86="0→1 validate",F86&lt;50),"Learning - hold until ~50 conversions",IF(I86&gt;=G86*0.7,"P1 watch","P0 fix opening")))))))</f>
        <v/>
      </c>
    </row>
    <row r="87">
      <c r="D87" s="7" t="n"/>
      <c r="E87" s="7" t="n"/>
      <c r="G87" s="6" t="n"/>
      <c r="H87" s="7" t="n"/>
      <c r="I87" s="11">
        <f>IF(A87="","",IFERROR(E87/D87,0))</f>
        <v/>
      </c>
      <c r="J87" s="8">
        <f>IF(A87="","",IFERROR(E87/G87,0)-D87)</f>
        <v/>
      </c>
      <c r="K87" s="4">
        <f>IF(A87="","",IF(D87&gt;0,"Yes","No spend"))</f>
        <v/>
      </c>
      <c r="L87" s="4">
        <f>IF(A87="","",IF(D87=0,"Check target/activation",IF(AND(H87&gt;0,J87&lt;=0-H87),"Stop-loss hit - pause; fix creative/offer",IF(C87="Seed","P2 keep (seeding)",IF(I87&gt;=G87,"P2 hero - scale",IF(AND(B87="0→1 validate",F87&lt;50),"Learning - hold until ~50 conversions",IF(I87&gt;=G87*0.7,"P1 watch","P0 fix opening")))))))</f>
        <v/>
      </c>
    </row>
    <row r="88">
      <c r="D88" s="7" t="n"/>
      <c r="E88" s="7" t="n"/>
      <c r="G88" s="6" t="n"/>
      <c r="H88" s="7" t="n"/>
      <c r="I88" s="11">
        <f>IF(A88="","",IFERROR(E88/D88,0))</f>
        <v/>
      </c>
      <c r="J88" s="8">
        <f>IF(A88="","",IFERROR(E88/G88,0)-D88)</f>
        <v/>
      </c>
      <c r="K88" s="4">
        <f>IF(A88="","",IF(D88&gt;0,"Yes","No spend"))</f>
        <v/>
      </c>
      <c r="L88" s="4">
        <f>IF(A88="","",IF(D88=0,"Check target/activation",IF(AND(H88&gt;0,J88&lt;=0-H88),"Stop-loss hit - pause; fix creative/offer",IF(C88="Seed","P2 keep (seeding)",IF(I88&gt;=G88,"P2 hero - scale",IF(AND(B88="0→1 validate",F88&lt;50),"Learning - hold until ~50 conversions",IF(I88&gt;=G88*0.7,"P1 watch","P0 fix opening")))))))</f>
        <v/>
      </c>
    </row>
    <row r="89">
      <c r="D89" s="7" t="n"/>
      <c r="E89" s="7" t="n"/>
      <c r="G89" s="6" t="n"/>
      <c r="H89" s="7" t="n"/>
      <c r="I89" s="11">
        <f>IF(A89="","",IFERROR(E89/D89,0))</f>
        <v/>
      </c>
      <c r="J89" s="8">
        <f>IF(A89="","",IFERROR(E89/G89,0)-D89)</f>
        <v/>
      </c>
      <c r="K89" s="4">
        <f>IF(A89="","",IF(D89&gt;0,"Yes","No spend"))</f>
        <v/>
      </c>
      <c r="L89" s="4">
        <f>IF(A89="","",IF(D89=0,"Check target/activation",IF(AND(H89&gt;0,J89&lt;=0-H89),"Stop-loss hit - pause; fix creative/offer",IF(C89="Seed","P2 keep (seeding)",IF(I89&gt;=G89,"P2 hero - scale",IF(AND(B89="0→1 validate",F89&lt;50),"Learning - hold until ~50 conversions",IF(I89&gt;=G89*0.7,"P1 watch","P0 fix opening")))))))</f>
        <v/>
      </c>
    </row>
    <row r="90">
      <c r="D90" s="7" t="n"/>
      <c r="E90" s="7" t="n"/>
      <c r="G90" s="6" t="n"/>
      <c r="H90" s="7" t="n"/>
      <c r="I90" s="11">
        <f>IF(A90="","",IFERROR(E90/D90,0))</f>
        <v/>
      </c>
      <c r="J90" s="8">
        <f>IF(A90="","",IFERROR(E90/G90,0)-D90)</f>
        <v/>
      </c>
      <c r="K90" s="4">
        <f>IF(A90="","",IF(D90&gt;0,"Yes","No spend"))</f>
        <v/>
      </c>
      <c r="L90" s="4">
        <f>IF(A90="","",IF(D90=0,"Check target/activation",IF(AND(H90&gt;0,J90&lt;=0-H90),"Stop-loss hit - pause; fix creative/offer",IF(C90="Seed","P2 keep (seeding)",IF(I90&gt;=G90,"P2 hero - scale",IF(AND(B90="0→1 validate",F90&lt;50),"Learning - hold until ~50 conversions",IF(I90&gt;=G90*0.7,"P1 watch","P0 fix opening")))))))</f>
        <v/>
      </c>
    </row>
    <row r="91">
      <c r="D91" s="7" t="n"/>
      <c r="E91" s="7" t="n"/>
      <c r="G91" s="6" t="n"/>
      <c r="H91" s="7" t="n"/>
      <c r="I91" s="11">
        <f>IF(A91="","",IFERROR(E91/D91,0))</f>
        <v/>
      </c>
      <c r="J91" s="8">
        <f>IF(A91="","",IFERROR(E91/G91,0)-D91)</f>
        <v/>
      </c>
      <c r="K91" s="4">
        <f>IF(A91="","",IF(D91&gt;0,"Yes","No spend"))</f>
        <v/>
      </c>
      <c r="L91" s="4">
        <f>IF(A91="","",IF(D91=0,"Check target/activation",IF(AND(H91&gt;0,J91&lt;=0-H91),"Stop-loss hit - pause; fix creative/offer",IF(C91="Seed","P2 keep (seeding)",IF(I91&gt;=G91,"P2 hero - scale",IF(AND(B91="0→1 validate",F91&lt;50),"Learning - hold until ~50 conversions",IF(I91&gt;=G91*0.7,"P1 watch","P0 fix opening")))))))</f>
        <v/>
      </c>
    </row>
    <row r="92">
      <c r="D92" s="7" t="n"/>
      <c r="E92" s="7" t="n"/>
      <c r="G92" s="6" t="n"/>
      <c r="H92" s="7" t="n"/>
      <c r="I92" s="11">
        <f>IF(A92="","",IFERROR(E92/D92,0))</f>
        <v/>
      </c>
      <c r="J92" s="8">
        <f>IF(A92="","",IFERROR(E92/G92,0)-D92)</f>
        <v/>
      </c>
      <c r="K92" s="4">
        <f>IF(A92="","",IF(D92&gt;0,"Yes","No spend"))</f>
        <v/>
      </c>
      <c r="L92" s="4">
        <f>IF(A92="","",IF(D92=0,"Check target/activation",IF(AND(H92&gt;0,J92&lt;=0-H92),"Stop-loss hit - pause; fix creative/offer",IF(C92="Seed","P2 keep (seeding)",IF(I92&gt;=G92,"P2 hero - scale",IF(AND(B92="0→1 validate",F92&lt;50),"Learning - hold until ~50 conversions",IF(I92&gt;=G92*0.7,"P1 watch","P0 fix opening")))))))</f>
        <v/>
      </c>
    </row>
    <row r="93">
      <c r="D93" s="7" t="n"/>
      <c r="E93" s="7" t="n"/>
      <c r="G93" s="6" t="n"/>
      <c r="H93" s="7" t="n"/>
      <c r="I93" s="11">
        <f>IF(A93="","",IFERROR(E93/D93,0))</f>
        <v/>
      </c>
      <c r="J93" s="8">
        <f>IF(A93="","",IFERROR(E93/G93,0)-D93)</f>
        <v/>
      </c>
      <c r="K93" s="4">
        <f>IF(A93="","",IF(D93&gt;0,"Yes","No spend"))</f>
        <v/>
      </c>
      <c r="L93" s="4">
        <f>IF(A93="","",IF(D93=0,"Check target/activation",IF(AND(H93&gt;0,J93&lt;=0-H93),"Stop-loss hit - pause; fix creative/offer",IF(C93="Seed","P2 keep (seeding)",IF(I93&gt;=G93,"P2 hero - scale",IF(AND(B93="0→1 validate",F93&lt;50),"Learning - hold until ~50 conversions",IF(I93&gt;=G93*0.7,"P1 watch","P0 fix opening")))))))</f>
        <v/>
      </c>
    </row>
    <row r="94">
      <c r="D94" s="7" t="n"/>
      <c r="E94" s="7" t="n"/>
      <c r="G94" s="6" t="n"/>
      <c r="H94" s="7" t="n"/>
      <c r="I94" s="11">
        <f>IF(A94="","",IFERROR(E94/D94,0))</f>
        <v/>
      </c>
      <c r="J94" s="8">
        <f>IF(A94="","",IFERROR(E94/G94,0)-D94)</f>
        <v/>
      </c>
      <c r="K94" s="4">
        <f>IF(A94="","",IF(D94&gt;0,"Yes","No spend"))</f>
        <v/>
      </c>
      <c r="L94" s="4">
        <f>IF(A94="","",IF(D94=0,"Check target/activation",IF(AND(H94&gt;0,J94&lt;=0-H94),"Stop-loss hit - pause; fix creative/offer",IF(C94="Seed","P2 keep (seeding)",IF(I94&gt;=G94,"P2 hero - scale",IF(AND(B94="0→1 validate",F94&lt;50),"Learning - hold until ~50 conversions",IF(I94&gt;=G94*0.7,"P1 watch","P0 fix opening")))))))</f>
        <v/>
      </c>
    </row>
    <row r="95">
      <c r="D95" s="7" t="n"/>
      <c r="E95" s="7" t="n"/>
      <c r="G95" s="6" t="n"/>
      <c r="H95" s="7" t="n"/>
      <c r="I95" s="11">
        <f>IF(A95="","",IFERROR(E95/D95,0))</f>
        <v/>
      </c>
      <c r="J95" s="8">
        <f>IF(A95="","",IFERROR(E95/G95,0)-D95)</f>
        <v/>
      </c>
      <c r="K95" s="4">
        <f>IF(A95="","",IF(D95&gt;0,"Yes","No spend"))</f>
        <v/>
      </c>
      <c r="L95" s="4">
        <f>IF(A95="","",IF(D95=0,"Check target/activation",IF(AND(H95&gt;0,J95&lt;=0-H95),"Stop-loss hit - pause; fix creative/offer",IF(C95="Seed","P2 keep (seeding)",IF(I95&gt;=G95,"P2 hero - scale",IF(AND(B95="0→1 validate",F95&lt;50),"Learning - hold until ~50 conversions",IF(I95&gt;=G95*0.7,"P1 watch","P0 fix opening")))))))</f>
        <v/>
      </c>
    </row>
    <row r="96">
      <c r="D96" s="7" t="n"/>
      <c r="E96" s="7" t="n"/>
      <c r="G96" s="6" t="n"/>
      <c r="H96" s="7" t="n"/>
      <c r="I96" s="11">
        <f>IF(A96="","",IFERROR(E96/D96,0))</f>
        <v/>
      </c>
      <c r="J96" s="8">
        <f>IF(A96="","",IFERROR(E96/G96,0)-D96)</f>
        <v/>
      </c>
      <c r="K96" s="4">
        <f>IF(A96="","",IF(D96&gt;0,"Yes","No spend"))</f>
        <v/>
      </c>
      <c r="L96" s="4">
        <f>IF(A96="","",IF(D96=0,"Check target/activation",IF(AND(H96&gt;0,J96&lt;=0-H96),"Stop-loss hit - pause; fix creative/offer",IF(C96="Seed","P2 keep (seeding)",IF(I96&gt;=G96,"P2 hero - scale",IF(AND(B96="0→1 validate",F96&lt;50),"Learning - hold until ~50 conversions",IF(I96&gt;=G96*0.7,"P1 watch","P0 fix opening")))))))</f>
        <v/>
      </c>
    </row>
    <row r="97">
      <c r="D97" s="7" t="n"/>
      <c r="E97" s="7" t="n"/>
      <c r="G97" s="6" t="n"/>
      <c r="H97" s="7" t="n"/>
      <c r="I97" s="11">
        <f>IF(A97="","",IFERROR(E97/D97,0))</f>
        <v/>
      </c>
      <c r="J97" s="8">
        <f>IF(A97="","",IFERROR(E97/G97,0)-D97)</f>
        <v/>
      </c>
      <c r="K97" s="4">
        <f>IF(A97="","",IF(D97&gt;0,"Yes","No spend"))</f>
        <v/>
      </c>
      <c r="L97" s="4">
        <f>IF(A97="","",IF(D97=0,"Check target/activation",IF(AND(H97&gt;0,J97&lt;=0-H97),"Stop-loss hit - pause; fix creative/offer",IF(C97="Seed","P2 keep (seeding)",IF(I97&gt;=G97,"P2 hero - scale",IF(AND(B97="0→1 validate",F97&lt;50),"Learning - hold until ~50 conversions",IF(I97&gt;=G97*0.7,"P1 watch","P0 fix opening")))))))</f>
        <v/>
      </c>
    </row>
    <row r="98">
      <c r="D98" s="7" t="n"/>
      <c r="E98" s="7" t="n"/>
      <c r="G98" s="6" t="n"/>
      <c r="H98" s="7" t="n"/>
      <c r="I98" s="11">
        <f>IF(A98="","",IFERROR(E98/D98,0))</f>
        <v/>
      </c>
      <c r="J98" s="8">
        <f>IF(A98="","",IFERROR(E98/G98,0)-D98)</f>
        <v/>
      </c>
      <c r="K98" s="4">
        <f>IF(A98="","",IF(D98&gt;0,"Yes","No spend"))</f>
        <v/>
      </c>
      <c r="L98" s="4">
        <f>IF(A98="","",IF(D98=0,"Check target/activation",IF(AND(H98&gt;0,J98&lt;=0-H98),"Stop-loss hit - pause; fix creative/offer",IF(C98="Seed","P2 keep (seeding)",IF(I98&gt;=G98,"P2 hero - scale",IF(AND(B98="0→1 validate",F98&lt;50),"Learning - hold until ~50 conversions",IF(I98&gt;=G98*0.7,"P1 watch","P0 fix opening")))))))</f>
        <v/>
      </c>
    </row>
    <row r="99">
      <c r="D99" s="7" t="n"/>
      <c r="E99" s="7" t="n"/>
      <c r="G99" s="6" t="n"/>
      <c r="H99" s="7" t="n"/>
      <c r="I99" s="11">
        <f>IF(A99="","",IFERROR(E99/D99,0))</f>
        <v/>
      </c>
      <c r="J99" s="8">
        <f>IF(A99="","",IFERROR(E99/G99,0)-D99)</f>
        <v/>
      </c>
      <c r="K99" s="4">
        <f>IF(A99="","",IF(D99&gt;0,"Yes","No spend"))</f>
        <v/>
      </c>
      <c r="L99" s="4">
        <f>IF(A99="","",IF(D99=0,"Check target/activation",IF(AND(H99&gt;0,J99&lt;=0-H99),"Stop-loss hit - pause; fix creative/offer",IF(C99="Seed","P2 keep (seeding)",IF(I99&gt;=G99,"P2 hero - scale",IF(AND(B99="0→1 validate",F99&lt;50),"Learning - hold until ~50 conversions",IF(I99&gt;=G99*0.7,"P1 watch","P0 fix opening")))))))</f>
        <v/>
      </c>
    </row>
    <row r="100">
      <c r="D100" s="7" t="n"/>
      <c r="E100" s="7" t="n"/>
      <c r="G100" s="6" t="n"/>
      <c r="H100" s="7" t="n"/>
      <c r="I100" s="11">
        <f>IF(A100="","",IFERROR(E100/D100,0))</f>
        <v/>
      </c>
      <c r="J100" s="8">
        <f>IF(A100="","",IFERROR(E100/G100,0)-D100)</f>
        <v/>
      </c>
      <c r="K100" s="4">
        <f>IF(A100="","",IF(D100&gt;0,"Yes","No spend"))</f>
        <v/>
      </c>
      <c r="L100" s="4">
        <f>IF(A100="","",IF(D100=0,"Check target/activation",IF(AND(H100&gt;0,J100&lt;=0-H100),"Stop-loss hit - pause; fix creative/offer",IF(C100="Seed","P2 keep (seeding)",IF(I100&gt;=G100,"P2 hero - scale",IF(AND(B100="0→1 validate",F100&lt;50),"Learning - hold until ~50 conversions",IF(I100&gt;=G100*0.7,"P1 watch","P0 fix opening")))))))</f>
        <v/>
      </c>
    </row>
    <row r="101">
      <c r="D101" s="7" t="n"/>
      <c r="E101" s="7" t="n"/>
      <c r="G101" s="6" t="n"/>
      <c r="H101" s="7" t="n"/>
      <c r="I101" s="11">
        <f>IF(A101="","",IFERROR(E101/D101,0))</f>
        <v/>
      </c>
      <c r="J101" s="8">
        <f>IF(A101="","",IFERROR(E101/G101,0)-D101)</f>
        <v/>
      </c>
      <c r="K101" s="4">
        <f>IF(A101="","",IF(D101&gt;0,"Yes","No spend"))</f>
        <v/>
      </c>
      <c r="L101" s="4">
        <f>IF(A101="","",IF(D101=0,"Check target/activation",IF(AND(H101&gt;0,J101&lt;=0-H101),"Stop-loss hit - pause; fix creative/offer",IF(C101="Seed","P2 keep (seeding)",IF(I101&gt;=G101,"P2 hero - scale",IF(AND(B101="0→1 validate",F101&lt;50),"Learning - hold until ~50 conversions",IF(I101&gt;=G101*0.7,"P1 watch","P0 fix opening")))))))</f>
        <v/>
      </c>
    </row>
    <row r="102">
      <c r="D102" s="7" t="n"/>
      <c r="E102" s="7" t="n"/>
      <c r="G102" s="6" t="n"/>
      <c r="H102" s="7" t="n"/>
      <c r="I102" s="11">
        <f>IF(A102="","",IFERROR(E102/D102,0))</f>
        <v/>
      </c>
      <c r="J102" s="8">
        <f>IF(A102="","",IFERROR(E102/G102,0)-D102)</f>
        <v/>
      </c>
      <c r="K102" s="4">
        <f>IF(A102="","",IF(D102&gt;0,"Yes","No spend"))</f>
        <v/>
      </c>
      <c r="L102" s="4">
        <f>IF(A102="","",IF(D102=0,"Check target/activation",IF(AND(H102&gt;0,J102&lt;=0-H102),"Stop-loss hit - pause; fix creative/offer",IF(C102="Seed","P2 keep (seeding)",IF(I102&gt;=G102,"P2 hero - scale",IF(AND(B102="0→1 validate",F102&lt;50),"Learning - hold until ~50 conversions",IF(I102&gt;=G102*0.7,"P1 watch","P0 fix opening")))))))</f>
        <v/>
      </c>
    </row>
    <row r="103">
      <c r="D103" s="7" t="n"/>
      <c r="E103" s="7" t="n"/>
      <c r="G103" s="6" t="n"/>
      <c r="H103" s="7" t="n"/>
      <c r="I103" s="11">
        <f>IF(A103="","",IFERROR(E103/D103,0))</f>
        <v/>
      </c>
      <c r="J103" s="8">
        <f>IF(A103="","",IFERROR(E103/G103,0)-D103)</f>
        <v/>
      </c>
      <c r="K103" s="4">
        <f>IF(A103="","",IF(D103&gt;0,"Yes","No spend"))</f>
        <v/>
      </c>
      <c r="L103" s="4">
        <f>IF(A103="","",IF(D103=0,"Check target/activation",IF(AND(H103&gt;0,J103&lt;=0-H103),"Stop-loss hit - pause; fix creative/offer",IF(C103="Seed","P2 keep (seeding)",IF(I103&gt;=G103,"P2 hero - scale",IF(AND(B103="0→1 validate",F103&lt;50),"Learning - hold until ~50 conversions",IF(I103&gt;=G103*0.7,"P1 watch","P0 fix opening")))))))</f>
        <v/>
      </c>
    </row>
    <row r="104">
      <c r="D104" s="7" t="n"/>
      <c r="E104" s="7" t="n"/>
      <c r="G104" s="6" t="n"/>
      <c r="H104" s="7" t="n"/>
      <c r="I104" s="11">
        <f>IF(A104="","",IFERROR(E104/D104,0))</f>
        <v/>
      </c>
      <c r="J104" s="8">
        <f>IF(A104="","",IFERROR(E104/G104,0)-D104)</f>
        <v/>
      </c>
      <c r="K104" s="4">
        <f>IF(A104="","",IF(D104&gt;0,"Yes","No spend"))</f>
        <v/>
      </c>
      <c r="L104" s="4">
        <f>IF(A104="","",IF(D104=0,"Check target/activation",IF(AND(H104&gt;0,J104&lt;=0-H104),"Stop-loss hit - pause; fix creative/offer",IF(C104="Seed","P2 keep (seeding)",IF(I104&gt;=G104,"P2 hero - scale",IF(AND(B104="0→1 validate",F104&lt;50),"Learning - hold until ~50 conversions",IF(I104&gt;=G104*0.7,"P1 watch","P0 fix opening")))))))</f>
        <v/>
      </c>
    </row>
    <row r="105">
      <c r="D105" s="7" t="n"/>
      <c r="E105" s="7" t="n"/>
      <c r="G105" s="6" t="n"/>
      <c r="H105" s="7" t="n"/>
      <c r="I105" s="11">
        <f>IF(A105="","",IFERROR(E105/D105,0))</f>
        <v/>
      </c>
      <c r="J105" s="8">
        <f>IF(A105="","",IFERROR(E105/G105,0)-D105)</f>
        <v/>
      </c>
      <c r="K105" s="4">
        <f>IF(A105="","",IF(D105&gt;0,"Yes","No spend"))</f>
        <v/>
      </c>
      <c r="L105" s="4">
        <f>IF(A105="","",IF(D105=0,"Check target/activation",IF(AND(H105&gt;0,J105&lt;=0-H105),"Stop-loss hit - pause; fix creative/offer",IF(C105="Seed","P2 keep (seeding)",IF(I105&gt;=G105,"P2 hero - scale",IF(AND(B105="0→1 validate",F105&lt;50),"Learning - hold until ~50 conversions",IF(I105&gt;=G105*0.7,"P1 watch","P0 fix opening")))))))</f>
        <v/>
      </c>
    </row>
    <row r="106">
      <c r="D106" s="7" t="n"/>
      <c r="E106" s="7" t="n"/>
      <c r="G106" s="6" t="n"/>
      <c r="H106" s="7" t="n"/>
      <c r="I106" s="11">
        <f>IF(A106="","",IFERROR(E106/D106,0))</f>
        <v/>
      </c>
      <c r="J106" s="8">
        <f>IF(A106="","",IFERROR(E106/G106,0)-D106)</f>
        <v/>
      </c>
      <c r="K106" s="4">
        <f>IF(A106="","",IF(D106&gt;0,"Yes","No spend"))</f>
        <v/>
      </c>
      <c r="L106" s="4">
        <f>IF(A106="","",IF(D106=0,"Check target/activation",IF(AND(H106&gt;0,J106&lt;=0-H106),"Stop-loss hit - pause; fix creative/offer",IF(C106="Seed","P2 keep (seeding)",IF(I106&gt;=G106,"P2 hero - scale",IF(AND(B106="0→1 validate",F106&lt;50),"Learning - hold until ~50 conversions",IF(I106&gt;=G106*0.7,"P1 watch","P0 fix opening")))))))</f>
        <v/>
      </c>
    </row>
    <row r="107">
      <c r="D107" s="7" t="n"/>
      <c r="E107" s="7" t="n"/>
      <c r="G107" s="6" t="n"/>
      <c r="H107" s="7" t="n"/>
      <c r="I107" s="11">
        <f>IF(A107="","",IFERROR(E107/D107,0))</f>
        <v/>
      </c>
      <c r="J107" s="8">
        <f>IF(A107="","",IFERROR(E107/G107,0)-D107)</f>
        <v/>
      </c>
      <c r="K107" s="4">
        <f>IF(A107="","",IF(D107&gt;0,"Yes","No spend"))</f>
        <v/>
      </c>
      <c r="L107" s="4">
        <f>IF(A107="","",IF(D107=0,"Check target/activation",IF(AND(H107&gt;0,J107&lt;=0-H107),"Stop-loss hit - pause; fix creative/offer",IF(C107="Seed","P2 keep (seeding)",IF(I107&gt;=G107,"P2 hero - scale",IF(AND(B107="0→1 validate",F107&lt;50),"Learning - hold until ~50 conversions",IF(I107&gt;=G107*0.7,"P1 watch","P0 fix opening")))))))</f>
        <v/>
      </c>
    </row>
    <row r="108">
      <c r="D108" s="7" t="n"/>
      <c r="E108" s="7" t="n"/>
      <c r="G108" s="6" t="n"/>
      <c r="H108" s="7" t="n"/>
      <c r="I108" s="11">
        <f>IF(A108="","",IFERROR(E108/D108,0))</f>
        <v/>
      </c>
      <c r="J108" s="8">
        <f>IF(A108="","",IFERROR(E108/G108,0)-D108)</f>
        <v/>
      </c>
      <c r="K108" s="4">
        <f>IF(A108="","",IF(D108&gt;0,"Yes","No spend"))</f>
        <v/>
      </c>
      <c r="L108" s="4">
        <f>IF(A108="","",IF(D108=0,"Check target/activation",IF(AND(H108&gt;0,J108&lt;=0-H108),"Stop-loss hit - pause; fix creative/offer",IF(C108="Seed","P2 keep (seeding)",IF(I108&gt;=G108,"P2 hero - scale",IF(AND(B108="0→1 validate",F108&lt;50),"Learning - hold until ~50 conversions",IF(I108&gt;=G108*0.7,"P1 watch","P0 fix opening")))))))</f>
        <v/>
      </c>
    </row>
    <row r="109">
      <c r="D109" s="7" t="n"/>
      <c r="E109" s="7" t="n"/>
      <c r="G109" s="6" t="n"/>
      <c r="H109" s="7" t="n"/>
      <c r="I109" s="11">
        <f>IF(A109="","",IFERROR(E109/D109,0))</f>
        <v/>
      </c>
      <c r="J109" s="8">
        <f>IF(A109="","",IFERROR(E109/G109,0)-D109)</f>
        <v/>
      </c>
      <c r="K109" s="4">
        <f>IF(A109="","",IF(D109&gt;0,"Yes","No spend"))</f>
        <v/>
      </c>
      <c r="L109" s="4">
        <f>IF(A109="","",IF(D109=0,"Check target/activation",IF(AND(H109&gt;0,J109&lt;=0-H109),"Stop-loss hit - pause; fix creative/offer",IF(C109="Seed","P2 keep (seeding)",IF(I109&gt;=G109,"P2 hero - scale",IF(AND(B109="0→1 validate",F109&lt;50),"Learning - hold until ~50 conversions",IF(I109&gt;=G109*0.7,"P1 watch","P0 fix opening")))))))</f>
        <v/>
      </c>
    </row>
    <row r="110">
      <c r="D110" s="7" t="n"/>
      <c r="E110" s="7" t="n"/>
      <c r="G110" s="6" t="n"/>
      <c r="H110" s="7" t="n"/>
      <c r="I110" s="11">
        <f>IF(A110="","",IFERROR(E110/D110,0))</f>
        <v/>
      </c>
      <c r="J110" s="8">
        <f>IF(A110="","",IFERROR(E110/G110,0)-D110)</f>
        <v/>
      </c>
      <c r="K110" s="4">
        <f>IF(A110="","",IF(D110&gt;0,"Yes","No spend"))</f>
        <v/>
      </c>
      <c r="L110" s="4">
        <f>IF(A110="","",IF(D110=0,"Check target/activation",IF(AND(H110&gt;0,J110&lt;=0-H110),"Stop-loss hit - pause; fix creative/offer",IF(C110="Seed","P2 keep (seeding)",IF(I110&gt;=G110,"P2 hero - scale",IF(AND(B110="0→1 validate",F110&lt;50),"Learning - hold until ~50 conversions",IF(I110&gt;=G110*0.7,"P1 watch","P0 fix opening")))))))</f>
        <v/>
      </c>
    </row>
    <row r="111">
      <c r="D111" s="7" t="n"/>
      <c r="E111" s="7" t="n"/>
      <c r="G111" s="6" t="n"/>
      <c r="H111" s="7" t="n"/>
      <c r="I111" s="11">
        <f>IF(A111="","",IFERROR(E111/D111,0))</f>
        <v/>
      </c>
      <c r="J111" s="8">
        <f>IF(A111="","",IFERROR(E111/G111,0)-D111)</f>
        <v/>
      </c>
      <c r="K111" s="4">
        <f>IF(A111="","",IF(D111&gt;0,"Yes","No spend"))</f>
        <v/>
      </c>
      <c r="L111" s="4">
        <f>IF(A111="","",IF(D111=0,"Check target/activation",IF(AND(H111&gt;0,J111&lt;=0-H111),"Stop-loss hit - pause; fix creative/offer",IF(C111="Seed","P2 keep (seeding)",IF(I111&gt;=G111,"P2 hero - scale",IF(AND(B111="0→1 validate",F111&lt;50),"Learning - hold until ~50 conversions",IF(I111&gt;=G111*0.7,"P1 watch","P0 fix opening")))))))</f>
        <v/>
      </c>
    </row>
    <row r="112">
      <c r="D112" s="7" t="n"/>
      <c r="E112" s="7" t="n"/>
      <c r="G112" s="6" t="n"/>
      <c r="H112" s="7" t="n"/>
      <c r="I112" s="11">
        <f>IF(A112="","",IFERROR(E112/D112,0))</f>
        <v/>
      </c>
      <c r="J112" s="8">
        <f>IF(A112="","",IFERROR(E112/G112,0)-D112)</f>
        <v/>
      </c>
      <c r="K112" s="4">
        <f>IF(A112="","",IF(D112&gt;0,"Yes","No spend"))</f>
        <v/>
      </c>
      <c r="L112" s="4">
        <f>IF(A112="","",IF(D112=0,"Check target/activation",IF(AND(H112&gt;0,J112&lt;=0-H112),"Stop-loss hit - pause; fix creative/offer",IF(C112="Seed","P2 keep (seeding)",IF(I112&gt;=G112,"P2 hero - scale",IF(AND(B112="0→1 validate",F112&lt;50),"Learning - hold until ~50 conversions",IF(I112&gt;=G112*0.7,"P1 watch","P0 fix opening")))))))</f>
        <v/>
      </c>
    </row>
    <row r="113">
      <c r="D113" s="7" t="n"/>
      <c r="E113" s="7" t="n"/>
      <c r="G113" s="6" t="n"/>
      <c r="H113" s="7" t="n"/>
      <c r="I113" s="11">
        <f>IF(A113="","",IFERROR(E113/D113,0))</f>
        <v/>
      </c>
      <c r="J113" s="8">
        <f>IF(A113="","",IFERROR(E113/G113,0)-D113)</f>
        <v/>
      </c>
      <c r="K113" s="4">
        <f>IF(A113="","",IF(D113&gt;0,"Yes","No spend"))</f>
        <v/>
      </c>
      <c r="L113" s="4">
        <f>IF(A113="","",IF(D113=0,"Check target/activation",IF(AND(H113&gt;0,J113&lt;=0-H113),"Stop-loss hit - pause; fix creative/offer",IF(C113="Seed","P2 keep (seeding)",IF(I113&gt;=G113,"P2 hero - scale",IF(AND(B113="0→1 validate",F113&lt;50),"Learning - hold until ~50 conversions",IF(I113&gt;=G113*0.7,"P1 watch","P0 fix opening")))))))</f>
        <v/>
      </c>
    </row>
    <row r="114">
      <c r="D114" s="7" t="n"/>
      <c r="E114" s="7" t="n"/>
      <c r="G114" s="6" t="n"/>
      <c r="H114" s="7" t="n"/>
      <c r="I114" s="11">
        <f>IF(A114="","",IFERROR(E114/D114,0))</f>
        <v/>
      </c>
      <c r="J114" s="8">
        <f>IF(A114="","",IFERROR(E114/G114,0)-D114)</f>
        <v/>
      </c>
      <c r="K114" s="4">
        <f>IF(A114="","",IF(D114&gt;0,"Yes","No spend"))</f>
        <v/>
      </c>
      <c r="L114" s="4">
        <f>IF(A114="","",IF(D114=0,"Check target/activation",IF(AND(H114&gt;0,J114&lt;=0-H114),"Stop-loss hit - pause; fix creative/offer",IF(C114="Seed","P2 keep (seeding)",IF(I114&gt;=G114,"P2 hero - scale",IF(AND(B114="0→1 validate",F114&lt;50),"Learning - hold until ~50 conversions",IF(I114&gt;=G114*0.7,"P1 watch","P0 fix opening")))))))</f>
        <v/>
      </c>
    </row>
    <row r="115">
      <c r="D115" s="7" t="n"/>
      <c r="E115" s="7" t="n"/>
      <c r="G115" s="6" t="n"/>
      <c r="H115" s="7" t="n"/>
      <c r="I115" s="11">
        <f>IF(A115="","",IFERROR(E115/D115,0))</f>
        <v/>
      </c>
      <c r="J115" s="8">
        <f>IF(A115="","",IFERROR(E115/G115,0)-D115)</f>
        <v/>
      </c>
      <c r="K115" s="4">
        <f>IF(A115="","",IF(D115&gt;0,"Yes","No spend"))</f>
        <v/>
      </c>
      <c r="L115" s="4">
        <f>IF(A115="","",IF(D115=0,"Check target/activation",IF(AND(H115&gt;0,J115&lt;=0-H115),"Stop-loss hit - pause; fix creative/offer",IF(C115="Seed","P2 keep (seeding)",IF(I115&gt;=G115,"P2 hero - scale",IF(AND(B115="0→1 validate",F115&lt;50),"Learning - hold until ~50 conversions",IF(I115&gt;=G115*0.7,"P1 watch","P0 fix opening")))))))</f>
        <v/>
      </c>
    </row>
    <row r="116">
      <c r="D116" s="7" t="n"/>
      <c r="E116" s="7" t="n"/>
      <c r="G116" s="6" t="n"/>
      <c r="H116" s="7" t="n"/>
      <c r="I116" s="11">
        <f>IF(A116="","",IFERROR(E116/D116,0))</f>
        <v/>
      </c>
      <c r="J116" s="8">
        <f>IF(A116="","",IFERROR(E116/G116,0)-D116)</f>
        <v/>
      </c>
      <c r="K116" s="4">
        <f>IF(A116="","",IF(D116&gt;0,"Yes","No spend"))</f>
        <v/>
      </c>
      <c r="L116" s="4">
        <f>IF(A116="","",IF(D116=0,"Check target/activation",IF(AND(H116&gt;0,J116&lt;=0-H116),"Stop-loss hit - pause; fix creative/offer",IF(C116="Seed","P2 keep (seeding)",IF(I116&gt;=G116,"P2 hero - scale",IF(AND(B116="0→1 validate",F116&lt;50),"Learning - hold until ~50 conversions",IF(I116&gt;=G116*0.7,"P1 watch","P0 fix opening")))))))</f>
        <v/>
      </c>
    </row>
    <row r="117">
      <c r="D117" s="7" t="n"/>
      <c r="E117" s="7" t="n"/>
      <c r="G117" s="6" t="n"/>
      <c r="H117" s="7" t="n"/>
      <c r="I117" s="11">
        <f>IF(A117="","",IFERROR(E117/D117,0))</f>
        <v/>
      </c>
      <c r="J117" s="8">
        <f>IF(A117="","",IFERROR(E117/G117,0)-D117)</f>
        <v/>
      </c>
      <c r="K117" s="4">
        <f>IF(A117="","",IF(D117&gt;0,"Yes","No spend"))</f>
        <v/>
      </c>
      <c r="L117" s="4">
        <f>IF(A117="","",IF(D117=0,"Check target/activation",IF(AND(H117&gt;0,J117&lt;=0-H117),"Stop-loss hit - pause; fix creative/offer",IF(C117="Seed","P2 keep (seeding)",IF(I117&gt;=G117,"P2 hero - scale",IF(AND(B117="0→1 validate",F117&lt;50),"Learning - hold until ~50 conversions",IF(I117&gt;=G117*0.7,"P1 watch","P0 fix opening")))))))</f>
        <v/>
      </c>
    </row>
    <row r="118">
      <c r="D118" s="7" t="n"/>
      <c r="E118" s="7" t="n"/>
      <c r="G118" s="6" t="n"/>
      <c r="H118" s="7" t="n"/>
      <c r="I118" s="11">
        <f>IF(A118="","",IFERROR(E118/D118,0))</f>
        <v/>
      </c>
      <c r="J118" s="8">
        <f>IF(A118="","",IFERROR(E118/G118,0)-D118)</f>
        <v/>
      </c>
      <c r="K118" s="4">
        <f>IF(A118="","",IF(D118&gt;0,"Yes","No spend"))</f>
        <v/>
      </c>
      <c r="L118" s="4">
        <f>IF(A118="","",IF(D118=0,"Check target/activation",IF(AND(H118&gt;0,J118&lt;=0-H118),"Stop-loss hit - pause; fix creative/offer",IF(C118="Seed","P2 keep (seeding)",IF(I118&gt;=G118,"P2 hero - scale",IF(AND(B118="0→1 validate",F118&lt;50),"Learning - hold until ~50 conversions",IF(I118&gt;=G118*0.7,"P1 watch","P0 fix opening")))))))</f>
        <v/>
      </c>
    </row>
    <row r="119">
      <c r="D119" s="7" t="n"/>
      <c r="E119" s="7" t="n"/>
      <c r="G119" s="6" t="n"/>
      <c r="H119" s="7" t="n"/>
      <c r="I119" s="11">
        <f>IF(A119="","",IFERROR(E119/D119,0))</f>
        <v/>
      </c>
      <c r="J119" s="8">
        <f>IF(A119="","",IFERROR(E119/G119,0)-D119)</f>
        <v/>
      </c>
      <c r="K119" s="4">
        <f>IF(A119="","",IF(D119&gt;0,"Yes","No spend"))</f>
        <v/>
      </c>
      <c r="L119" s="4">
        <f>IF(A119="","",IF(D119=0,"Check target/activation",IF(AND(H119&gt;0,J119&lt;=0-H119),"Stop-loss hit - pause; fix creative/offer",IF(C119="Seed","P2 keep (seeding)",IF(I119&gt;=G119,"P2 hero - scale",IF(AND(B119="0→1 validate",F119&lt;50),"Learning - hold until ~50 conversions",IF(I119&gt;=G119*0.7,"P1 watch","P0 fix opening")))))))</f>
        <v/>
      </c>
    </row>
    <row r="120">
      <c r="D120" s="7" t="n"/>
      <c r="E120" s="7" t="n"/>
      <c r="G120" s="6" t="n"/>
      <c r="H120" s="7" t="n"/>
      <c r="I120" s="11">
        <f>IF(A120="","",IFERROR(E120/D120,0))</f>
        <v/>
      </c>
      <c r="J120" s="8">
        <f>IF(A120="","",IFERROR(E120/G120,0)-D120)</f>
        <v/>
      </c>
      <c r="K120" s="4">
        <f>IF(A120="","",IF(D120&gt;0,"Yes","No spend"))</f>
        <v/>
      </c>
      <c r="L120" s="4">
        <f>IF(A120="","",IF(D120=0,"Check target/activation",IF(AND(H120&gt;0,J120&lt;=0-H120),"Stop-loss hit - pause; fix creative/offer",IF(C120="Seed","P2 keep (seeding)",IF(I120&gt;=G120,"P2 hero - scale",IF(AND(B120="0→1 validate",F120&lt;50),"Learning - hold until ~50 conversions",IF(I120&gt;=G120*0.7,"P1 watch","P0 fix opening")))))))</f>
        <v/>
      </c>
    </row>
    <row r="121">
      <c r="D121" s="7" t="n"/>
      <c r="E121" s="7" t="n"/>
      <c r="G121" s="6" t="n"/>
      <c r="H121" s="7" t="n"/>
      <c r="I121" s="11">
        <f>IF(A121="","",IFERROR(E121/D121,0))</f>
        <v/>
      </c>
      <c r="J121" s="8">
        <f>IF(A121="","",IFERROR(E121/G121,0)-D121)</f>
        <v/>
      </c>
      <c r="K121" s="4">
        <f>IF(A121="","",IF(D121&gt;0,"Yes","No spend"))</f>
        <v/>
      </c>
      <c r="L121" s="4">
        <f>IF(A121="","",IF(D121=0,"Check target/activation",IF(AND(H121&gt;0,J121&lt;=0-H121),"Stop-loss hit - pause; fix creative/offer",IF(C121="Seed","P2 keep (seeding)",IF(I121&gt;=G121,"P2 hero - scale",IF(AND(B121="0→1 validate",F121&lt;50),"Learning - hold until ~50 conversions",IF(I121&gt;=G121*0.7,"P1 watch","P0 fix opening")))))))</f>
        <v/>
      </c>
    </row>
    <row r="122">
      <c r="D122" s="7" t="n"/>
      <c r="E122" s="7" t="n"/>
      <c r="G122" s="6" t="n"/>
      <c r="H122" s="7" t="n"/>
      <c r="I122" s="11">
        <f>IF(A122="","",IFERROR(E122/D122,0))</f>
        <v/>
      </c>
      <c r="J122" s="8">
        <f>IF(A122="","",IFERROR(E122/G122,0)-D122)</f>
        <v/>
      </c>
      <c r="K122" s="4">
        <f>IF(A122="","",IF(D122&gt;0,"Yes","No spend"))</f>
        <v/>
      </c>
      <c r="L122" s="4">
        <f>IF(A122="","",IF(D122=0,"Check target/activation",IF(AND(H122&gt;0,J122&lt;=0-H122),"Stop-loss hit - pause; fix creative/offer",IF(C122="Seed","P2 keep (seeding)",IF(I122&gt;=G122,"P2 hero - scale",IF(AND(B122="0→1 validate",F122&lt;50),"Learning - hold until ~50 conversions",IF(I122&gt;=G122*0.7,"P1 watch","P0 fix opening")))))))</f>
        <v/>
      </c>
    </row>
    <row r="123">
      <c r="D123" s="7" t="n"/>
      <c r="E123" s="7" t="n"/>
      <c r="G123" s="6" t="n"/>
      <c r="H123" s="7" t="n"/>
      <c r="I123" s="11">
        <f>IF(A123="","",IFERROR(E123/D123,0))</f>
        <v/>
      </c>
      <c r="J123" s="8">
        <f>IF(A123="","",IFERROR(E123/G123,0)-D123)</f>
        <v/>
      </c>
      <c r="K123" s="4">
        <f>IF(A123="","",IF(D123&gt;0,"Yes","No spend"))</f>
        <v/>
      </c>
      <c r="L123" s="4">
        <f>IF(A123="","",IF(D123=0,"Check target/activation",IF(AND(H123&gt;0,J123&lt;=0-H123),"Stop-loss hit - pause; fix creative/offer",IF(C123="Seed","P2 keep (seeding)",IF(I123&gt;=G123,"P2 hero - scale",IF(AND(B123="0→1 validate",F123&lt;50),"Learning - hold until ~50 conversions",IF(I123&gt;=G123*0.7,"P1 watch","P0 fix opening")))))))</f>
        <v/>
      </c>
    </row>
    <row r="124">
      <c r="D124" s="7" t="n"/>
      <c r="E124" s="7" t="n"/>
      <c r="G124" s="6" t="n"/>
      <c r="H124" s="7" t="n"/>
      <c r="I124" s="11">
        <f>IF(A124="","",IFERROR(E124/D124,0))</f>
        <v/>
      </c>
      <c r="J124" s="8">
        <f>IF(A124="","",IFERROR(E124/G124,0)-D124)</f>
        <v/>
      </c>
      <c r="K124" s="4">
        <f>IF(A124="","",IF(D124&gt;0,"Yes","No spend"))</f>
        <v/>
      </c>
      <c r="L124" s="4">
        <f>IF(A124="","",IF(D124=0,"Check target/activation",IF(AND(H124&gt;0,J124&lt;=0-H124),"Stop-loss hit - pause; fix creative/offer",IF(C124="Seed","P2 keep (seeding)",IF(I124&gt;=G124,"P2 hero - scale",IF(AND(B124="0→1 validate",F124&lt;50),"Learning - hold until ~50 conversions",IF(I124&gt;=G124*0.7,"P1 watch","P0 fix opening")))))))</f>
        <v/>
      </c>
    </row>
    <row r="125">
      <c r="D125" s="7" t="n"/>
      <c r="E125" s="7" t="n"/>
      <c r="G125" s="6" t="n"/>
      <c r="H125" s="7" t="n"/>
      <c r="I125" s="11">
        <f>IF(A125="","",IFERROR(E125/D125,0))</f>
        <v/>
      </c>
      <c r="J125" s="8">
        <f>IF(A125="","",IFERROR(E125/G125,0)-D125)</f>
        <v/>
      </c>
      <c r="K125" s="4">
        <f>IF(A125="","",IF(D125&gt;0,"Yes","No spend"))</f>
        <v/>
      </c>
      <c r="L125" s="4">
        <f>IF(A125="","",IF(D125=0,"Check target/activation",IF(AND(H125&gt;0,J125&lt;=0-H125),"Stop-loss hit - pause; fix creative/offer",IF(C125="Seed","P2 keep (seeding)",IF(I125&gt;=G125,"P2 hero - scale",IF(AND(B125="0→1 validate",F125&lt;50),"Learning - hold until ~50 conversions",IF(I125&gt;=G125*0.7,"P1 watch","P0 fix opening")))))))</f>
        <v/>
      </c>
    </row>
    <row r="126">
      <c r="D126" s="7" t="n"/>
      <c r="E126" s="7" t="n"/>
      <c r="G126" s="6" t="n"/>
      <c r="H126" s="7" t="n"/>
      <c r="I126" s="11">
        <f>IF(A126="","",IFERROR(E126/D126,0))</f>
        <v/>
      </c>
      <c r="J126" s="8">
        <f>IF(A126="","",IFERROR(E126/G126,0)-D126)</f>
        <v/>
      </c>
      <c r="K126" s="4">
        <f>IF(A126="","",IF(D126&gt;0,"Yes","No spend"))</f>
        <v/>
      </c>
      <c r="L126" s="4">
        <f>IF(A126="","",IF(D126=0,"Check target/activation",IF(AND(H126&gt;0,J126&lt;=0-H126),"Stop-loss hit - pause; fix creative/offer",IF(C126="Seed","P2 keep (seeding)",IF(I126&gt;=G126,"P2 hero - scale",IF(AND(B126="0→1 validate",F126&lt;50),"Learning - hold until ~50 conversions",IF(I126&gt;=G126*0.7,"P1 watch","P0 fix opening")))))))</f>
        <v/>
      </c>
    </row>
    <row r="127">
      <c r="D127" s="7" t="n"/>
      <c r="E127" s="7" t="n"/>
      <c r="G127" s="6" t="n"/>
      <c r="H127" s="7" t="n"/>
      <c r="I127" s="11">
        <f>IF(A127="","",IFERROR(E127/D127,0))</f>
        <v/>
      </c>
      <c r="J127" s="8">
        <f>IF(A127="","",IFERROR(E127/G127,0)-D127)</f>
        <v/>
      </c>
      <c r="K127" s="4">
        <f>IF(A127="","",IF(D127&gt;0,"Yes","No spend"))</f>
        <v/>
      </c>
      <c r="L127" s="4">
        <f>IF(A127="","",IF(D127=0,"Check target/activation",IF(AND(H127&gt;0,J127&lt;=0-H127),"Stop-loss hit - pause; fix creative/offer",IF(C127="Seed","P2 keep (seeding)",IF(I127&gt;=G127,"P2 hero - scale",IF(AND(B127="0→1 validate",F127&lt;50),"Learning - hold until ~50 conversions",IF(I127&gt;=G127*0.7,"P1 watch","P0 fix opening")))))))</f>
        <v/>
      </c>
    </row>
    <row r="128">
      <c r="D128" s="7" t="n"/>
      <c r="E128" s="7" t="n"/>
      <c r="G128" s="6" t="n"/>
      <c r="H128" s="7" t="n"/>
      <c r="I128" s="11">
        <f>IF(A128="","",IFERROR(E128/D128,0))</f>
        <v/>
      </c>
      <c r="J128" s="8">
        <f>IF(A128="","",IFERROR(E128/G128,0)-D128)</f>
        <v/>
      </c>
      <c r="K128" s="4">
        <f>IF(A128="","",IF(D128&gt;0,"Yes","No spend"))</f>
        <v/>
      </c>
      <c r="L128" s="4">
        <f>IF(A128="","",IF(D128=0,"Check target/activation",IF(AND(H128&gt;0,J128&lt;=0-H128),"Stop-loss hit - pause; fix creative/offer",IF(C128="Seed","P2 keep (seeding)",IF(I128&gt;=G128,"P2 hero - scale",IF(AND(B128="0→1 validate",F128&lt;50),"Learning - hold until ~50 conversions",IF(I128&gt;=G128*0.7,"P1 watch","P0 fix opening")))))))</f>
        <v/>
      </c>
    </row>
    <row r="129">
      <c r="D129" s="7" t="n"/>
      <c r="E129" s="7" t="n"/>
      <c r="G129" s="6" t="n"/>
      <c r="H129" s="7" t="n"/>
      <c r="I129" s="11">
        <f>IF(A129="","",IFERROR(E129/D129,0))</f>
        <v/>
      </c>
      <c r="J129" s="8">
        <f>IF(A129="","",IFERROR(E129/G129,0)-D129)</f>
        <v/>
      </c>
      <c r="K129" s="4">
        <f>IF(A129="","",IF(D129&gt;0,"Yes","No spend"))</f>
        <v/>
      </c>
      <c r="L129" s="4">
        <f>IF(A129="","",IF(D129=0,"Check target/activation",IF(AND(H129&gt;0,J129&lt;=0-H129),"Stop-loss hit - pause; fix creative/offer",IF(C129="Seed","P2 keep (seeding)",IF(I129&gt;=G129,"P2 hero - scale",IF(AND(B129="0→1 validate",F129&lt;50),"Learning - hold until ~50 conversions",IF(I129&gt;=G129*0.7,"P1 watch","P0 fix opening")))))))</f>
        <v/>
      </c>
    </row>
    <row r="130">
      <c r="D130" s="7" t="n"/>
      <c r="E130" s="7" t="n"/>
      <c r="G130" s="6" t="n"/>
      <c r="H130" s="7" t="n"/>
      <c r="I130" s="11">
        <f>IF(A130="","",IFERROR(E130/D130,0))</f>
        <v/>
      </c>
      <c r="J130" s="8">
        <f>IF(A130="","",IFERROR(E130/G130,0)-D130)</f>
        <v/>
      </c>
      <c r="K130" s="4">
        <f>IF(A130="","",IF(D130&gt;0,"Yes","No spend"))</f>
        <v/>
      </c>
      <c r="L130" s="4">
        <f>IF(A130="","",IF(D130=0,"Check target/activation",IF(AND(H130&gt;0,J130&lt;=0-H130),"Stop-loss hit - pause; fix creative/offer",IF(C130="Seed","P2 keep (seeding)",IF(I130&gt;=G130,"P2 hero - scale",IF(AND(B130="0→1 validate",F130&lt;50),"Learning - hold until ~50 conversions",IF(I130&gt;=G130*0.7,"P1 watch","P0 fix opening")))))))</f>
        <v/>
      </c>
    </row>
    <row r="131">
      <c r="D131" s="7" t="n"/>
      <c r="E131" s="7" t="n"/>
      <c r="G131" s="6" t="n"/>
      <c r="H131" s="7" t="n"/>
      <c r="I131" s="11">
        <f>IF(A131="","",IFERROR(E131/D131,0))</f>
        <v/>
      </c>
      <c r="J131" s="8">
        <f>IF(A131="","",IFERROR(E131/G131,0)-D131)</f>
        <v/>
      </c>
      <c r="K131" s="4">
        <f>IF(A131="","",IF(D131&gt;0,"Yes","No spend"))</f>
        <v/>
      </c>
      <c r="L131" s="4">
        <f>IF(A131="","",IF(D131=0,"Check target/activation",IF(AND(H131&gt;0,J131&lt;=0-H131),"Stop-loss hit - pause; fix creative/offer",IF(C131="Seed","P2 keep (seeding)",IF(I131&gt;=G131,"P2 hero - scale",IF(AND(B131="0→1 validate",F131&lt;50),"Learning - hold until ~50 conversions",IF(I131&gt;=G131*0.7,"P1 watch","P0 fix opening")))))))</f>
        <v/>
      </c>
    </row>
    <row r="132">
      <c r="D132" s="7" t="n"/>
      <c r="E132" s="7" t="n"/>
      <c r="G132" s="6" t="n"/>
      <c r="H132" s="7" t="n"/>
      <c r="I132" s="11">
        <f>IF(A132="","",IFERROR(E132/D132,0))</f>
        <v/>
      </c>
      <c r="J132" s="8">
        <f>IF(A132="","",IFERROR(E132/G132,0)-D132)</f>
        <v/>
      </c>
      <c r="K132" s="4">
        <f>IF(A132="","",IF(D132&gt;0,"Yes","No spend"))</f>
        <v/>
      </c>
      <c r="L132" s="4">
        <f>IF(A132="","",IF(D132=0,"Check target/activation",IF(AND(H132&gt;0,J132&lt;=0-H132),"Stop-loss hit - pause; fix creative/offer",IF(C132="Seed","P2 keep (seeding)",IF(I132&gt;=G132,"P2 hero - scale",IF(AND(B132="0→1 validate",F132&lt;50),"Learning - hold until ~50 conversions",IF(I132&gt;=G132*0.7,"P1 watch","P0 fix opening")))))))</f>
        <v/>
      </c>
    </row>
    <row r="133">
      <c r="D133" s="7" t="n"/>
      <c r="E133" s="7" t="n"/>
      <c r="G133" s="6" t="n"/>
      <c r="H133" s="7" t="n"/>
      <c r="I133" s="11">
        <f>IF(A133="","",IFERROR(E133/D133,0))</f>
        <v/>
      </c>
      <c r="J133" s="8">
        <f>IF(A133="","",IFERROR(E133/G133,0)-D133)</f>
        <v/>
      </c>
      <c r="K133" s="4">
        <f>IF(A133="","",IF(D133&gt;0,"Yes","No spend"))</f>
        <v/>
      </c>
      <c r="L133" s="4">
        <f>IF(A133="","",IF(D133=0,"Check target/activation",IF(AND(H133&gt;0,J133&lt;=0-H133),"Stop-loss hit - pause; fix creative/offer",IF(C133="Seed","P2 keep (seeding)",IF(I133&gt;=G133,"P2 hero - scale",IF(AND(B133="0→1 validate",F133&lt;50),"Learning - hold until ~50 conversions",IF(I133&gt;=G133*0.7,"P1 watch","P0 fix opening")))))))</f>
        <v/>
      </c>
    </row>
    <row r="134">
      <c r="D134" s="7" t="n"/>
      <c r="E134" s="7" t="n"/>
      <c r="G134" s="6" t="n"/>
      <c r="H134" s="7" t="n"/>
      <c r="I134" s="11">
        <f>IF(A134="","",IFERROR(E134/D134,0))</f>
        <v/>
      </c>
      <c r="J134" s="8">
        <f>IF(A134="","",IFERROR(E134/G134,0)-D134)</f>
        <v/>
      </c>
      <c r="K134" s="4">
        <f>IF(A134="","",IF(D134&gt;0,"Yes","No spend"))</f>
        <v/>
      </c>
      <c r="L134" s="4">
        <f>IF(A134="","",IF(D134=0,"Check target/activation",IF(AND(H134&gt;0,J134&lt;=0-H134),"Stop-loss hit - pause; fix creative/offer",IF(C134="Seed","P2 keep (seeding)",IF(I134&gt;=G134,"P2 hero - scale",IF(AND(B134="0→1 validate",F134&lt;50),"Learning - hold until ~50 conversions",IF(I134&gt;=G134*0.7,"P1 watch","P0 fix opening")))))))</f>
        <v/>
      </c>
    </row>
    <row r="135">
      <c r="D135" s="7" t="n"/>
      <c r="E135" s="7" t="n"/>
      <c r="G135" s="6" t="n"/>
      <c r="H135" s="7" t="n"/>
      <c r="I135" s="11">
        <f>IF(A135="","",IFERROR(E135/D135,0))</f>
        <v/>
      </c>
      <c r="J135" s="8">
        <f>IF(A135="","",IFERROR(E135/G135,0)-D135)</f>
        <v/>
      </c>
      <c r="K135" s="4">
        <f>IF(A135="","",IF(D135&gt;0,"Yes","No spend"))</f>
        <v/>
      </c>
      <c r="L135" s="4">
        <f>IF(A135="","",IF(D135=0,"Check target/activation",IF(AND(H135&gt;0,J135&lt;=0-H135),"Stop-loss hit - pause; fix creative/offer",IF(C135="Seed","P2 keep (seeding)",IF(I135&gt;=G135,"P2 hero - scale",IF(AND(B135="0→1 validate",F135&lt;50),"Learning - hold until ~50 conversions",IF(I135&gt;=G135*0.7,"P1 watch","P0 fix opening")))))))</f>
        <v/>
      </c>
    </row>
    <row r="136">
      <c r="D136" s="7" t="n"/>
      <c r="E136" s="7" t="n"/>
      <c r="G136" s="6" t="n"/>
      <c r="H136" s="7" t="n"/>
      <c r="I136" s="11">
        <f>IF(A136="","",IFERROR(E136/D136,0))</f>
        <v/>
      </c>
      <c r="J136" s="8">
        <f>IF(A136="","",IFERROR(E136/G136,0)-D136)</f>
        <v/>
      </c>
      <c r="K136" s="4">
        <f>IF(A136="","",IF(D136&gt;0,"Yes","No spend"))</f>
        <v/>
      </c>
      <c r="L136" s="4">
        <f>IF(A136="","",IF(D136=0,"Check target/activation",IF(AND(H136&gt;0,J136&lt;=0-H136),"Stop-loss hit - pause; fix creative/offer",IF(C136="Seed","P2 keep (seeding)",IF(I136&gt;=G136,"P2 hero - scale",IF(AND(B136="0→1 validate",F136&lt;50),"Learning - hold until ~50 conversions",IF(I136&gt;=G136*0.7,"P1 watch","P0 fix opening")))))))</f>
        <v/>
      </c>
    </row>
    <row r="137">
      <c r="D137" s="7" t="n"/>
      <c r="E137" s="7" t="n"/>
      <c r="G137" s="6" t="n"/>
      <c r="H137" s="7" t="n"/>
      <c r="I137" s="11">
        <f>IF(A137="","",IFERROR(E137/D137,0))</f>
        <v/>
      </c>
      <c r="J137" s="8">
        <f>IF(A137="","",IFERROR(E137/G137,0)-D137)</f>
        <v/>
      </c>
      <c r="K137" s="4">
        <f>IF(A137="","",IF(D137&gt;0,"Yes","No spend"))</f>
        <v/>
      </c>
      <c r="L137" s="4">
        <f>IF(A137="","",IF(D137=0,"Check target/activation",IF(AND(H137&gt;0,J137&lt;=0-H137),"Stop-loss hit - pause; fix creative/offer",IF(C137="Seed","P2 keep (seeding)",IF(I137&gt;=G137,"P2 hero - scale",IF(AND(B137="0→1 validate",F137&lt;50),"Learning - hold until ~50 conversions",IF(I137&gt;=G137*0.7,"P1 watch","P0 fix opening")))))))</f>
        <v/>
      </c>
    </row>
    <row r="138">
      <c r="D138" s="7" t="n"/>
      <c r="E138" s="7" t="n"/>
      <c r="G138" s="6" t="n"/>
      <c r="H138" s="7" t="n"/>
      <c r="I138" s="11">
        <f>IF(A138="","",IFERROR(E138/D138,0))</f>
        <v/>
      </c>
      <c r="J138" s="8">
        <f>IF(A138="","",IFERROR(E138/G138,0)-D138)</f>
        <v/>
      </c>
      <c r="K138" s="4">
        <f>IF(A138="","",IF(D138&gt;0,"Yes","No spend"))</f>
        <v/>
      </c>
      <c r="L138" s="4">
        <f>IF(A138="","",IF(D138=0,"Check target/activation",IF(AND(H138&gt;0,J138&lt;=0-H138),"Stop-loss hit - pause; fix creative/offer",IF(C138="Seed","P2 keep (seeding)",IF(I138&gt;=G138,"P2 hero - scale",IF(AND(B138="0→1 validate",F138&lt;50),"Learning - hold until ~50 conversions",IF(I138&gt;=G138*0.7,"P1 watch","P0 fix opening")))))))</f>
        <v/>
      </c>
    </row>
    <row r="139">
      <c r="D139" s="7" t="n"/>
      <c r="E139" s="7" t="n"/>
      <c r="G139" s="6" t="n"/>
      <c r="H139" s="7" t="n"/>
      <c r="I139" s="11">
        <f>IF(A139="","",IFERROR(E139/D139,0))</f>
        <v/>
      </c>
      <c r="J139" s="8">
        <f>IF(A139="","",IFERROR(E139/G139,0)-D139)</f>
        <v/>
      </c>
      <c r="K139" s="4">
        <f>IF(A139="","",IF(D139&gt;0,"Yes","No spend"))</f>
        <v/>
      </c>
      <c r="L139" s="4">
        <f>IF(A139="","",IF(D139=0,"Check target/activation",IF(AND(H139&gt;0,J139&lt;=0-H139),"Stop-loss hit - pause; fix creative/offer",IF(C139="Seed","P2 keep (seeding)",IF(I139&gt;=G139,"P2 hero - scale",IF(AND(B139="0→1 validate",F139&lt;50),"Learning - hold until ~50 conversions",IF(I139&gt;=G139*0.7,"P1 watch","P0 fix opening")))))))</f>
        <v/>
      </c>
    </row>
    <row r="140">
      <c r="D140" s="7" t="n"/>
      <c r="E140" s="7" t="n"/>
      <c r="G140" s="6" t="n"/>
      <c r="H140" s="7" t="n"/>
      <c r="I140" s="11">
        <f>IF(A140="","",IFERROR(E140/D140,0))</f>
        <v/>
      </c>
      <c r="J140" s="8">
        <f>IF(A140="","",IFERROR(E140/G140,0)-D140)</f>
        <v/>
      </c>
      <c r="K140" s="4">
        <f>IF(A140="","",IF(D140&gt;0,"Yes","No spend"))</f>
        <v/>
      </c>
      <c r="L140" s="4">
        <f>IF(A140="","",IF(D140=0,"Check target/activation",IF(AND(H140&gt;0,J140&lt;=0-H140),"Stop-loss hit - pause; fix creative/offer",IF(C140="Seed","P2 keep (seeding)",IF(I140&gt;=G140,"P2 hero - scale",IF(AND(B140="0→1 validate",F140&lt;50),"Learning - hold until ~50 conversions",IF(I140&gt;=G140*0.7,"P1 watch","P0 fix opening")))))))</f>
        <v/>
      </c>
    </row>
    <row r="141">
      <c r="D141" s="7" t="n"/>
      <c r="E141" s="7" t="n"/>
      <c r="G141" s="6" t="n"/>
      <c r="H141" s="7" t="n"/>
      <c r="I141" s="11">
        <f>IF(A141="","",IFERROR(E141/D141,0))</f>
        <v/>
      </c>
      <c r="J141" s="8">
        <f>IF(A141="","",IFERROR(E141/G141,0)-D141)</f>
        <v/>
      </c>
      <c r="K141" s="4">
        <f>IF(A141="","",IF(D141&gt;0,"Yes","No spend"))</f>
        <v/>
      </c>
      <c r="L141" s="4">
        <f>IF(A141="","",IF(D141=0,"Check target/activation",IF(AND(H141&gt;0,J141&lt;=0-H141),"Stop-loss hit - pause; fix creative/offer",IF(C141="Seed","P2 keep (seeding)",IF(I141&gt;=G141,"P2 hero - scale",IF(AND(B141="0→1 validate",F141&lt;50),"Learning - hold until ~50 conversions",IF(I141&gt;=G141*0.7,"P1 watch","P0 fix opening")))))))</f>
        <v/>
      </c>
    </row>
    <row r="142">
      <c r="D142" s="7" t="n"/>
      <c r="E142" s="7" t="n"/>
      <c r="G142" s="6" t="n"/>
      <c r="H142" s="7" t="n"/>
      <c r="I142" s="11">
        <f>IF(A142="","",IFERROR(E142/D142,0))</f>
        <v/>
      </c>
      <c r="J142" s="8">
        <f>IF(A142="","",IFERROR(E142/G142,0)-D142)</f>
        <v/>
      </c>
      <c r="K142" s="4">
        <f>IF(A142="","",IF(D142&gt;0,"Yes","No spend"))</f>
        <v/>
      </c>
      <c r="L142" s="4">
        <f>IF(A142="","",IF(D142=0,"Check target/activation",IF(AND(H142&gt;0,J142&lt;=0-H142),"Stop-loss hit - pause; fix creative/offer",IF(C142="Seed","P2 keep (seeding)",IF(I142&gt;=G142,"P2 hero - scale",IF(AND(B142="0→1 validate",F142&lt;50),"Learning - hold until ~50 conversions",IF(I142&gt;=G142*0.7,"P1 watch","P0 fix opening")))))))</f>
        <v/>
      </c>
    </row>
    <row r="143">
      <c r="D143" s="7" t="n"/>
      <c r="E143" s="7" t="n"/>
      <c r="G143" s="6" t="n"/>
      <c r="H143" s="7" t="n"/>
      <c r="I143" s="11">
        <f>IF(A143="","",IFERROR(E143/D143,0))</f>
        <v/>
      </c>
      <c r="J143" s="8">
        <f>IF(A143="","",IFERROR(E143/G143,0)-D143)</f>
        <v/>
      </c>
      <c r="K143" s="4">
        <f>IF(A143="","",IF(D143&gt;0,"Yes","No spend"))</f>
        <v/>
      </c>
      <c r="L143" s="4">
        <f>IF(A143="","",IF(D143=0,"Check target/activation",IF(AND(H143&gt;0,J143&lt;=0-H143),"Stop-loss hit - pause; fix creative/offer",IF(C143="Seed","P2 keep (seeding)",IF(I143&gt;=G143,"P2 hero - scale",IF(AND(B143="0→1 validate",F143&lt;50),"Learning - hold until ~50 conversions",IF(I143&gt;=G143*0.7,"P1 watch","P0 fix opening")))))))</f>
        <v/>
      </c>
    </row>
    <row r="144">
      <c r="D144" s="7" t="n"/>
      <c r="E144" s="7" t="n"/>
      <c r="G144" s="6" t="n"/>
      <c r="H144" s="7" t="n"/>
      <c r="I144" s="11">
        <f>IF(A144="","",IFERROR(E144/D144,0))</f>
        <v/>
      </c>
      <c r="J144" s="8">
        <f>IF(A144="","",IFERROR(E144/G144,0)-D144)</f>
        <v/>
      </c>
      <c r="K144" s="4">
        <f>IF(A144="","",IF(D144&gt;0,"Yes","No spend"))</f>
        <v/>
      </c>
      <c r="L144" s="4">
        <f>IF(A144="","",IF(D144=0,"Check target/activation",IF(AND(H144&gt;0,J144&lt;=0-H144),"Stop-loss hit - pause; fix creative/offer",IF(C144="Seed","P2 keep (seeding)",IF(I144&gt;=G144,"P2 hero - scale",IF(AND(B144="0→1 validate",F144&lt;50),"Learning - hold until ~50 conversions",IF(I144&gt;=G144*0.7,"P1 watch","P0 fix opening")))))))</f>
        <v/>
      </c>
    </row>
    <row r="145">
      <c r="D145" s="7" t="n"/>
      <c r="E145" s="7" t="n"/>
      <c r="G145" s="6" t="n"/>
      <c r="H145" s="7" t="n"/>
      <c r="I145" s="11">
        <f>IF(A145="","",IFERROR(E145/D145,0))</f>
        <v/>
      </c>
      <c r="J145" s="8">
        <f>IF(A145="","",IFERROR(E145/G145,0)-D145)</f>
        <v/>
      </c>
      <c r="K145" s="4">
        <f>IF(A145="","",IF(D145&gt;0,"Yes","No spend"))</f>
        <v/>
      </c>
      <c r="L145" s="4">
        <f>IF(A145="","",IF(D145=0,"Check target/activation",IF(AND(H145&gt;0,J145&lt;=0-H145),"Stop-loss hit - pause; fix creative/offer",IF(C145="Seed","P2 keep (seeding)",IF(I145&gt;=G145,"P2 hero - scale",IF(AND(B145="0→1 validate",F145&lt;50),"Learning - hold until ~50 conversions",IF(I145&gt;=G145*0.7,"P1 watch","P0 fix opening")))))))</f>
        <v/>
      </c>
    </row>
    <row r="146">
      <c r="D146" s="7" t="n"/>
      <c r="E146" s="7" t="n"/>
      <c r="G146" s="6" t="n"/>
      <c r="H146" s="7" t="n"/>
      <c r="I146" s="11">
        <f>IF(A146="","",IFERROR(E146/D146,0))</f>
        <v/>
      </c>
      <c r="J146" s="8">
        <f>IF(A146="","",IFERROR(E146/G146,0)-D146)</f>
        <v/>
      </c>
      <c r="K146" s="4">
        <f>IF(A146="","",IF(D146&gt;0,"Yes","No spend"))</f>
        <v/>
      </c>
      <c r="L146" s="4">
        <f>IF(A146="","",IF(D146=0,"Check target/activation",IF(AND(H146&gt;0,J146&lt;=0-H146),"Stop-loss hit - pause; fix creative/offer",IF(C146="Seed","P2 keep (seeding)",IF(I146&gt;=G146,"P2 hero - scale",IF(AND(B146="0→1 validate",F146&lt;50),"Learning - hold until ~50 conversions",IF(I146&gt;=G146*0.7,"P1 watch","P0 fix opening")))))))</f>
        <v/>
      </c>
    </row>
    <row r="147">
      <c r="D147" s="7" t="n"/>
      <c r="E147" s="7" t="n"/>
      <c r="G147" s="6" t="n"/>
      <c r="H147" s="7" t="n"/>
      <c r="I147" s="11">
        <f>IF(A147="","",IFERROR(E147/D147,0))</f>
        <v/>
      </c>
      <c r="J147" s="8">
        <f>IF(A147="","",IFERROR(E147/G147,0)-D147)</f>
        <v/>
      </c>
      <c r="K147" s="4">
        <f>IF(A147="","",IF(D147&gt;0,"Yes","No spend"))</f>
        <v/>
      </c>
      <c r="L147" s="4">
        <f>IF(A147="","",IF(D147=0,"Check target/activation",IF(AND(H147&gt;0,J147&lt;=0-H147),"Stop-loss hit - pause; fix creative/offer",IF(C147="Seed","P2 keep (seeding)",IF(I147&gt;=G147,"P2 hero - scale",IF(AND(B147="0→1 validate",F147&lt;50),"Learning - hold until ~50 conversions",IF(I147&gt;=G147*0.7,"P1 watch","P0 fix opening")))))))</f>
        <v/>
      </c>
    </row>
    <row r="148">
      <c r="D148" s="7" t="n"/>
      <c r="E148" s="7" t="n"/>
      <c r="G148" s="6" t="n"/>
      <c r="H148" s="7" t="n"/>
      <c r="I148" s="11">
        <f>IF(A148="","",IFERROR(E148/D148,0))</f>
        <v/>
      </c>
      <c r="J148" s="8">
        <f>IF(A148="","",IFERROR(E148/G148,0)-D148)</f>
        <v/>
      </c>
      <c r="K148" s="4">
        <f>IF(A148="","",IF(D148&gt;0,"Yes","No spend"))</f>
        <v/>
      </c>
      <c r="L148" s="4">
        <f>IF(A148="","",IF(D148=0,"Check target/activation",IF(AND(H148&gt;0,J148&lt;=0-H148),"Stop-loss hit - pause; fix creative/offer",IF(C148="Seed","P2 keep (seeding)",IF(I148&gt;=G148,"P2 hero - scale",IF(AND(B148="0→1 validate",F148&lt;50),"Learning - hold until ~50 conversions",IF(I148&gt;=G148*0.7,"P1 watch","P0 fix opening")))))))</f>
        <v/>
      </c>
    </row>
    <row r="149">
      <c r="D149" s="7" t="n"/>
      <c r="E149" s="7" t="n"/>
      <c r="G149" s="6" t="n"/>
      <c r="H149" s="7" t="n"/>
      <c r="I149" s="11">
        <f>IF(A149="","",IFERROR(E149/D149,0))</f>
        <v/>
      </c>
      <c r="J149" s="8">
        <f>IF(A149="","",IFERROR(E149/G149,0)-D149)</f>
        <v/>
      </c>
      <c r="K149" s="4">
        <f>IF(A149="","",IF(D149&gt;0,"Yes","No spend"))</f>
        <v/>
      </c>
      <c r="L149" s="4">
        <f>IF(A149="","",IF(D149=0,"Check target/activation",IF(AND(H149&gt;0,J149&lt;=0-H149),"Stop-loss hit - pause; fix creative/offer",IF(C149="Seed","P2 keep (seeding)",IF(I149&gt;=G149,"P2 hero - scale",IF(AND(B149="0→1 validate",F149&lt;50),"Learning - hold until ~50 conversions",IF(I149&gt;=G149*0.7,"P1 watch","P0 fix opening")))))))</f>
        <v/>
      </c>
    </row>
    <row r="150">
      <c r="D150" s="7" t="n"/>
      <c r="E150" s="7" t="n"/>
      <c r="G150" s="6" t="n"/>
      <c r="H150" s="7" t="n"/>
      <c r="I150" s="11">
        <f>IF(A150="","",IFERROR(E150/D150,0))</f>
        <v/>
      </c>
      <c r="J150" s="8">
        <f>IF(A150="","",IFERROR(E150/G150,0)-D150)</f>
        <v/>
      </c>
      <c r="K150" s="4">
        <f>IF(A150="","",IF(D150&gt;0,"Yes","No spend"))</f>
        <v/>
      </c>
      <c r="L150" s="4">
        <f>IF(A150="","",IF(D150=0,"Check target/activation",IF(AND(H150&gt;0,J150&lt;=0-H150),"Stop-loss hit - pause; fix creative/offer",IF(C150="Seed","P2 keep (seeding)",IF(I150&gt;=G150,"P2 hero - scale",IF(AND(B150="0→1 validate",F150&lt;50),"Learning - hold until ~50 conversions",IF(I150&gt;=G150*0.7,"P1 watch","P0 fix opening")))))))</f>
        <v/>
      </c>
    </row>
    <row r="151">
      <c r="D151" s="7" t="n"/>
      <c r="E151" s="7" t="n"/>
      <c r="G151" s="6" t="n"/>
      <c r="H151" s="7" t="n"/>
      <c r="I151" s="11">
        <f>IF(A151="","",IFERROR(E151/D151,0))</f>
        <v/>
      </c>
      <c r="J151" s="8">
        <f>IF(A151="","",IFERROR(E151/G151,0)-D151)</f>
        <v/>
      </c>
      <c r="K151" s="4">
        <f>IF(A151="","",IF(D151&gt;0,"Yes","No spend"))</f>
        <v/>
      </c>
      <c r="L151" s="4">
        <f>IF(A151="","",IF(D151=0,"Check target/activation",IF(AND(H151&gt;0,J151&lt;=0-H151),"Stop-loss hit - pause; fix creative/offer",IF(C151="Seed","P2 keep (seeding)",IF(I151&gt;=G151,"P2 hero - scale",IF(AND(B151="0→1 validate",F151&lt;50),"Learning - hold until ~50 conversions",IF(I151&gt;=G151*0.7,"P1 watch","P0 fix opening")))))))</f>
        <v/>
      </c>
    </row>
    <row r="152">
      <c r="D152" s="7" t="n"/>
      <c r="E152" s="7" t="n"/>
      <c r="G152" s="6" t="n"/>
      <c r="H152" s="7" t="n"/>
      <c r="I152" s="11">
        <f>IF(A152="","",IFERROR(E152/D152,0))</f>
        <v/>
      </c>
      <c r="J152" s="8">
        <f>IF(A152="","",IFERROR(E152/G152,0)-D152)</f>
        <v/>
      </c>
      <c r="K152" s="4">
        <f>IF(A152="","",IF(D152&gt;0,"Yes","No spend"))</f>
        <v/>
      </c>
      <c r="L152" s="4">
        <f>IF(A152="","",IF(D152=0,"Check target/activation",IF(AND(H152&gt;0,J152&lt;=0-H152),"Stop-loss hit - pause; fix creative/offer",IF(C152="Seed","P2 keep (seeding)",IF(I152&gt;=G152,"P2 hero - scale",IF(AND(B152="0→1 validate",F152&lt;50),"Learning - hold until ~50 conversions",IF(I152&gt;=G152*0.7,"P1 watch","P0 fix opening")))))))</f>
        <v/>
      </c>
    </row>
    <row r="153">
      <c r="D153" s="7" t="n"/>
      <c r="E153" s="7" t="n"/>
      <c r="G153" s="6" t="n"/>
      <c r="H153" s="7" t="n"/>
      <c r="I153" s="11">
        <f>IF(A153="","",IFERROR(E153/D153,0))</f>
        <v/>
      </c>
      <c r="J153" s="8">
        <f>IF(A153="","",IFERROR(E153/G153,0)-D153)</f>
        <v/>
      </c>
      <c r="K153" s="4">
        <f>IF(A153="","",IF(D153&gt;0,"Yes","No spend"))</f>
        <v/>
      </c>
      <c r="L153" s="4">
        <f>IF(A153="","",IF(D153=0,"Check target/activation",IF(AND(H153&gt;0,J153&lt;=0-H153),"Stop-loss hit - pause; fix creative/offer",IF(C153="Seed","P2 keep (seeding)",IF(I153&gt;=G153,"P2 hero - scale",IF(AND(B153="0→1 validate",F153&lt;50),"Learning - hold until ~50 conversions",IF(I153&gt;=G153*0.7,"P1 watch","P0 fix opening")))))))</f>
        <v/>
      </c>
    </row>
    <row r="154">
      <c r="D154" s="7" t="n"/>
      <c r="E154" s="7" t="n"/>
      <c r="G154" s="6" t="n"/>
      <c r="H154" s="7" t="n"/>
      <c r="I154" s="11">
        <f>IF(A154="","",IFERROR(E154/D154,0))</f>
        <v/>
      </c>
      <c r="J154" s="8">
        <f>IF(A154="","",IFERROR(E154/G154,0)-D154)</f>
        <v/>
      </c>
      <c r="K154" s="4">
        <f>IF(A154="","",IF(D154&gt;0,"Yes","No spend"))</f>
        <v/>
      </c>
      <c r="L154" s="4">
        <f>IF(A154="","",IF(D154=0,"Check target/activation",IF(AND(H154&gt;0,J154&lt;=0-H154),"Stop-loss hit - pause; fix creative/offer",IF(C154="Seed","P2 keep (seeding)",IF(I154&gt;=G154,"P2 hero - scale",IF(AND(B154="0→1 validate",F154&lt;50),"Learning - hold until ~50 conversions",IF(I154&gt;=G154*0.7,"P1 watch","P0 fix opening")))))))</f>
        <v/>
      </c>
    </row>
    <row r="155">
      <c r="D155" s="7" t="n"/>
      <c r="E155" s="7" t="n"/>
      <c r="G155" s="6" t="n"/>
      <c r="H155" s="7" t="n"/>
      <c r="I155" s="11">
        <f>IF(A155="","",IFERROR(E155/D155,0))</f>
        <v/>
      </c>
      <c r="J155" s="8">
        <f>IF(A155="","",IFERROR(E155/G155,0)-D155)</f>
        <v/>
      </c>
      <c r="K155" s="4">
        <f>IF(A155="","",IF(D155&gt;0,"Yes","No spend"))</f>
        <v/>
      </c>
      <c r="L155" s="4">
        <f>IF(A155="","",IF(D155=0,"Check target/activation",IF(AND(H155&gt;0,J155&lt;=0-H155),"Stop-loss hit - pause; fix creative/offer",IF(C155="Seed","P2 keep (seeding)",IF(I155&gt;=G155,"P2 hero - scale",IF(AND(B155="0→1 validate",F155&lt;50),"Learning - hold until ~50 conversions",IF(I155&gt;=G155*0.7,"P1 watch","P0 fix opening")))))))</f>
        <v/>
      </c>
    </row>
    <row r="156">
      <c r="D156" s="7" t="n"/>
      <c r="E156" s="7" t="n"/>
      <c r="G156" s="6" t="n"/>
      <c r="H156" s="7" t="n"/>
      <c r="I156" s="11">
        <f>IF(A156="","",IFERROR(E156/D156,0))</f>
        <v/>
      </c>
      <c r="J156" s="8">
        <f>IF(A156="","",IFERROR(E156/G156,0)-D156)</f>
        <v/>
      </c>
      <c r="K156" s="4">
        <f>IF(A156="","",IF(D156&gt;0,"Yes","No spend"))</f>
        <v/>
      </c>
      <c r="L156" s="4">
        <f>IF(A156="","",IF(D156=0,"Check target/activation",IF(AND(H156&gt;0,J156&lt;=0-H156),"Stop-loss hit - pause; fix creative/offer",IF(C156="Seed","P2 keep (seeding)",IF(I156&gt;=G156,"P2 hero - scale",IF(AND(B156="0→1 validate",F156&lt;50),"Learning - hold until ~50 conversions",IF(I156&gt;=G156*0.7,"P1 watch","P0 fix opening")))))))</f>
        <v/>
      </c>
    </row>
    <row r="157">
      <c r="D157" s="7" t="n"/>
      <c r="E157" s="7" t="n"/>
      <c r="G157" s="6" t="n"/>
      <c r="H157" s="7" t="n"/>
      <c r="I157" s="11">
        <f>IF(A157="","",IFERROR(E157/D157,0))</f>
        <v/>
      </c>
      <c r="J157" s="8">
        <f>IF(A157="","",IFERROR(E157/G157,0)-D157)</f>
        <v/>
      </c>
      <c r="K157" s="4">
        <f>IF(A157="","",IF(D157&gt;0,"Yes","No spend"))</f>
        <v/>
      </c>
      <c r="L157" s="4">
        <f>IF(A157="","",IF(D157=0,"Check target/activation",IF(AND(H157&gt;0,J157&lt;=0-H157),"Stop-loss hit - pause; fix creative/offer",IF(C157="Seed","P2 keep (seeding)",IF(I157&gt;=G157,"P2 hero - scale",IF(AND(B157="0→1 validate",F157&lt;50),"Learning - hold until ~50 conversions",IF(I157&gt;=G157*0.7,"P1 watch","P0 fix opening")))))))</f>
        <v/>
      </c>
    </row>
    <row r="158">
      <c r="D158" s="7" t="n"/>
      <c r="E158" s="7" t="n"/>
      <c r="G158" s="6" t="n"/>
      <c r="H158" s="7" t="n"/>
      <c r="I158" s="11">
        <f>IF(A158="","",IFERROR(E158/D158,0))</f>
        <v/>
      </c>
      <c r="J158" s="8">
        <f>IF(A158="","",IFERROR(E158/G158,0)-D158)</f>
        <v/>
      </c>
      <c r="K158" s="4">
        <f>IF(A158="","",IF(D158&gt;0,"Yes","No spend"))</f>
        <v/>
      </c>
      <c r="L158" s="4">
        <f>IF(A158="","",IF(D158=0,"Check target/activation",IF(AND(H158&gt;0,J158&lt;=0-H158),"Stop-loss hit - pause; fix creative/offer",IF(C158="Seed","P2 keep (seeding)",IF(I158&gt;=G158,"P2 hero - scale",IF(AND(B158="0→1 validate",F158&lt;50),"Learning - hold until ~50 conversions",IF(I158&gt;=G158*0.7,"P1 watch","P0 fix opening")))))))</f>
        <v/>
      </c>
    </row>
    <row r="159">
      <c r="D159" s="7" t="n"/>
      <c r="E159" s="7" t="n"/>
      <c r="G159" s="6" t="n"/>
      <c r="H159" s="7" t="n"/>
      <c r="I159" s="11">
        <f>IF(A159="","",IFERROR(E159/D159,0))</f>
        <v/>
      </c>
      <c r="J159" s="8">
        <f>IF(A159="","",IFERROR(E159/G159,0)-D159)</f>
        <v/>
      </c>
      <c r="K159" s="4">
        <f>IF(A159="","",IF(D159&gt;0,"Yes","No spend"))</f>
        <v/>
      </c>
      <c r="L159" s="4">
        <f>IF(A159="","",IF(D159=0,"Check target/activation",IF(AND(H159&gt;0,J159&lt;=0-H159),"Stop-loss hit - pause; fix creative/offer",IF(C159="Seed","P2 keep (seeding)",IF(I159&gt;=G159,"P2 hero - scale",IF(AND(B159="0→1 validate",F159&lt;50),"Learning - hold until ~50 conversions",IF(I159&gt;=G159*0.7,"P1 watch","P0 fix opening")))))))</f>
        <v/>
      </c>
    </row>
    <row r="160">
      <c r="D160" s="7" t="n"/>
      <c r="E160" s="7" t="n"/>
      <c r="G160" s="6" t="n"/>
      <c r="H160" s="7" t="n"/>
      <c r="I160" s="11">
        <f>IF(A160="","",IFERROR(E160/D160,0))</f>
        <v/>
      </c>
      <c r="J160" s="8">
        <f>IF(A160="","",IFERROR(E160/G160,0)-D160)</f>
        <v/>
      </c>
      <c r="K160" s="4">
        <f>IF(A160="","",IF(D160&gt;0,"Yes","No spend"))</f>
        <v/>
      </c>
      <c r="L160" s="4">
        <f>IF(A160="","",IF(D160=0,"Check target/activation",IF(AND(H160&gt;0,J160&lt;=0-H160),"Stop-loss hit - pause; fix creative/offer",IF(C160="Seed","P2 keep (seeding)",IF(I160&gt;=G160,"P2 hero - scale",IF(AND(B160="0→1 validate",F160&lt;50),"Learning - hold until ~50 conversions",IF(I160&gt;=G160*0.7,"P1 watch","P0 fix opening")))))))</f>
        <v/>
      </c>
    </row>
    <row r="161">
      <c r="D161" s="7" t="n"/>
      <c r="E161" s="7" t="n"/>
      <c r="G161" s="6" t="n"/>
      <c r="H161" s="7" t="n"/>
      <c r="I161" s="11">
        <f>IF(A161="","",IFERROR(E161/D161,0))</f>
        <v/>
      </c>
      <c r="J161" s="8">
        <f>IF(A161="","",IFERROR(E161/G161,0)-D161)</f>
        <v/>
      </c>
      <c r="K161" s="4">
        <f>IF(A161="","",IF(D161&gt;0,"Yes","No spend"))</f>
        <v/>
      </c>
      <c r="L161" s="4">
        <f>IF(A161="","",IF(D161=0,"Check target/activation",IF(AND(H161&gt;0,J161&lt;=0-H161),"Stop-loss hit - pause; fix creative/offer",IF(C161="Seed","P2 keep (seeding)",IF(I161&gt;=G161,"P2 hero - scale",IF(AND(B161="0→1 validate",F161&lt;50),"Learning - hold until ~50 conversions",IF(I161&gt;=G161*0.7,"P1 watch","P0 fix opening")))))))</f>
        <v/>
      </c>
    </row>
    <row r="162">
      <c r="D162" s="7" t="n"/>
      <c r="E162" s="7" t="n"/>
      <c r="G162" s="6" t="n"/>
      <c r="H162" s="7" t="n"/>
      <c r="I162" s="11">
        <f>IF(A162="","",IFERROR(E162/D162,0))</f>
        <v/>
      </c>
      <c r="J162" s="8">
        <f>IF(A162="","",IFERROR(E162/G162,0)-D162)</f>
        <v/>
      </c>
      <c r="K162" s="4">
        <f>IF(A162="","",IF(D162&gt;0,"Yes","No spend"))</f>
        <v/>
      </c>
      <c r="L162" s="4">
        <f>IF(A162="","",IF(D162=0,"Check target/activation",IF(AND(H162&gt;0,J162&lt;=0-H162),"Stop-loss hit - pause; fix creative/offer",IF(C162="Seed","P2 keep (seeding)",IF(I162&gt;=G162,"P2 hero - scale",IF(AND(B162="0→1 validate",F162&lt;50),"Learning - hold until ~50 conversions",IF(I162&gt;=G162*0.7,"P1 watch","P0 fix opening")))))))</f>
        <v/>
      </c>
    </row>
    <row r="163">
      <c r="D163" s="7" t="n"/>
      <c r="E163" s="7" t="n"/>
      <c r="G163" s="6" t="n"/>
      <c r="H163" s="7" t="n"/>
      <c r="I163" s="11">
        <f>IF(A163="","",IFERROR(E163/D163,0))</f>
        <v/>
      </c>
      <c r="J163" s="8">
        <f>IF(A163="","",IFERROR(E163/G163,0)-D163)</f>
        <v/>
      </c>
      <c r="K163" s="4">
        <f>IF(A163="","",IF(D163&gt;0,"Yes","No spend"))</f>
        <v/>
      </c>
      <c r="L163" s="4">
        <f>IF(A163="","",IF(D163=0,"Check target/activation",IF(AND(H163&gt;0,J163&lt;=0-H163),"Stop-loss hit - pause; fix creative/offer",IF(C163="Seed","P2 keep (seeding)",IF(I163&gt;=G163,"P2 hero - scale",IF(AND(B163="0→1 validate",F163&lt;50),"Learning - hold until ~50 conversions",IF(I163&gt;=G163*0.7,"P1 watch","P0 fix opening")))))))</f>
        <v/>
      </c>
    </row>
    <row r="164">
      <c r="D164" s="7" t="n"/>
      <c r="E164" s="7" t="n"/>
      <c r="G164" s="6" t="n"/>
      <c r="H164" s="7" t="n"/>
      <c r="I164" s="11">
        <f>IF(A164="","",IFERROR(E164/D164,0))</f>
        <v/>
      </c>
      <c r="J164" s="8">
        <f>IF(A164="","",IFERROR(E164/G164,0)-D164)</f>
        <v/>
      </c>
      <c r="K164" s="4">
        <f>IF(A164="","",IF(D164&gt;0,"Yes","No spend"))</f>
        <v/>
      </c>
      <c r="L164" s="4">
        <f>IF(A164="","",IF(D164=0,"Check target/activation",IF(AND(H164&gt;0,J164&lt;=0-H164),"Stop-loss hit - pause; fix creative/offer",IF(C164="Seed","P2 keep (seeding)",IF(I164&gt;=G164,"P2 hero - scale",IF(AND(B164="0→1 validate",F164&lt;50),"Learning - hold until ~50 conversions",IF(I164&gt;=G164*0.7,"P1 watch","P0 fix opening")))))))</f>
        <v/>
      </c>
    </row>
    <row r="165">
      <c r="D165" s="7" t="n"/>
      <c r="E165" s="7" t="n"/>
      <c r="G165" s="6" t="n"/>
      <c r="H165" s="7" t="n"/>
      <c r="I165" s="11">
        <f>IF(A165="","",IFERROR(E165/D165,0))</f>
        <v/>
      </c>
      <c r="J165" s="8">
        <f>IF(A165="","",IFERROR(E165/G165,0)-D165)</f>
        <v/>
      </c>
      <c r="K165" s="4">
        <f>IF(A165="","",IF(D165&gt;0,"Yes","No spend"))</f>
        <v/>
      </c>
      <c r="L165" s="4">
        <f>IF(A165="","",IF(D165=0,"Check target/activation",IF(AND(H165&gt;0,J165&lt;=0-H165),"Stop-loss hit - pause; fix creative/offer",IF(C165="Seed","P2 keep (seeding)",IF(I165&gt;=G165,"P2 hero - scale",IF(AND(B165="0→1 validate",F165&lt;50),"Learning - hold until ~50 conversions",IF(I165&gt;=G165*0.7,"P1 watch","P0 fix opening")))))))</f>
        <v/>
      </c>
    </row>
    <row r="166">
      <c r="D166" s="7" t="n"/>
      <c r="E166" s="7" t="n"/>
      <c r="G166" s="6" t="n"/>
      <c r="H166" s="7" t="n"/>
      <c r="I166" s="11">
        <f>IF(A166="","",IFERROR(E166/D166,0))</f>
        <v/>
      </c>
      <c r="J166" s="8">
        <f>IF(A166="","",IFERROR(E166/G166,0)-D166)</f>
        <v/>
      </c>
      <c r="K166" s="4">
        <f>IF(A166="","",IF(D166&gt;0,"Yes","No spend"))</f>
        <v/>
      </c>
      <c r="L166" s="4">
        <f>IF(A166="","",IF(D166=0,"Check target/activation",IF(AND(H166&gt;0,J166&lt;=0-H166),"Stop-loss hit - pause; fix creative/offer",IF(C166="Seed","P2 keep (seeding)",IF(I166&gt;=G166,"P2 hero - scale",IF(AND(B166="0→1 validate",F166&lt;50),"Learning - hold until ~50 conversions",IF(I166&gt;=G166*0.7,"P1 watch","P0 fix opening")))))))</f>
        <v/>
      </c>
    </row>
    <row r="167">
      <c r="D167" s="7" t="n"/>
      <c r="E167" s="7" t="n"/>
      <c r="G167" s="6" t="n"/>
      <c r="H167" s="7" t="n"/>
      <c r="I167" s="11">
        <f>IF(A167="","",IFERROR(E167/D167,0))</f>
        <v/>
      </c>
      <c r="J167" s="8">
        <f>IF(A167="","",IFERROR(E167/G167,0)-D167)</f>
        <v/>
      </c>
      <c r="K167" s="4">
        <f>IF(A167="","",IF(D167&gt;0,"Yes","No spend"))</f>
        <v/>
      </c>
      <c r="L167" s="4">
        <f>IF(A167="","",IF(D167=0,"Check target/activation",IF(AND(H167&gt;0,J167&lt;=0-H167),"Stop-loss hit - pause; fix creative/offer",IF(C167="Seed","P2 keep (seeding)",IF(I167&gt;=G167,"P2 hero - scale",IF(AND(B167="0→1 validate",F167&lt;50),"Learning - hold until ~50 conversions",IF(I167&gt;=G167*0.7,"P1 watch","P0 fix opening")))))))</f>
        <v/>
      </c>
    </row>
    <row r="168">
      <c r="D168" s="7" t="n"/>
      <c r="E168" s="7" t="n"/>
      <c r="G168" s="6" t="n"/>
      <c r="H168" s="7" t="n"/>
      <c r="I168" s="11">
        <f>IF(A168="","",IFERROR(E168/D168,0))</f>
        <v/>
      </c>
      <c r="J168" s="8">
        <f>IF(A168="","",IFERROR(E168/G168,0)-D168)</f>
        <v/>
      </c>
      <c r="K168" s="4">
        <f>IF(A168="","",IF(D168&gt;0,"Yes","No spend"))</f>
        <v/>
      </c>
      <c r="L168" s="4">
        <f>IF(A168="","",IF(D168=0,"Check target/activation",IF(AND(H168&gt;0,J168&lt;=0-H168),"Stop-loss hit - pause; fix creative/offer",IF(C168="Seed","P2 keep (seeding)",IF(I168&gt;=G168,"P2 hero - scale",IF(AND(B168="0→1 validate",F168&lt;50),"Learning - hold until ~50 conversions",IF(I168&gt;=G168*0.7,"P1 watch","P0 fix opening")))))))</f>
        <v/>
      </c>
    </row>
    <row r="169">
      <c r="D169" s="7" t="n"/>
      <c r="E169" s="7" t="n"/>
      <c r="G169" s="6" t="n"/>
      <c r="H169" s="7" t="n"/>
      <c r="I169" s="11">
        <f>IF(A169="","",IFERROR(E169/D169,0))</f>
        <v/>
      </c>
      <c r="J169" s="8">
        <f>IF(A169="","",IFERROR(E169/G169,0)-D169)</f>
        <v/>
      </c>
      <c r="K169" s="4">
        <f>IF(A169="","",IF(D169&gt;0,"Yes","No spend"))</f>
        <v/>
      </c>
      <c r="L169" s="4">
        <f>IF(A169="","",IF(D169=0,"Check target/activation",IF(AND(H169&gt;0,J169&lt;=0-H169),"Stop-loss hit - pause; fix creative/offer",IF(C169="Seed","P2 keep (seeding)",IF(I169&gt;=G169,"P2 hero - scale",IF(AND(B169="0→1 validate",F169&lt;50),"Learning - hold until ~50 conversions",IF(I169&gt;=G169*0.7,"P1 watch","P0 fix opening")))))))</f>
        <v/>
      </c>
    </row>
    <row r="170">
      <c r="D170" s="7" t="n"/>
      <c r="E170" s="7" t="n"/>
      <c r="G170" s="6" t="n"/>
      <c r="H170" s="7" t="n"/>
      <c r="I170" s="11">
        <f>IF(A170="","",IFERROR(E170/D170,0))</f>
        <v/>
      </c>
      <c r="J170" s="8">
        <f>IF(A170="","",IFERROR(E170/G170,0)-D170)</f>
        <v/>
      </c>
      <c r="K170" s="4">
        <f>IF(A170="","",IF(D170&gt;0,"Yes","No spend"))</f>
        <v/>
      </c>
      <c r="L170" s="4">
        <f>IF(A170="","",IF(D170=0,"Check target/activation",IF(AND(H170&gt;0,J170&lt;=0-H170),"Stop-loss hit - pause; fix creative/offer",IF(C170="Seed","P2 keep (seeding)",IF(I170&gt;=G170,"P2 hero - scale",IF(AND(B170="0→1 validate",F170&lt;50),"Learning - hold until ~50 conversions",IF(I170&gt;=G170*0.7,"P1 watch","P0 fix opening")))))))</f>
        <v/>
      </c>
    </row>
    <row r="171">
      <c r="D171" s="7" t="n"/>
      <c r="E171" s="7" t="n"/>
      <c r="G171" s="6" t="n"/>
      <c r="H171" s="7" t="n"/>
      <c r="I171" s="11">
        <f>IF(A171="","",IFERROR(E171/D171,0))</f>
        <v/>
      </c>
      <c r="J171" s="8">
        <f>IF(A171="","",IFERROR(E171/G171,0)-D171)</f>
        <v/>
      </c>
      <c r="K171" s="4">
        <f>IF(A171="","",IF(D171&gt;0,"Yes","No spend"))</f>
        <v/>
      </c>
      <c r="L171" s="4">
        <f>IF(A171="","",IF(D171=0,"Check target/activation",IF(AND(H171&gt;0,J171&lt;=0-H171),"Stop-loss hit - pause; fix creative/offer",IF(C171="Seed","P2 keep (seeding)",IF(I171&gt;=G171,"P2 hero - scale",IF(AND(B171="0→1 validate",F171&lt;50),"Learning - hold until ~50 conversions",IF(I171&gt;=G171*0.7,"P1 watch","P0 fix opening")))))))</f>
        <v/>
      </c>
    </row>
    <row r="172">
      <c r="D172" s="7" t="n"/>
      <c r="E172" s="7" t="n"/>
      <c r="G172" s="6" t="n"/>
      <c r="H172" s="7" t="n"/>
      <c r="I172" s="11">
        <f>IF(A172="","",IFERROR(E172/D172,0))</f>
        <v/>
      </c>
      <c r="J172" s="8">
        <f>IF(A172="","",IFERROR(E172/G172,0)-D172)</f>
        <v/>
      </c>
      <c r="K172" s="4">
        <f>IF(A172="","",IF(D172&gt;0,"Yes","No spend"))</f>
        <v/>
      </c>
      <c r="L172" s="4">
        <f>IF(A172="","",IF(D172=0,"Check target/activation",IF(AND(H172&gt;0,J172&lt;=0-H172),"Stop-loss hit - pause; fix creative/offer",IF(C172="Seed","P2 keep (seeding)",IF(I172&gt;=G172,"P2 hero - scale",IF(AND(B172="0→1 validate",F172&lt;50),"Learning - hold until ~50 conversions",IF(I172&gt;=G172*0.7,"P1 watch","P0 fix opening")))))))</f>
        <v/>
      </c>
    </row>
    <row r="173">
      <c r="D173" s="7" t="n"/>
      <c r="E173" s="7" t="n"/>
      <c r="G173" s="6" t="n"/>
      <c r="H173" s="7" t="n"/>
      <c r="I173" s="11">
        <f>IF(A173="","",IFERROR(E173/D173,0))</f>
        <v/>
      </c>
      <c r="J173" s="8">
        <f>IF(A173="","",IFERROR(E173/G173,0)-D173)</f>
        <v/>
      </c>
      <c r="K173" s="4">
        <f>IF(A173="","",IF(D173&gt;0,"Yes","No spend"))</f>
        <v/>
      </c>
      <c r="L173" s="4">
        <f>IF(A173="","",IF(D173=0,"Check target/activation",IF(AND(H173&gt;0,J173&lt;=0-H173),"Stop-loss hit - pause; fix creative/offer",IF(C173="Seed","P2 keep (seeding)",IF(I173&gt;=G173,"P2 hero - scale",IF(AND(B173="0→1 validate",F173&lt;50),"Learning - hold until ~50 conversions",IF(I173&gt;=G173*0.7,"P1 watch","P0 fix opening")))))))</f>
        <v/>
      </c>
    </row>
    <row r="174">
      <c r="D174" s="7" t="n"/>
      <c r="E174" s="7" t="n"/>
      <c r="G174" s="6" t="n"/>
      <c r="H174" s="7" t="n"/>
      <c r="I174" s="11">
        <f>IF(A174="","",IFERROR(E174/D174,0))</f>
        <v/>
      </c>
      <c r="J174" s="8">
        <f>IF(A174="","",IFERROR(E174/G174,0)-D174)</f>
        <v/>
      </c>
      <c r="K174" s="4">
        <f>IF(A174="","",IF(D174&gt;0,"Yes","No spend"))</f>
        <v/>
      </c>
      <c r="L174" s="4">
        <f>IF(A174="","",IF(D174=0,"Check target/activation",IF(AND(H174&gt;0,J174&lt;=0-H174),"Stop-loss hit - pause; fix creative/offer",IF(C174="Seed","P2 keep (seeding)",IF(I174&gt;=G174,"P2 hero - scale",IF(AND(B174="0→1 validate",F174&lt;50),"Learning - hold until ~50 conversions",IF(I174&gt;=G174*0.7,"P1 watch","P0 fix opening")))))))</f>
        <v/>
      </c>
    </row>
    <row r="175">
      <c r="D175" s="7" t="n"/>
      <c r="E175" s="7" t="n"/>
      <c r="G175" s="6" t="n"/>
      <c r="H175" s="7" t="n"/>
      <c r="I175" s="11">
        <f>IF(A175="","",IFERROR(E175/D175,0))</f>
        <v/>
      </c>
      <c r="J175" s="8">
        <f>IF(A175="","",IFERROR(E175/G175,0)-D175)</f>
        <v/>
      </c>
      <c r="K175" s="4">
        <f>IF(A175="","",IF(D175&gt;0,"Yes","No spend"))</f>
        <v/>
      </c>
      <c r="L175" s="4">
        <f>IF(A175="","",IF(D175=0,"Check target/activation",IF(AND(H175&gt;0,J175&lt;=0-H175),"Stop-loss hit - pause; fix creative/offer",IF(C175="Seed","P2 keep (seeding)",IF(I175&gt;=G175,"P2 hero - scale",IF(AND(B175="0→1 validate",F175&lt;50),"Learning - hold until ~50 conversions",IF(I175&gt;=G175*0.7,"P1 watch","P0 fix opening")))))))</f>
        <v/>
      </c>
    </row>
    <row r="176">
      <c r="D176" s="7" t="n"/>
      <c r="E176" s="7" t="n"/>
      <c r="G176" s="6" t="n"/>
      <c r="H176" s="7" t="n"/>
      <c r="I176" s="11">
        <f>IF(A176="","",IFERROR(E176/D176,0))</f>
        <v/>
      </c>
      <c r="J176" s="8">
        <f>IF(A176="","",IFERROR(E176/G176,0)-D176)</f>
        <v/>
      </c>
      <c r="K176" s="4">
        <f>IF(A176="","",IF(D176&gt;0,"Yes","No spend"))</f>
        <v/>
      </c>
      <c r="L176" s="4">
        <f>IF(A176="","",IF(D176=0,"Check target/activation",IF(AND(H176&gt;0,J176&lt;=0-H176),"Stop-loss hit - pause; fix creative/offer",IF(C176="Seed","P2 keep (seeding)",IF(I176&gt;=G176,"P2 hero - scale",IF(AND(B176="0→1 validate",F176&lt;50),"Learning - hold until ~50 conversions",IF(I176&gt;=G176*0.7,"P1 watch","P0 fix opening")))))))</f>
        <v/>
      </c>
    </row>
    <row r="177">
      <c r="D177" s="7" t="n"/>
      <c r="E177" s="7" t="n"/>
      <c r="G177" s="6" t="n"/>
      <c r="H177" s="7" t="n"/>
      <c r="I177" s="11">
        <f>IF(A177="","",IFERROR(E177/D177,0))</f>
        <v/>
      </c>
      <c r="J177" s="8">
        <f>IF(A177="","",IFERROR(E177/G177,0)-D177)</f>
        <v/>
      </c>
      <c r="K177" s="4">
        <f>IF(A177="","",IF(D177&gt;0,"Yes","No spend"))</f>
        <v/>
      </c>
      <c r="L177" s="4">
        <f>IF(A177="","",IF(D177=0,"Check target/activation",IF(AND(H177&gt;0,J177&lt;=0-H177),"Stop-loss hit - pause; fix creative/offer",IF(C177="Seed","P2 keep (seeding)",IF(I177&gt;=G177,"P2 hero - scale",IF(AND(B177="0→1 validate",F177&lt;50),"Learning - hold until ~50 conversions",IF(I177&gt;=G177*0.7,"P1 watch","P0 fix opening")))))))</f>
        <v/>
      </c>
    </row>
    <row r="178">
      <c r="D178" s="7" t="n"/>
      <c r="E178" s="7" t="n"/>
      <c r="G178" s="6" t="n"/>
      <c r="H178" s="7" t="n"/>
      <c r="I178" s="11">
        <f>IF(A178="","",IFERROR(E178/D178,0))</f>
        <v/>
      </c>
      <c r="J178" s="8">
        <f>IF(A178="","",IFERROR(E178/G178,0)-D178)</f>
        <v/>
      </c>
      <c r="K178" s="4">
        <f>IF(A178="","",IF(D178&gt;0,"Yes","No spend"))</f>
        <v/>
      </c>
      <c r="L178" s="4">
        <f>IF(A178="","",IF(D178=0,"Check target/activation",IF(AND(H178&gt;0,J178&lt;=0-H178),"Stop-loss hit - pause; fix creative/offer",IF(C178="Seed","P2 keep (seeding)",IF(I178&gt;=G178,"P2 hero - scale",IF(AND(B178="0→1 validate",F178&lt;50),"Learning - hold until ~50 conversions",IF(I178&gt;=G178*0.7,"P1 watch","P0 fix opening")))))))</f>
        <v/>
      </c>
    </row>
    <row r="179">
      <c r="D179" s="7" t="n"/>
      <c r="E179" s="7" t="n"/>
      <c r="G179" s="6" t="n"/>
      <c r="H179" s="7" t="n"/>
      <c r="I179" s="11">
        <f>IF(A179="","",IFERROR(E179/D179,0))</f>
        <v/>
      </c>
      <c r="J179" s="8">
        <f>IF(A179="","",IFERROR(E179/G179,0)-D179)</f>
        <v/>
      </c>
      <c r="K179" s="4">
        <f>IF(A179="","",IF(D179&gt;0,"Yes","No spend"))</f>
        <v/>
      </c>
      <c r="L179" s="4">
        <f>IF(A179="","",IF(D179=0,"Check target/activation",IF(AND(H179&gt;0,J179&lt;=0-H179),"Stop-loss hit - pause; fix creative/offer",IF(C179="Seed","P2 keep (seeding)",IF(I179&gt;=G179,"P2 hero - scale",IF(AND(B179="0→1 validate",F179&lt;50),"Learning - hold until ~50 conversions",IF(I179&gt;=G179*0.7,"P1 watch","P0 fix opening")))))))</f>
        <v/>
      </c>
    </row>
    <row r="180">
      <c r="D180" s="7" t="n"/>
      <c r="E180" s="7" t="n"/>
      <c r="G180" s="6" t="n"/>
      <c r="H180" s="7" t="n"/>
      <c r="I180" s="11">
        <f>IF(A180="","",IFERROR(E180/D180,0))</f>
        <v/>
      </c>
      <c r="J180" s="8">
        <f>IF(A180="","",IFERROR(E180/G180,0)-D180)</f>
        <v/>
      </c>
      <c r="K180" s="4">
        <f>IF(A180="","",IF(D180&gt;0,"Yes","No spend"))</f>
        <v/>
      </c>
      <c r="L180" s="4">
        <f>IF(A180="","",IF(D180=0,"Check target/activation",IF(AND(H180&gt;0,J180&lt;=0-H180),"Stop-loss hit - pause; fix creative/offer",IF(C180="Seed","P2 keep (seeding)",IF(I180&gt;=G180,"P2 hero - scale",IF(AND(B180="0→1 validate",F180&lt;50),"Learning - hold until ~50 conversions",IF(I180&gt;=G180*0.7,"P1 watch","P0 fix opening")))))))</f>
        <v/>
      </c>
    </row>
    <row r="181">
      <c r="D181" s="7" t="n"/>
      <c r="E181" s="7" t="n"/>
      <c r="G181" s="6" t="n"/>
      <c r="H181" s="7" t="n"/>
      <c r="I181" s="11">
        <f>IF(A181="","",IFERROR(E181/D181,0))</f>
        <v/>
      </c>
      <c r="J181" s="8">
        <f>IF(A181="","",IFERROR(E181/G181,0)-D181)</f>
        <v/>
      </c>
      <c r="K181" s="4">
        <f>IF(A181="","",IF(D181&gt;0,"Yes","No spend"))</f>
        <v/>
      </c>
      <c r="L181" s="4">
        <f>IF(A181="","",IF(D181=0,"Check target/activation",IF(AND(H181&gt;0,J181&lt;=0-H181),"Stop-loss hit - pause; fix creative/offer",IF(C181="Seed","P2 keep (seeding)",IF(I181&gt;=G181,"P2 hero - scale",IF(AND(B181="0→1 validate",F181&lt;50),"Learning - hold until ~50 conversions",IF(I181&gt;=G181*0.7,"P1 watch","P0 fix opening")))))))</f>
        <v/>
      </c>
    </row>
    <row r="182">
      <c r="D182" s="7" t="n"/>
      <c r="E182" s="7" t="n"/>
      <c r="G182" s="6" t="n"/>
      <c r="H182" s="7" t="n"/>
      <c r="I182" s="11">
        <f>IF(A182="","",IFERROR(E182/D182,0))</f>
        <v/>
      </c>
      <c r="J182" s="8">
        <f>IF(A182="","",IFERROR(E182/G182,0)-D182)</f>
        <v/>
      </c>
      <c r="K182" s="4">
        <f>IF(A182="","",IF(D182&gt;0,"Yes","No spend"))</f>
        <v/>
      </c>
      <c r="L182" s="4">
        <f>IF(A182="","",IF(D182=0,"Check target/activation",IF(AND(H182&gt;0,J182&lt;=0-H182),"Stop-loss hit - pause; fix creative/offer",IF(C182="Seed","P2 keep (seeding)",IF(I182&gt;=G182,"P2 hero - scale",IF(AND(B182="0→1 validate",F182&lt;50),"Learning - hold until ~50 conversions",IF(I182&gt;=G182*0.7,"P1 watch","P0 fix opening")))))))</f>
        <v/>
      </c>
    </row>
    <row r="183">
      <c r="D183" s="7" t="n"/>
      <c r="E183" s="7" t="n"/>
      <c r="G183" s="6" t="n"/>
      <c r="H183" s="7" t="n"/>
      <c r="I183" s="11">
        <f>IF(A183="","",IFERROR(E183/D183,0))</f>
        <v/>
      </c>
      <c r="J183" s="8">
        <f>IF(A183="","",IFERROR(E183/G183,0)-D183)</f>
        <v/>
      </c>
      <c r="K183" s="4">
        <f>IF(A183="","",IF(D183&gt;0,"Yes","No spend"))</f>
        <v/>
      </c>
      <c r="L183" s="4">
        <f>IF(A183="","",IF(D183=0,"Check target/activation",IF(AND(H183&gt;0,J183&lt;=0-H183),"Stop-loss hit - pause; fix creative/offer",IF(C183="Seed","P2 keep (seeding)",IF(I183&gt;=G183,"P2 hero - scale",IF(AND(B183="0→1 validate",F183&lt;50),"Learning - hold until ~50 conversions",IF(I183&gt;=G183*0.7,"P1 watch","P0 fix opening")))))))</f>
        <v/>
      </c>
    </row>
    <row r="184">
      <c r="D184" s="7" t="n"/>
      <c r="E184" s="7" t="n"/>
      <c r="G184" s="6" t="n"/>
      <c r="H184" s="7" t="n"/>
      <c r="I184" s="11">
        <f>IF(A184="","",IFERROR(E184/D184,0))</f>
        <v/>
      </c>
      <c r="J184" s="8">
        <f>IF(A184="","",IFERROR(E184/G184,0)-D184)</f>
        <v/>
      </c>
      <c r="K184" s="4">
        <f>IF(A184="","",IF(D184&gt;0,"Yes","No spend"))</f>
        <v/>
      </c>
      <c r="L184" s="4">
        <f>IF(A184="","",IF(D184=0,"Check target/activation",IF(AND(H184&gt;0,J184&lt;=0-H184),"Stop-loss hit - pause; fix creative/offer",IF(C184="Seed","P2 keep (seeding)",IF(I184&gt;=G184,"P2 hero - scale",IF(AND(B184="0→1 validate",F184&lt;50),"Learning - hold until ~50 conversions",IF(I184&gt;=G184*0.7,"P1 watch","P0 fix opening")))))))</f>
        <v/>
      </c>
    </row>
    <row r="185">
      <c r="D185" s="7" t="n"/>
      <c r="E185" s="7" t="n"/>
      <c r="G185" s="6" t="n"/>
      <c r="H185" s="7" t="n"/>
      <c r="I185" s="11">
        <f>IF(A185="","",IFERROR(E185/D185,0))</f>
        <v/>
      </c>
      <c r="J185" s="8">
        <f>IF(A185="","",IFERROR(E185/G185,0)-D185)</f>
        <v/>
      </c>
      <c r="K185" s="4">
        <f>IF(A185="","",IF(D185&gt;0,"Yes","No spend"))</f>
        <v/>
      </c>
      <c r="L185" s="4">
        <f>IF(A185="","",IF(D185=0,"Check target/activation",IF(AND(H185&gt;0,J185&lt;=0-H185),"Stop-loss hit - pause; fix creative/offer",IF(C185="Seed","P2 keep (seeding)",IF(I185&gt;=G185,"P2 hero - scale",IF(AND(B185="0→1 validate",F185&lt;50),"Learning - hold until ~50 conversions",IF(I185&gt;=G185*0.7,"P1 watch","P0 fix opening")))))))</f>
        <v/>
      </c>
    </row>
    <row r="186">
      <c r="D186" s="7" t="n"/>
      <c r="E186" s="7" t="n"/>
      <c r="G186" s="6" t="n"/>
      <c r="H186" s="7" t="n"/>
      <c r="I186" s="11">
        <f>IF(A186="","",IFERROR(E186/D186,0))</f>
        <v/>
      </c>
      <c r="J186" s="8">
        <f>IF(A186="","",IFERROR(E186/G186,0)-D186)</f>
        <v/>
      </c>
      <c r="K186" s="4">
        <f>IF(A186="","",IF(D186&gt;0,"Yes","No spend"))</f>
        <v/>
      </c>
      <c r="L186" s="4">
        <f>IF(A186="","",IF(D186=0,"Check target/activation",IF(AND(H186&gt;0,J186&lt;=0-H186),"Stop-loss hit - pause; fix creative/offer",IF(C186="Seed","P2 keep (seeding)",IF(I186&gt;=G186,"P2 hero - scale",IF(AND(B186="0→1 validate",F186&lt;50),"Learning - hold until ~50 conversions",IF(I186&gt;=G186*0.7,"P1 watch","P0 fix opening")))))))</f>
        <v/>
      </c>
    </row>
    <row r="187">
      <c r="D187" s="7" t="n"/>
      <c r="E187" s="7" t="n"/>
      <c r="G187" s="6" t="n"/>
      <c r="H187" s="7" t="n"/>
      <c r="I187" s="11">
        <f>IF(A187="","",IFERROR(E187/D187,0))</f>
        <v/>
      </c>
      <c r="J187" s="8">
        <f>IF(A187="","",IFERROR(E187/G187,0)-D187)</f>
        <v/>
      </c>
      <c r="K187" s="4">
        <f>IF(A187="","",IF(D187&gt;0,"Yes","No spend"))</f>
        <v/>
      </c>
      <c r="L187" s="4">
        <f>IF(A187="","",IF(D187=0,"Check target/activation",IF(AND(H187&gt;0,J187&lt;=0-H187),"Stop-loss hit - pause; fix creative/offer",IF(C187="Seed","P2 keep (seeding)",IF(I187&gt;=G187,"P2 hero - scale",IF(AND(B187="0→1 validate",F187&lt;50),"Learning - hold until ~50 conversions",IF(I187&gt;=G187*0.7,"P1 watch","P0 fix opening")))))))</f>
        <v/>
      </c>
    </row>
    <row r="188">
      <c r="D188" s="7" t="n"/>
      <c r="E188" s="7" t="n"/>
      <c r="G188" s="6" t="n"/>
      <c r="H188" s="7" t="n"/>
      <c r="I188" s="11">
        <f>IF(A188="","",IFERROR(E188/D188,0))</f>
        <v/>
      </c>
      <c r="J188" s="8">
        <f>IF(A188="","",IFERROR(E188/G188,0)-D188)</f>
        <v/>
      </c>
      <c r="K188" s="4">
        <f>IF(A188="","",IF(D188&gt;0,"Yes","No spend"))</f>
        <v/>
      </c>
      <c r="L188" s="4">
        <f>IF(A188="","",IF(D188=0,"Check target/activation",IF(AND(H188&gt;0,J188&lt;=0-H188),"Stop-loss hit - pause; fix creative/offer",IF(C188="Seed","P2 keep (seeding)",IF(I188&gt;=G188,"P2 hero - scale",IF(AND(B188="0→1 validate",F188&lt;50),"Learning - hold until ~50 conversions",IF(I188&gt;=G188*0.7,"P1 watch","P0 fix opening")))))))</f>
        <v/>
      </c>
    </row>
    <row r="189">
      <c r="D189" s="7" t="n"/>
      <c r="E189" s="7" t="n"/>
      <c r="G189" s="6" t="n"/>
      <c r="H189" s="7" t="n"/>
      <c r="I189" s="11">
        <f>IF(A189="","",IFERROR(E189/D189,0))</f>
        <v/>
      </c>
      <c r="J189" s="8">
        <f>IF(A189="","",IFERROR(E189/G189,0)-D189)</f>
        <v/>
      </c>
      <c r="K189" s="4">
        <f>IF(A189="","",IF(D189&gt;0,"Yes","No spend"))</f>
        <v/>
      </c>
      <c r="L189" s="4">
        <f>IF(A189="","",IF(D189=0,"Check target/activation",IF(AND(H189&gt;0,J189&lt;=0-H189),"Stop-loss hit - pause; fix creative/offer",IF(C189="Seed","P2 keep (seeding)",IF(I189&gt;=G189,"P2 hero - scale",IF(AND(B189="0→1 validate",F189&lt;50),"Learning - hold until ~50 conversions",IF(I189&gt;=G189*0.7,"P1 watch","P0 fix opening")))))))</f>
        <v/>
      </c>
    </row>
    <row r="190">
      <c r="D190" s="7" t="n"/>
      <c r="E190" s="7" t="n"/>
      <c r="G190" s="6" t="n"/>
      <c r="H190" s="7" t="n"/>
      <c r="I190" s="11">
        <f>IF(A190="","",IFERROR(E190/D190,0))</f>
        <v/>
      </c>
      <c r="J190" s="8">
        <f>IF(A190="","",IFERROR(E190/G190,0)-D190)</f>
        <v/>
      </c>
      <c r="K190" s="4">
        <f>IF(A190="","",IF(D190&gt;0,"Yes","No spend"))</f>
        <v/>
      </c>
      <c r="L190" s="4">
        <f>IF(A190="","",IF(D190=0,"Check target/activation",IF(AND(H190&gt;0,J190&lt;=0-H190),"Stop-loss hit - pause; fix creative/offer",IF(C190="Seed","P2 keep (seeding)",IF(I190&gt;=G190,"P2 hero - scale",IF(AND(B190="0→1 validate",F190&lt;50),"Learning - hold until ~50 conversions",IF(I190&gt;=G190*0.7,"P1 watch","P0 fix opening")))))))</f>
        <v/>
      </c>
    </row>
    <row r="191">
      <c r="D191" s="7" t="n"/>
      <c r="E191" s="7" t="n"/>
      <c r="G191" s="6" t="n"/>
      <c r="H191" s="7" t="n"/>
      <c r="I191" s="11">
        <f>IF(A191="","",IFERROR(E191/D191,0))</f>
        <v/>
      </c>
      <c r="J191" s="8">
        <f>IF(A191="","",IFERROR(E191/G191,0)-D191)</f>
        <v/>
      </c>
      <c r="K191" s="4">
        <f>IF(A191="","",IF(D191&gt;0,"Yes","No spend"))</f>
        <v/>
      </c>
      <c r="L191" s="4">
        <f>IF(A191="","",IF(D191=0,"Check target/activation",IF(AND(H191&gt;0,J191&lt;=0-H191),"Stop-loss hit - pause; fix creative/offer",IF(C191="Seed","P2 keep (seeding)",IF(I191&gt;=G191,"P2 hero - scale",IF(AND(B191="0→1 validate",F191&lt;50),"Learning - hold until ~50 conversions",IF(I191&gt;=G191*0.7,"P1 watch","P0 fix opening")))))))</f>
        <v/>
      </c>
    </row>
    <row r="192">
      <c r="D192" s="7" t="n"/>
      <c r="E192" s="7" t="n"/>
      <c r="G192" s="6" t="n"/>
      <c r="H192" s="7" t="n"/>
      <c r="I192" s="11">
        <f>IF(A192="","",IFERROR(E192/D192,0))</f>
        <v/>
      </c>
      <c r="J192" s="8">
        <f>IF(A192="","",IFERROR(E192/G192,0)-D192)</f>
        <v/>
      </c>
      <c r="K192" s="4">
        <f>IF(A192="","",IF(D192&gt;0,"Yes","No spend"))</f>
        <v/>
      </c>
      <c r="L192" s="4">
        <f>IF(A192="","",IF(D192=0,"Check target/activation",IF(AND(H192&gt;0,J192&lt;=0-H192),"Stop-loss hit - pause; fix creative/offer",IF(C192="Seed","P2 keep (seeding)",IF(I192&gt;=G192,"P2 hero - scale",IF(AND(B192="0→1 validate",F192&lt;50),"Learning - hold until ~50 conversions",IF(I192&gt;=G192*0.7,"P1 watch","P0 fix opening")))))))</f>
        <v/>
      </c>
    </row>
    <row r="193">
      <c r="D193" s="7" t="n"/>
      <c r="E193" s="7" t="n"/>
      <c r="G193" s="6" t="n"/>
      <c r="H193" s="7" t="n"/>
      <c r="I193" s="11">
        <f>IF(A193="","",IFERROR(E193/D193,0))</f>
        <v/>
      </c>
      <c r="J193" s="8">
        <f>IF(A193="","",IFERROR(E193/G193,0)-D193)</f>
        <v/>
      </c>
      <c r="K193" s="4">
        <f>IF(A193="","",IF(D193&gt;0,"Yes","No spend"))</f>
        <v/>
      </c>
      <c r="L193" s="4">
        <f>IF(A193="","",IF(D193=0,"Check target/activation",IF(AND(H193&gt;0,J193&lt;=0-H193),"Stop-loss hit - pause; fix creative/offer",IF(C193="Seed","P2 keep (seeding)",IF(I193&gt;=G193,"P2 hero - scale",IF(AND(B193="0→1 validate",F193&lt;50),"Learning - hold until ~50 conversions",IF(I193&gt;=G193*0.7,"P1 watch","P0 fix opening")))))))</f>
        <v/>
      </c>
    </row>
    <row r="194">
      <c r="D194" s="7" t="n"/>
      <c r="E194" s="7" t="n"/>
      <c r="G194" s="6" t="n"/>
      <c r="H194" s="7" t="n"/>
      <c r="I194" s="11">
        <f>IF(A194="","",IFERROR(E194/D194,0))</f>
        <v/>
      </c>
      <c r="J194" s="8">
        <f>IF(A194="","",IFERROR(E194/G194,0)-D194)</f>
        <v/>
      </c>
      <c r="K194" s="4">
        <f>IF(A194="","",IF(D194&gt;0,"Yes","No spend"))</f>
        <v/>
      </c>
      <c r="L194" s="4">
        <f>IF(A194="","",IF(D194=0,"Check target/activation",IF(AND(H194&gt;0,J194&lt;=0-H194),"Stop-loss hit - pause; fix creative/offer",IF(C194="Seed","P2 keep (seeding)",IF(I194&gt;=G194,"P2 hero - scale",IF(AND(B194="0→1 validate",F194&lt;50),"Learning - hold until ~50 conversions",IF(I194&gt;=G194*0.7,"P1 watch","P0 fix opening")))))))</f>
        <v/>
      </c>
    </row>
    <row r="195">
      <c r="D195" s="7" t="n"/>
      <c r="E195" s="7" t="n"/>
      <c r="G195" s="6" t="n"/>
      <c r="H195" s="7" t="n"/>
      <c r="I195" s="11">
        <f>IF(A195="","",IFERROR(E195/D195,0))</f>
        <v/>
      </c>
      <c r="J195" s="8">
        <f>IF(A195="","",IFERROR(E195/G195,0)-D195)</f>
        <v/>
      </c>
      <c r="K195" s="4">
        <f>IF(A195="","",IF(D195&gt;0,"Yes","No spend"))</f>
        <v/>
      </c>
      <c r="L195" s="4">
        <f>IF(A195="","",IF(D195=0,"Check target/activation",IF(AND(H195&gt;0,J195&lt;=0-H195),"Stop-loss hit - pause; fix creative/offer",IF(C195="Seed","P2 keep (seeding)",IF(I195&gt;=G195,"P2 hero - scale",IF(AND(B195="0→1 validate",F195&lt;50),"Learning - hold until ~50 conversions",IF(I195&gt;=G195*0.7,"P1 watch","P0 fix opening")))))))</f>
        <v/>
      </c>
    </row>
    <row r="196">
      <c r="D196" s="7" t="n"/>
      <c r="E196" s="7" t="n"/>
      <c r="G196" s="6" t="n"/>
      <c r="H196" s="7" t="n"/>
      <c r="I196" s="11">
        <f>IF(A196="","",IFERROR(E196/D196,0))</f>
        <v/>
      </c>
      <c r="J196" s="8">
        <f>IF(A196="","",IFERROR(E196/G196,0)-D196)</f>
        <v/>
      </c>
      <c r="K196" s="4">
        <f>IF(A196="","",IF(D196&gt;0,"Yes","No spend"))</f>
        <v/>
      </c>
      <c r="L196" s="4">
        <f>IF(A196="","",IF(D196=0,"Check target/activation",IF(AND(H196&gt;0,J196&lt;=0-H196),"Stop-loss hit - pause; fix creative/offer",IF(C196="Seed","P2 keep (seeding)",IF(I196&gt;=G196,"P2 hero - scale",IF(AND(B196="0→1 validate",F196&lt;50),"Learning - hold until ~50 conversions",IF(I196&gt;=G196*0.7,"P1 watch","P0 fix opening")))))))</f>
        <v/>
      </c>
    </row>
    <row r="197">
      <c r="D197" s="7" t="n"/>
      <c r="E197" s="7" t="n"/>
      <c r="G197" s="6" t="n"/>
      <c r="H197" s="7" t="n"/>
      <c r="I197" s="11">
        <f>IF(A197="","",IFERROR(E197/D197,0))</f>
        <v/>
      </c>
      <c r="J197" s="8">
        <f>IF(A197="","",IFERROR(E197/G197,0)-D197)</f>
        <v/>
      </c>
      <c r="K197" s="4">
        <f>IF(A197="","",IF(D197&gt;0,"Yes","No spend"))</f>
        <v/>
      </c>
      <c r="L197" s="4">
        <f>IF(A197="","",IF(D197=0,"Check target/activation",IF(AND(H197&gt;0,J197&lt;=0-H197),"Stop-loss hit - pause; fix creative/offer",IF(C197="Seed","P2 keep (seeding)",IF(I197&gt;=G197,"P2 hero - scale",IF(AND(B197="0→1 validate",F197&lt;50),"Learning - hold until ~50 conversions",IF(I197&gt;=G197*0.7,"P1 watch","P0 fix opening")))))))</f>
        <v/>
      </c>
    </row>
    <row r="198">
      <c r="D198" s="7" t="n"/>
      <c r="E198" s="7" t="n"/>
      <c r="G198" s="6" t="n"/>
      <c r="H198" s="7" t="n"/>
      <c r="I198" s="11">
        <f>IF(A198="","",IFERROR(E198/D198,0))</f>
        <v/>
      </c>
      <c r="J198" s="8">
        <f>IF(A198="","",IFERROR(E198/G198,0)-D198)</f>
        <v/>
      </c>
      <c r="K198" s="4">
        <f>IF(A198="","",IF(D198&gt;0,"Yes","No spend"))</f>
        <v/>
      </c>
      <c r="L198" s="4">
        <f>IF(A198="","",IF(D198=0,"Check target/activation",IF(AND(H198&gt;0,J198&lt;=0-H198),"Stop-loss hit - pause; fix creative/offer",IF(C198="Seed","P2 keep (seeding)",IF(I198&gt;=G198,"P2 hero - scale",IF(AND(B198="0→1 validate",F198&lt;50),"Learning - hold until ~50 conversions",IF(I198&gt;=G198*0.7,"P1 watch","P0 fix opening")))))))</f>
        <v/>
      </c>
    </row>
    <row r="199">
      <c r="D199" s="7" t="n"/>
      <c r="E199" s="7" t="n"/>
      <c r="G199" s="6" t="n"/>
      <c r="H199" s="7" t="n"/>
      <c r="I199" s="11">
        <f>IF(A199="","",IFERROR(E199/D199,0))</f>
        <v/>
      </c>
      <c r="J199" s="8">
        <f>IF(A199="","",IFERROR(E199/G199,0)-D199)</f>
        <v/>
      </c>
      <c r="K199" s="4">
        <f>IF(A199="","",IF(D199&gt;0,"Yes","No spend"))</f>
        <v/>
      </c>
      <c r="L199" s="4">
        <f>IF(A199="","",IF(D199=0,"Check target/activation",IF(AND(H199&gt;0,J199&lt;=0-H199),"Stop-loss hit - pause; fix creative/offer",IF(C199="Seed","P2 keep (seeding)",IF(I199&gt;=G199,"P2 hero - scale",IF(AND(B199="0→1 validate",F199&lt;50),"Learning - hold until ~50 conversions",IF(I199&gt;=G199*0.7,"P1 watch","P0 fix opening")))))))</f>
        <v/>
      </c>
    </row>
    <row r="200">
      <c r="D200" s="7" t="n"/>
      <c r="E200" s="7" t="n"/>
      <c r="G200" s="6" t="n"/>
      <c r="H200" s="7" t="n"/>
      <c r="I200" s="11">
        <f>IF(A200="","",IFERROR(E200/D200,0))</f>
        <v/>
      </c>
      <c r="J200" s="8">
        <f>IF(A200="","",IFERROR(E200/G200,0)-D200)</f>
        <v/>
      </c>
      <c r="K200" s="4">
        <f>IF(A200="","",IF(D200&gt;0,"Yes","No spend"))</f>
        <v/>
      </c>
      <c r="L200" s="4">
        <f>IF(A200="","",IF(D200=0,"Check target/activation",IF(AND(H200&gt;0,J200&lt;=0-H200),"Stop-loss hit - pause; fix creative/offer",IF(C200="Seed","P2 keep (seeding)",IF(I200&gt;=G200,"P2 hero - scale",IF(AND(B200="0→1 validate",F200&lt;50),"Learning - hold until ~50 conversions",IF(I200&gt;=G200*0.7,"P1 watch","P0 fix opening")))))))</f>
        <v/>
      </c>
    </row>
    <row r="201">
      <c r="D201" s="7" t="n"/>
      <c r="E201" s="7" t="n"/>
      <c r="G201" s="6" t="n"/>
      <c r="H201" s="7" t="n"/>
      <c r="I201" s="11">
        <f>IF(A201="","",IFERROR(E201/D201,0))</f>
        <v/>
      </c>
      <c r="J201" s="8">
        <f>IF(A201="","",IFERROR(E201/G201,0)-D201)</f>
        <v/>
      </c>
      <c r="K201" s="4">
        <f>IF(A201="","",IF(D201&gt;0,"Yes","No spend"))</f>
        <v/>
      </c>
      <c r="L201" s="4">
        <f>IF(A201="","",IF(D201=0,"Check target/activation",IF(AND(H201&gt;0,J201&lt;=0-H201),"Stop-loss hit - pause; fix creative/offer",IF(C201="Seed","P2 keep (seeding)",IF(I201&gt;=G201,"P2 hero - scale",IF(AND(B201="0→1 validate",F201&lt;50),"Learning - hold until ~50 conversions",IF(I201&gt;=G201*0.7,"P1 watch","P0 fix opening")))))))</f>
        <v/>
      </c>
    </row>
    <row r="203">
      <c r="A203" s="5" t="inlineStr">
        <is>
          <t>TOTAL</t>
        </is>
      </c>
      <c r="D203" s="12">
        <f>SUM(D2:D201)</f>
        <v/>
      </c>
      <c r="E203" s="12">
        <f>SUM(E2:E201)</f>
        <v/>
      </c>
      <c r="F203" s="5">
        <f>SUM(F2:F201)</f>
        <v/>
      </c>
    </row>
    <row r="205">
      <c r="A205" s="5" t="inlineStr">
        <is>
          <t>Blended ROAS</t>
        </is>
      </c>
      <c r="B205" s="6">
        <f>IFERROR(SUM(E2:E201)/SUM(D2:D201),0)</f>
        <v/>
      </c>
    </row>
    <row r="206">
      <c r="A206" s="5" t="inlineStr">
        <is>
          <t>Conversions toward ~50 learning target</t>
        </is>
      </c>
      <c r="B206" s="13">
        <f>IFERROR(SUM(F2:F201),0)</f>
        <v/>
      </c>
    </row>
    <row r="207">
      <c r="A207" s="5" t="inlineStr">
        <is>
          <t>Net after ads</t>
        </is>
      </c>
      <c r="B207" s="7">
        <f>IFERROR(SUM(J2:J201),0)</f>
        <v/>
      </c>
    </row>
  </sheetData>
  <dataValidations count="2">
    <dataValidation sqref="B2:B201" showDropDown="0" showInputMessage="0" showErrorMessage="0" allowBlank="1" type="list">
      <formula1>"0→1 validate,1→10 replicate,10→100 scale"</formula1>
    </dataValidation>
    <dataValidation sqref="C2:C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.71428571428571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40" customWidth="1" min="15" max="15"/>
  </cols>
  <sheetData>
    <row r="1" ht="48" customHeight="1">
      <c r="A1" s="1" t="inlineStr">
        <is>
          <t>Period</t>
        </is>
      </c>
      <c r="B1" s="1" t="inlineStr">
        <is>
          <t>Ad spend, previous period ($)</t>
        </is>
      </c>
      <c r="C1" s="1" t="inlineStr">
        <is>
          <t>Ad spend, this period ($)</t>
        </is>
      </c>
      <c r="D1" s="1" t="inlineStr">
        <is>
          <t>Orders, previous</t>
        </is>
      </c>
      <c r="E1" s="1" t="inlineStr">
        <is>
          <t>Orders, this period</t>
        </is>
      </c>
      <c r="F1" s="1" t="inlineStr">
        <is>
          <t>Contribution profit, previous ($)</t>
        </is>
      </c>
      <c r="G1" s="1" t="inlineStr">
        <is>
          <t>Contribution profit, this period ($)</t>
        </is>
      </c>
      <c r="H1" s="1" t="inlineStr">
        <is>
          <t>Conversion rate, previous %</t>
        </is>
      </c>
      <c r="I1" s="1" t="inlineStr">
        <is>
          <t>Conversion rate, this period %</t>
        </is>
      </c>
      <c r="J1" s="1" t="inlineStr">
        <is>
          <t>New creatives launched this period</t>
        </is>
      </c>
      <c r="K1" s="1" t="inlineStr">
        <is>
          <t>New audiences/markets opened</t>
        </is>
      </c>
      <c r="L1" s="1" t="inlineStr">
        <is>
          <t>Inventory days of cover</t>
        </is>
      </c>
      <c r="M1" s="2" t="inlineStr">
        <is>
          <t>Marginal cost per extra order ($) ƒ</t>
        </is>
      </c>
      <c r="N1" s="2" t="inlineStr">
        <is>
          <t>Extra profit per extra $1 of spend ƒ</t>
        </is>
      </c>
      <c r="O1" s="2" t="inlineStr">
        <is>
          <t>Verdict ƒ</t>
        </is>
      </c>
    </row>
    <row r="2">
      <c r="A2" t="inlineStr">
        <is>
          <t>Example wk 3→4</t>
        </is>
      </c>
      <c r="B2" s="7" t="n">
        <v>2000</v>
      </c>
      <c r="C2" s="7" t="n">
        <v>3000</v>
      </c>
      <c r="D2" t="n">
        <v>400</v>
      </c>
      <c r="E2" t="n">
        <v>520</v>
      </c>
      <c r="F2" s="7" t="n">
        <v>5200</v>
      </c>
      <c r="G2" s="7" t="n">
        <v>5050</v>
      </c>
      <c r="H2" s="10" t="n">
        <v>0.031</v>
      </c>
      <c r="I2" s="10" t="n">
        <v>0.027</v>
      </c>
      <c r="J2" t="n">
        <v>4</v>
      </c>
      <c r="K2" t="n">
        <v>0</v>
      </c>
      <c r="L2" t="n">
        <v>35</v>
      </c>
      <c r="M2" s="8">
        <f>IF(A2="","",IF(E2-D2&lt;=0,"",(C2-B2)/(E2-D2)))</f>
        <v/>
      </c>
      <c r="N2" s="11">
        <f>IF(A2="","",IF(C2-B2&lt;=0,"",(G2-F2)/(C2-B2)))</f>
        <v/>
      </c>
      <c r="O2" s="4">
        <f>IF(A2="","",IF(C2&lt;=B2,"Budget not raised - no read",IF(G2&lt;F2,"Ceiling: profit falling as budget rises - stop pushing; add creatives, improve product or open a market",IF(AND(H2&gt;0,I2&lt;H2),"Watch: conversion slipping - refresh creatives before more budget",IF(J2=0,"Watch: no new creatives - freshness will decay","Keep scaling in steps")))))</f>
        <v/>
      </c>
    </row>
    <row r="3">
      <c r="B3" s="7" t="n"/>
      <c r="C3" s="7" t="n"/>
      <c r="F3" s="7" t="n"/>
      <c r="G3" s="7" t="n"/>
      <c r="H3" s="10" t="n"/>
      <c r="I3" s="10" t="n"/>
      <c r="M3" s="8">
        <f>IF(A3="","",IF(E3-D3&lt;=0,"",(C3-B3)/(E3-D3)))</f>
        <v/>
      </c>
      <c r="N3" s="11">
        <f>IF(A3="","",IF(C3-B3&lt;=0,"",(G3-F3)/(C3-B3)))</f>
        <v/>
      </c>
      <c r="O3" s="4">
        <f>IF(A3="","",IF(C3&lt;=B3,"Budget not raised - no read",IF(G3&lt;F3,"Ceiling: profit falling as budget rises - stop pushing; add creatives, improve product or open a market",IF(AND(H3&gt;0,I3&lt;H3),"Watch: conversion slipping - refresh creatives before more budget",IF(J3=0,"Watch: no new creatives - freshness will decay","Keep scaling in steps")))))</f>
        <v/>
      </c>
    </row>
    <row r="4">
      <c r="B4" s="7" t="n"/>
      <c r="C4" s="7" t="n"/>
      <c r="F4" s="7" t="n"/>
      <c r="G4" s="7" t="n"/>
      <c r="H4" s="10" t="n"/>
      <c r="I4" s="10" t="n"/>
      <c r="M4" s="8">
        <f>IF(A4="","",IF(E4-D4&lt;=0,"",(C4-B4)/(E4-D4)))</f>
        <v/>
      </c>
      <c r="N4" s="11">
        <f>IF(A4="","",IF(C4-B4&lt;=0,"",(G4-F4)/(C4-B4)))</f>
        <v/>
      </c>
      <c r="O4" s="4">
        <f>IF(A4="","",IF(C4&lt;=B4,"Budget not raised - no read",IF(G4&lt;F4,"Ceiling: profit falling as budget rises - stop pushing; add creatives, improve product or open a market",IF(AND(H4&gt;0,I4&lt;H4),"Watch: conversion slipping - refresh creatives before more budget",IF(J4=0,"Watch: no new creatives - freshness will decay","Keep scaling in steps")))))</f>
        <v/>
      </c>
    </row>
    <row r="5">
      <c r="B5" s="7" t="n"/>
      <c r="C5" s="7" t="n"/>
      <c r="F5" s="7" t="n"/>
      <c r="G5" s="7" t="n"/>
      <c r="H5" s="10" t="n"/>
      <c r="I5" s="10" t="n"/>
      <c r="M5" s="8">
        <f>IF(A5="","",IF(E5-D5&lt;=0,"",(C5-B5)/(E5-D5)))</f>
        <v/>
      </c>
      <c r="N5" s="11">
        <f>IF(A5="","",IF(C5-B5&lt;=0,"",(G5-F5)/(C5-B5)))</f>
        <v/>
      </c>
      <c r="O5" s="4">
        <f>IF(A5="","",IF(C5&lt;=B5,"Budget not raised - no read",IF(G5&lt;F5,"Ceiling: profit falling as budget rises - stop pushing; add creatives, improve product or open a market",IF(AND(H5&gt;0,I5&lt;H5),"Watch: conversion slipping - refresh creatives before more budget",IF(J5=0,"Watch: no new creatives - freshness will decay","Keep scaling in steps")))))</f>
        <v/>
      </c>
    </row>
    <row r="6">
      <c r="B6" s="7" t="n"/>
      <c r="C6" s="7" t="n"/>
      <c r="F6" s="7" t="n"/>
      <c r="G6" s="7" t="n"/>
      <c r="H6" s="10" t="n"/>
      <c r="I6" s="10" t="n"/>
      <c r="M6" s="8">
        <f>IF(A6="","",IF(E6-D6&lt;=0,"",(C6-B6)/(E6-D6)))</f>
        <v/>
      </c>
      <c r="N6" s="11">
        <f>IF(A6="","",IF(C6-B6&lt;=0,"",(G6-F6)/(C6-B6)))</f>
        <v/>
      </c>
      <c r="O6" s="4">
        <f>IF(A6="","",IF(C6&lt;=B6,"Budget not raised - no read",IF(G6&lt;F6,"Ceiling: profit falling as budget rises - stop pushing; add creatives, improve product or open a market",IF(AND(H6&gt;0,I6&lt;H6),"Watch: conversion slipping - refresh creatives before more budget",IF(J6=0,"Watch: no new creatives - freshness will decay","Keep scaling in steps")))))</f>
        <v/>
      </c>
    </row>
    <row r="7">
      <c r="B7" s="7" t="n"/>
      <c r="C7" s="7" t="n"/>
      <c r="F7" s="7" t="n"/>
      <c r="G7" s="7" t="n"/>
      <c r="H7" s="10" t="n"/>
      <c r="I7" s="10" t="n"/>
      <c r="M7" s="8">
        <f>IF(A7="","",IF(E7-D7&lt;=0,"",(C7-B7)/(E7-D7)))</f>
        <v/>
      </c>
      <c r="N7" s="11">
        <f>IF(A7="","",IF(C7-B7&lt;=0,"",(G7-F7)/(C7-B7)))</f>
        <v/>
      </c>
      <c r="O7" s="4">
        <f>IF(A7="","",IF(C7&lt;=B7,"Budget not raised - no read",IF(G7&lt;F7,"Ceiling: profit falling as budget rises - stop pushing; add creatives, improve product or open a market",IF(AND(H7&gt;0,I7&lt;H7),"Watch: conversion slipping - refresh creatives before more budget",IF(J7=0,"Watch: no new creatives - freshness will decay","Keep scaling in steps")))))</f>
        <v/>
      </c>
    </row>
    <row r="8">
      <c r="B8" s="7" t="n"/>
      <c r="C8" s="7" t="n"/>
      <c r="F8" s="7" t="n"/>
      <c r="G8" s="7" t="n"/>
      <c r="H8" s="10" t="n"/>
      <c r="I8" s="10" t="n"/>
      <c r="M8" s="8">
        <f>IF(A8="","",IF(E8-D8&lt;=0,"",(C8-B8)/(E8-D8)))</f>
        <v/>
      </c>
      <c r="N8" s="11">
        <f>IF(A8="","",IF(C8-B8&lt;=0,"",(G8-F8)/(C8-B8)))</f>
        <v/>
      </c>
      <c r="O8" s="4">
        <f>IF(A8="","",IF(C8&lt;=B8,"Budget not raised - no read",IF(G8&lt;F8,"Ceiling: profit falling as budget rises - stop pushing; add creatives, improve product or open a market",IF(AND(H8&gt;0,I8&lt;H8),"Watch: conversion slipping - refresh creatives before more budget",IF(J8=0,"Watch: no new creatives - freshness will decay","Keep scaling in steps")))))</f>
        <v/>
      </c>
    </row>
    <row r="9">
      <c r="B9" s="7" t="n"/>
      <c r="C9" s="7" t="n"/>
      <c r="F9" s="7" t="n"/>
      <c r="G9" s="7" t="n"/>
      <c r="H9" s="10" t="n"/>
      <c r="I9" s="10" t="n"/>
      <c r="M9" s="8">
        <f>IF(A9="","",IF(E9-D9&lt;=0,"",(C9-B9)/(E9-D9)))</f>
        <v/>
      </c>
      <c r="N9" s="11">
        <f>IF(A9="","",IF(C9-B9&lt;=0,"",(G9-F9)/(C9-B9)))</f>
        <v/>
      </c>
      <c r="O9" s="4">
        <f>IF(A9="","",IF(C9&lt;=B9,"Budget not raised - no read",IF(G9&lt;F9,"Ceiling: profit falling as budget rises - stop pushing; add creatives, improve product or open a market",IF(AND(H9&gt;0,I9&lt;H9),"Watch: conversion slipping - refresh creatives before more budget",IF(J9=0,"Watch: no new creatives - freshness will decay","Keep scaling in steps")))))</f>
        <v/>
      </c>
    </row>
    <row r="10">
      <c r="B10" s="7" t="n"/>
      <c r="C10" s="7" t="n"/>
      <c r="F10" s="7" t="n"/>
      <c r="G10" s="7" t="n"/>
      <c r="H10" s="10" t="n"/>
      <c r="I10" s="10" t="n"/>
      <c r="M10" s="8">
        <f>IF(A10="","",IF(E10-D10&lt;=0,"",(C10-B10)/(E10-D10)))</f>
        <v/>
      </c>
      <c r="N10" s="11">
        <f>IF(A10="","",IF(C10-B10&lt;=0,"",(G10-F10)/(C10-B10)))</f>
        <v/>
      </c>
      <c r="O10" s="4">
        <f>IF(A10="","",IF(C10&lt;=B10,"Budget not raised - no read",IF(G10&lt;F10,"Ceiling: profit falling as budget rises - stop pushing; add creatives, improve product or open a market",IF(AND(H10&gt;0,I10&lt;H10),"Watch: conversion slipping - refresh creatives before more budget",IF(J10=0,"Watch: no new creatives - freshness will decay","Keep scaling in steps")))))</f>
        <v/>
      </c>
    </row>
    <row r="11">
      <c r="B11" s="7" t="n"/>
      <c r="C11" s="7" t="n"/>
      <c r="F11" s="7" t="n"/>
      <c r="G11" s="7" t="n"/>
      <c r="H11" s="10" t="n"/>
      <c r="I11" s="10" t="n"/>
      <c r="M11" s="8">
        <f>IF(A11="","",IF(E11-D11&lt;=0,"",(C11-B11)/(E11-D11)))</f>
        <v/>
      </c>
      <c r="N11" s="11">
        <f>IF(A11="","",IF(C11-B11&lt;=0,"",(G11-F11)/(C11-B11)))</f>
        <v/>
      </c>
      <c r="O11" s="4">
        <f>IF(A11="","",IF(C11&lt;=B11,"Budget not raised - no read",IF(G11&lt;F11,"Ceiling: profit falling as budget rises - stop pushing; add creatives, improve product or open a market",IF(AND(H11&gt;0,I11&lt;H11),"Watch: conversion slipping - refresh creatives before more budget",IF(J11=0,"Watch: no new creatives - freshness will decay","Keep scaling in steps")))))</f>
        <v/>
      </c>
    </row>
    <row r="12">
      <c r="B12" s="7" t="n"/>
      <c r="C12" s="7" t="n"/>
      <c r="F12" s="7" t="n"/>
      <c r="G12" s="7" t="n"/>
      <c r="H12" s="10" t="n"/>
      <c r="I12" s="10" t="n"/>
      <c r="M12" s="8">
        <f>IF(A12="","",IF(E12-D12&lt;=0,"",(C12-B12)/(E12-D12)))</f>
        <v/>
      </c>
      <c r="N12" s="11">
        <f>IF(A12="","",IF(C12-B12&lt;=0,"",(G12-F12)/(C12-B12)))</f>
        <v/>
      </c>
      <c r="O12" s="4">
        <f>IF(A12="","",IF(C12&lt;=B12,"Budget not raised - no read",IF(G12&lt;F12,"Ceiling: profit falling as budget rises - stop pushing; add creatives, improve product or open a market",IF(AND(H12&gt;0,I12&lt;H12),"Watch: conversion slipping - refresh creatives before more budget",IF(J12=0,"Watch: no new creatives - freshness will decay","Keep scaling in steps")))))</f>
        <v/>
      </c>
    </row>
    <row r="13">
      <c r="B13" s="7" t="n"/>
      <c r="C13" s="7" t="n"/>
      <c r="F13" s="7" t="n"/>
      <c r="G13" s="7" t="n"/>
      <c r="H13" s="10" t="n"/>
      <c r="I13" s="10" t="n"/>
      <c r="M13" s="8">
        <f>IF(A13="","",IF(E13-D13&lt;=0,"",(C13-B13)/(E13-D13)))</f>
        <v/>
      </c>
      <c r="N13" s="11">
        <f>IF(A13="","",IF(C13-B13&lt;=0,"",(G13-F13)/(C13-B13)))</f>
        <v/>
      </c>
      <c r="O13" s="4">
        <f>IF(A13="","",IF(C13&lt;=B13,"Budget not raised - no read",IF(G13&lt;F13,"Ceiling: profit falling as budget rises - stop pushing; add creatives, improve product or open a market",IF(AND(H13&gt;0,I13&lt;H13),"Watch: conversion slipping - refresh creatives before more budget",IF(J13=0,"Watch: no new creatives - freshness will decay","Keep scaling in steps")))))</f>
        <v/>
      </c>
    </row>
    <row r="14">
      <c r="B14" s="7" t="n"/>
      <c r="C14" s="7" t="n"/>
      <c r="F14" s="7" t="n"/>
      <c r="G14" s="7" t="n"/>
      <c r="H14" s="10" t="n"/>
      <c r="I14" s="10" t="n"/>
      <c r="M14" s="8">
        <f>IF(A14="","",IF(E14-D14&lt;=0,"",(C14-B14)/(E14-D14)))</f>
        <v/>
      </c>
      <c r="N14" s="11">
        <f>IF(A14="","",IF(C14-B14&lt;=0,"",(G14-F14)/(C14-B14)))</f>
        <v/>
      </c>
      <c r="O14" s="4">
        <f>IF(A14="","",IF(C14&lt;=B14,"Budget not raised - no read",IF(G14&lt;F14,"Ceiling: profit falling as budget rises - stop pushing; add creatives, improve product or open a market",IF(AND(H14&gt;0,I14&lt;H14),"Watch: conversion slipping - refresh creatives before more budget",IF(J14=0,"Watch: no new creatives - freshness will decay","Keep scaling in steps")))))</f>
        <v/>
      </c>
    </row>
    <row r="15">
      <c r="B15" s="7" t="n"/>
      <c r="C15" s="7" t="n"/>
      <c r="F15" s="7" t="n"/>
      <c r="G15" s="7" t="n"/>
      <c r="H15" s="10" t="n"/>
      <c r="I15" s="10" t="n"/>
      <c r="M15" s="8">
        <f>IF(A15="","",IF(E15-D15&lt;=0,"",(C15-B15)/(E15-D15)))</f>
        <v/>
      </c>
      <c r="N15" s="11">
        <f>IF(A15="","",IF(C15-B15&lt;=0,"",(G15-F15)/(C15-B15)))</f>
        <v/>
      </c>
      <c r="O15" s="4">
        <f>IF(A15="","",IF(C15&lt;=B15,"Budget not raised - no read",IF(G15&lt;F15,"Ceiling: profit falling as budget rises - stop pushing; add creatives, improve product or open a market",IF(AND(H15&gt;0,I15&lt;H15),"Watch: conversion slipping - refresh creatives before more budget",IF(J15=0,"Watch: no new creatives - freshness will decay","Keep scaling in steps")))))</f>
        <v/>
      </c>
    </row>
    <row r="16">
      <c r="B16" s="7" t="n"/>
      <c r="C16" s="7" t="n"/>
      <c r="F16" s="7" t="n"/>
      <c r="G16" s="7" t="n"/>
      <c r="H16" s="10" t="n"/>
      <c r="I16" s="10" t="n"/>
      <c r="M16" s="8">
        <f>IF(A16="","",IF(E16-D16&lt;=0,"",(C16-B16)/(E16-D16)))</f>
        <v/>
      </c>
      <c r="N16" s="11">
        <f>IF(A16="","",IF(C16-B16&lt;=0,"",(G16-F16)/(C16-B16)))</f>
        <v/>
      </c>
      <c r="O16" s="4">
        <f>IF(A16="","",IF(C16&lt;=B16,"Budget not raised - no read",IF(G16&lt;F16,"Ceiling: profit falling as budget rises - stop pushing; add creatives, improve product or open a market",IF(AND(H16&gt;0,I16&lt;H16),"Watch: conversion slipping - refresh creatives before more budget",IF(J16=0,"Watch: no new creatives - freshness will decay","Keep scaling in steps")))))</f>
        <v/>
      </c>
    </row>
    <row r="17">
      <c r="B17" s="7" t="n"/>
      <c r="C17" s="7" t="n"/>
      <c r="F17" s="7" t="n"/>
      <c r="G17" s="7" t="n"/>
      <c r="H17" s="10" t="n"/>
      <c r="I17" s="10" t="n"/>
      <c r="M17" s="8">
        <f>IF(A17="","",IF(E17-D17&lt;=0,"",(C17-B17)/(E17-D17)))</f>
        <v/>
      </c>
      <c r="N17" s="11">
        <f>IF(A17="","",IF(C17-B17&lt;=0,"",(G17-F17)/(C17-B17)))</f>
        <v/>
      </c>
      <c r="O17" s="4">
        <f>IF(A17="","",IF(C17&lt;=B17,"Budget not raised - no read",IF(G17&lt;F17,"Ceiling: profit falling as budget rises - stop pushing; add creatives, improve product or open a market",IF(AND(H17&gt;0,I17&lt;H17),"Watch: conversion slipping - refresh creatives before more budget",IF(J17=0,"Watch: no new creatives - freshness will decay","Keep scaling in steps")))))</f>
        <v/>
      </c>
    </row>
    <row r="18">
      <c r="B18" s="7" t="n"/>
      <c r="C18" s="7" t="n"/>
      <c r="F18" s="7" t="n"/>
      <c r="G18" s="7" t="n"/>
      <c r="H18" s="10" t="n"/>
      <c r="I18" s="10" t="n"/>
      <c r="M18" s="8">
        <f>IF(A18="","",IF(E18-D18&lt;=0,"",(C18-B18)/(E18-D18)))</f>
        <v/>
      </c>
      <c r="N18" s="11">
        <f>IF(A18="","",IF(C18-B18&lt;=0,"",(G18-F18)/(C18-B18)))</f>
        <v/>
      </c>
      <c r="O18" s="4">
        <f>IF(A18="","",IF(C18&lt;=B18,"Budget not raised - no read",IF(G18&lt;F18,"Ceiling: profit falling as budget rises - stop pushing; add creatives, improve product or open a market",IF(AND(H18&gt;0,I18&lt;H18),"Watch: conversion slipping - refresh creatives before more budget",IF(J18=0,"Watch: no new creatives - freshness will decay","Keep scaling in steps")))))</f>
        <v/>
      </c>
    </row>
    <row r="19">
      <c r="B19" s="7" t="n"/>
      <c r="C19" s="7" t="n"/>
      <c r="F19" s="7" t="n"/>
      <c r="G19" s="7" t="n"/>
      <c r="H19" s="10" t="n"/>
      <c r="I19" s="10" t="n"/>
      <c r="M19" s="8">
        <f>IF(A19="","",IF(E19-D19&lt;=0,"",(C19-B19)/(E19-D19)))</f>
        <v/>
      </c>
      <c r="N19" s="11">
        <f>IF(A19="","",IF(C19-B19&lt;=0,"",(G19-F19)/(C19-B19)))</f>
        <v/>
      </c>
      <c r="O19" s="4">
        <f>IF(A19="","",IF(C19&lt;=B19,"Budget not raised - no read",IF(G19&lt;F19,"Ceiling: profit falling as budget rises - stop pushing; add creatives, improve product or open a market",IF(AND(H19&gt;0,I19&lt;H19),"Watch: conversion slipping - refresh creatives before more budget",IF(J19=0,"Watch: no new creatives - freshness will decay","Keep scaling in steps")))))</f>
        <v/>
      </c>
    </row>
    <row r="20">
      <c r="B20" s="7" t="n"/>
      <c r="C20" s="7" t="n"/>
      <c r="F20" s="7" t="n"/>
      <c r="G20" s="7" t="n"/>
      <c r="H20" s="10" t="n"/>
      <c r="I20" s="10" t="n"/>
      <c r="M20" s="8">
        <f>IF(A20="","",IF(E20-D20&lt;=0,"",(C20-B20)/(E20-D20)))</f>
        <v/>
      </c>
      <c r="N20" s="11">
        <f>IF(A20="","",IF(C20-B20&lt;=0,"",(G20-F20)/(C20-B20)))</f>
        <v/>
      </c>
      <c r="O20" s="4">
        <f>IF(A20="","",IF(C20&lt;=B20,"Budget not raised - no read",IF(G20&lt;F20,"Ceiling: profit falling as budget rises - stop pushing; add creatives, improve product or open a market",IF(AND(H20&gt;0,I20&lt;H20),"Watch: conversion slipping - refresh creatives before more budget",IF(J20=0,"Watch: no new creatives - freshness will decay","Keep scaling in steps")))))</f>
        <v/>
      </c>
    </row>
    <row r="21">
      <c r="B21" s="7" t="n"/>
      <c r="C21" s="7" t="n"/>
      <c r="F21" s="7" t="n"/>
      <c r="G21" s="7" t="n"/>
      <c r="H21" s="10" t="n"/>
      <c r="I21" s="10" t="n"/>
      <c r="M21" s="8">
        <f>IF(A21="","",IF(E21-D21&lt;=0,"",(C21-B21)/(E21-D21)))</f>
        <v/>
      </c>
      <c r="N21" s="11">
        <f>IF(A21="","",IF(C21-B21&lt;=0,"",(G21-F21)/(C21-B21)))</f>
        <v/>
      </c>
      <c r="O21" s="4">
        <f>IF(A21="","",IF(C21&lt;=B21,"Budget not raised - no read",IF(G21&lt;F21,"Ceiling: profit falling as budget rises - stop pushing; add creatives, improve product or open a market",IF(AND(H21&gt;0,I21&lt;H21),"Watch: conversion slipping - refresh creatives before more budget",IF(J21=0,"Watch: no new creatives - freshness will decay","Keep scaling in steps")))))</f>
        <v/>
      </c>
    </row>
    <row r="22">
      <c r="B22" s="7" t="n"/>
      <c r="C22" s="7" t="n"/>
      <c r="F22" s="7" t="n"/>
      <c r="G22" s="7" t="n"/>
      <c r="H22" s="10" t="n"/>
      <c r="I22" s="10" t="n"/>
      <c r="M22" s="8">
        <f>IF(A22="","",IF(E22-D22&lt;=0,"",(C22-B22)/(E22-D22)))</f>
        <v/>
      </c>
      <c r="N22" s="11">
        <f>IF(A22="","",IF(C22-B22&lt;=0,"",(G22-F22)/(C22-B22)))</f>
        <v/>
      </c>
      <c r="O22" s="4">
        <f>IF(A22="","",IF(C22&lt;=B22,"Budget not raised - no read",IF(G22&lt;F22,"Ceiling: profit falling as budget rises - stop pushing; add creatives, improve product or open a market",IF(AND(H22&gt;0,I22&lt;H22),"Watch: conversion slipping - refresh creatives before more budget",IF(J22=0,"Watch: no new creatives - freshness will decay","Keep scaling in steps")))))</f>
        <v/>
      </c>
    </row>
    <row r="23">
      <c r="B23" s="7" t="n"/>
      <c r="C23" s="7" t="n"/>
      <c r="F23" s="7" t="n"/>
      <c r="G23" s="7" t="n"/>
      <c r="H23" s="10" t="n"/>
      <c r="I23" s="10" t="n"/>
      <c r="M23" s="8">
        <f>IF(A23="","",IF(E23-D23&lt;=0,"",(C23-B23)/(E23-D23)))</f>
        <v/>
      </c>
      <c r="N23" s="11">
        <f>IF(A23="","",IF(C23-B23&lt;=0,"",(G23-F23)/(C23-B23)))</f>
        <v/>
      </c>
      <c r="O23" s="4">
        <f>IF(A23="","",IF(C23&lt;=B23,"Budget not raised - no read",IF(G23&lt;F23,"Ceiling: profit falling as budget rises - stop pushing; add creatives, improve product or open a market",IF(AND(H23&gt;0,I23&lt;H23),"Watch: conversion slipping - refresh creatives before more budget",IF(J23=0,"Watch: no new creatives - freshness will decay","Keep scaling in steps")))))</f>
        <v/>
      </c>
    </row>
    <row r="24">
      <c r="B24" s="7" t="n"/>
      <c r="C24" s="7" t="n"/>
      <c r="F24" s="7" t="n"/>
      <c r="G24" s="7" t="n"/>
      <c r="H24" s="10" t="n"/>
      <c r="I24" s="10" t="n"/>
      <c r="M24" s="8">
        <f>IF(A24="","",IF(E24-D24&lt;=0,"",(C24-B24)/(E24-D24)))</f>
        <v/>
      </c>
      <c r="N24" s="11">
        <f>IF(A24="","",IF(C24-B24&lt;=0,"",(G24-F24)/(C24-B24)))</f>
        <v/>
      </c>
      <c r="O24" s="4">
        <f>IF(A24="","",IF(C24&lt;=B24,"Budget not raised - no read",IF(G24&lt;F24,"Ceiling: profit falling as budget rises - stop pushing; add creatives, improve product or open a market",IF(AND(H24&gt;0,I24&lt;H24),"Watch: conversion slipping - refresh creatives before more budget",IF(J24=0,"Watch: no new creatives - freshness will decay","Keep scaling in steps")))))</f>
        <v/>
      </c>
    </row>
    <row r="25">
      <c r="B25" s="7" t="n"/>
      <c r="C25" s="7" t="n"/>
      <c r="F25" s="7" t="n"/>
      <c r="G25" s="7" t="n"/>
      <c r="H25" s="10" t="n"/>
      <c r="I25" s="10" t="n"/>
      <c r="M25" s="8">
        <f>IF(A25="","",IF(E25-D25&lt;=0,"",(C25-B25)/(E25-D25)))</f>
        <v/>
      </c>
      <c r="N25" s="11">
        <f>IF(A25="","",IF(C25-B25&lt;=0,"",(G25-F25)/(C25-B25)))</f>
        <v/>
      </c>
      <c r="O25" s="4">
        <f>IF(A25="","",IF(C25&lt;=B25,"Budget not raised - no read",IF(G25&lt;F25,"Ceiling: profit falling as budget rises - stop pushing; add creatives, improve product or open a market",IF(AND(H25&gt;0,I25&lt;H25),"Watch: conversion slipping - refresh creatives before more budget",IF(J25=0,"Watch: no new creatives - freshness will decay","Keep scaling in steps")))))</f>
        <v/>
      </c>
    </row>
    <row r="26">
      <c r="B26" s="7" t="n"/>
      <c r="C26" s="7" t="n"/>
      <c r="F26" s="7" t="n"/>
      <c r="G26" s="7" t="n"/>
      <c r="H26" s="10" t="n"/>
      <c r="I26" s="10" t="n"/>
      <c r="M26" s="8">
        <f>IF(A26="","",IF(E26-D26&lt;=0,"",(C26-B26)/(E26-D26)))</f>
        <v/>
      </c>
      <c r="N26" s="11">
        <f>IF(A26="","",IF(C26-B26&lt;=0,"",(G26-F26)/(C26-B26)))</f>
        <v/>
      </c>
      <c r="O26" s="4">
        <f>IF(A26="","",IF(C26&lt;=B26,"Budget not raised - no read",IF(G26&lt;F26,"Ceiling: profit falling as budget rises - stop pushing; add creatives, improve product or open a market",IF(AND(H26&gt;0,I26&lt;H26),"Watch: conversion slipping - refresh creatives before more budget",IF(J26=0,"Watch: no new creatives - freshness will decay","Keep scaling in steps")))))</f>
        <v/>
      </c>
    </row>
    <row r="27">
      <c r="B27" s="7" t="n"/>
      <c r="C27" s="7" t="n"/>
      <c r="F27" s="7" t="n"/>
      <c r="G27" s="7" t="n"/>
      <c r="H27" s="10" t="n"/>
      <c r="I27" s="10" t="n"/>
      <c r="M27" s="8">
        <f>IF(A27="","",IF(E27-D27&lt;=0,"",(C27-B27)/(E27-D27)))</f>
        <v/>
      </c>
      <c r="N27" s="11">
        <f>IF(A27="","",IF(C27-B27&lt;=0,"",(G27-F27)/(C27-B27)))</f>
        <v/>
      </c>
      <c r="O27" s="4">
        <f>IF(A27="","",IF(C27&lt;=B27,"Budget not raised - no read",IF(G27&lt;F27,"Ceiling: profit falling as budget rises - stop pushing; add creatives, improve product or open a market",IF(AND(H27&gt;0,I27&lt;H27),"Watch: conversion slipping - refresh creatives before more budget",IF(J27=0,"Watch: no new creatives - freshness will decay","Keep scaling in steps")))))</f>
        <v/>
      </c>
    </row>
    <row r="28">
      <c r="B28" s="7" t="n"/>
      <c r="C28" s="7" t="n"/>
      <c r="F28" s="7" t="n"/>
      <c r="G28" s="7" t="n"/>
      <c r="H28" s="10" t="n"/>
      <c r="I28" s="10" t="n"/>
      <c r="M28" s="8">
        <f>IF(A28="","",IF(E28-D28&lt;=0,"",(C28-B28)/(E28-D28)))</f>
        <v/>
      </c>
      <c r="N28" s="11">
        <f>IF(A28="","",IF(C28-B28&lt;=0,"",(G28-F28)/(C28-B28)))</f>
        <v/>
      </c>
      <c r="O28" s="4">
        <f>IF(A28="","",IF(C28&lt;=B28,"Budget not raised - no read",IF(G28&lt;F28,"Ceiling: profit falling as budget rises - stop pushing; add creatives, improve product or open a market",IF(AND(H28&gt;0,I28&lt;H28),"Watch: conversion slipping - refresh creatives before more budget",IF(J28=0,"Watch: no new creatives - freshness will decay","Keep scaling in steps")))))</f>
        <v/>
      </c>
    </row>
    <row r="29">
      <c r="B29" s="7" t="n"/>
      <c r="C29" s="7" t="n"/>
      <c r="F29" s="7" t="n"/>
      <c r="G29" s="7" t="n"/>
      <c r="H29" s="10" t="n"/>
      <c r="I29" s="10" t="n"/>
      <c r="M29" s="8">
        <f>IF(A29="","",IF(E29-D29&lt;=0,"",(C29-B29)/(E29-D29)))</f>
        <v/>
      </c>
      <c r="N29" s="11">
        <f>IF(A29="","",IF(C29-B29&lt;=0,"",(G29-F29)/(C29-B29)))</f>
        <v/>
      </c>
      <c r="O29" s="4">
        <f>IF(A29="","",IF(C29&lt;=B29,"Budget not raised - no read",IF(G29&lt;F29,"Ceiling: profit falling as budget rises - stop pushing; add creatives, improve product or open a market",IF(AND(H29&gt;0,I29&lt;H29),"Watch: conversion slipping - refresh creatives before more budget",IF(J29=0,"Watch: no new creatives - freshness will decay","Keep scaling in steps")))))</f>
        <v/>
      </c>
    </row>
    <row r="30">
      <c r="B30" s="7" t="n"/>
      <c r="C30" s="7" t="n"/>
      <c r="F30" s="7" t="n"/>
      <c r="G30" s="7" t="n"/>
      <c r="H30" s="10" t="n"/>
      <c r="I30" s="10" t="n"/>
      <c r="M30" s="8">
        <f>IF(A30="","",IF(E30-D30&lt;=0,"",(C30-B30)/(E30-D30)))</f>
        <v/>
      </c>
      <c r="N30" s="11">
        <f>IF(A30="","",IF(C30-B30&lt;=0,"",(G30-F30)/(C30-B30)))</f>
        <v/>
      </c>
      <c r="O30" s="4">
        <f>IF(A30="","",IF(C30&lt;=B30,"Budget not raised - no read",IF(G30&lt;F30,"Ceiling: profit falling as budget rises - stop pushing; add creatives, improve product or open a market",IF(AND(H30&gt;0,I30&lt;H30),"Watch: conversion slipping - refresh creatives before more budget",IF(J30=0,"Watch: no new creatives - freshness will decay","Keep scaling in steps")))))</f>
        <v/>
      </c>
    </row>
    <row r="31">
      <c r="B31" s="7" t="n"/>
      <c r="C31" s="7" t="n"/>
      <c r="F31" s="7" t="n"/>
      <c r="G31" s="7" t="n"/>
      <c r="H31" s="10" t="n"/>
      <c r="I31" s="10" t="n"/>
      <c r="M31" s="8">
        <f>IF(A31="","",IF(E31-D31&lt;=0,"",(C31-B31)/(E31-D31)))</f>
        <v/>
      </c>
      <c r="N31" s="11">
        <f>IF(A31="","",IF(C31-B31&lt;=0,"",(G31-F31)/(C31-B31)))</f>
        <v/>
      </c>
      <c r="O31" s="4">
        <f>IF(A31="","",IF(C31&lt;=B31,"Budget not raised - no read",IF(G31&lt;F31,"Ceiling: profit falling as budget rises - stop pushing; add creatives, improve product or open a market",IF(AND(H31&gt;0,I31&lt;H31),"Watch: conversion slipping - refresh creatives before more budget",IF(J31=0,"Watch: no new creatives - freshness will decay","Keep scaling in steps")))))</f>
        <v/>
      </c>
    </row>
    <row r="32">
      <c r="B32" s="7" t="n"/>
      <c r="C32" s="7" t="n"/>
      <c r="F32" s="7" t="n"/>
      <c r="G32" s="7" t="n"/>
      <c r="H32" s="10" t="n"/>
      <c r="I32" s="10" t="n"/>
      <c r="M32" s="8">
        <f>IF(A32="","",IF(E32-D32&lt;=0,"",(C32-B32)/(E32-D32)))</f>
        <v/>
      </c>
      <c r="N32" s="11">
        <f>IF(A32="","",IF(C32-B32&lt;=0,"",(G32-F32)/(C32-B32)))</f>
        <v/>
      </c>
      <c r="O32" s="4">
        <f>IF(A32="","",IF(C32&lt;=B32,"Budget not raised - no read",IF(G32&lt;F32,"Ceiling: profit falling as budget rises - stop pushing; add creatives, improve product or open a market",IF(AND(H32&gt;0,I32&lt;H32),"Watch: conversion slipping - refresh creatives before more budget",IF(J32=0,"Watch: no new creatives - freshness will decay","Keep scaling in steps")))))</f>
        <v/>
      </c>
    </row>
    <row r="33">
      <c r="B33" s="7" t="n"/>
      <c r="C33" s="7" t="n"/>
      <c r="F33" s="7" t="n"/>
      <c r="G33" s="7" t="n"/>
      <c r="H33" s="10" t="n"/>
      <c r="I33" s="10" t="n"/>
      <c r="M33" s="8">
        <f>IF(A33="","",IF(E33-D33&lt;=0,"",(C33-B33)/(E33-D33)))</f>
        <v/>
      </c>
      <c r="N33" s="11">
        <f>IF(A33="","",IF(C33-B33&lt;=0,"",(G33-F33)/(C33-B33)))</f>
        <v/>
      </c>
      <c r="O33" s="4">
        <f>IF(A33="","",IF(C33&lt;=B33,"Budget not raised - no read",IF(G33&lt;F33,"Ceiling: profit falling as budget rises - stop pushing; add creatives, improve product or open a market",IF(AND(H33&gt;0,I33&lt;H33),"Watch: conversion slipping - refresh creatives before more budget",IF(J33=0,"Watch: no new creatives - freshness will decay","Keep scaling in steps")))))</f>
        <v/>
      </c>
    </row>
    <row r="34">
      <c r="B34" s="7" t="n"/>
      <c r="C34" s="7" t="n"/>
      <c r="F34" s="7" t="n"/>
      <c r="G34" s="7" t="n"/>
      <c r="H34" s="10" t="n"/>
      <c r="I34" s="10" t="n"/>
      <c r="M34" s="8">
        <f>IF(A34="","",IF(E34-D34&lt;=0,"",(C34-B34)/(E34-D34)))</f>
        <v/>
      </c>
      <c r="N34" s="11">
        <f>IF(A34="","",IF(C34-B34&lt;=0,"",(G34-F34)/(C34-B34)))</f>
        <v/>
      </c>
      <c r="O34" s="4">
        <f>IF(A34="","",IF(C34&lt;=B34,"Budget not raised - no read",IF(G34&lt;F34,"Ceiling: profit falling as budget rises - stop pushing; add creatives, improve product or open a market",IF(AND(H34&gt;0,I34&lt;H34),"Watch: conversion slipping - refresh creatives before more budget",IF(J34=0,"Watch: no new creatives - freshness will decay","Keep scaling in steps")))))</f>
        <v/>
      </c>
    </row>
    <row r="35">
      <c r="B35" s="7" t="n"/>
      <c r="C35" s="7" t="n"/>
      <c r="F35" s="7" t="n"/>
      <c r="G35" s="7" t="n"/>
      <c r="H35" s="10" t="n"/>
      <c r="I35" s="10" t="n"/>
      <c r="M35" s="8">
        <f>IF(A35="","",IF(E35-D35&lt;=0,"",(C35-B35)/(E35-D35)))</f>
        <v/>
      </c>
      <c r="N35" s="11">
        <f>IF(A35="","",IF(C35-B35&lt;=0,"",(G35-F35)/(C35-B35)))</f>
        <v/>
      </c>
      <c r="O35" s="4">
        <f>IF(A35="","",IF(C35&lt;=B35,"Budget not raised - no read",IF(G35&lt;F35,"Ceiling: profit falling as budget rises - stop pushing; add creatives, improve product or open a market",IF(AND(H35&gt;0,I35&lt;H35),"Watch: conversion slipping - refresh creatives before more budget",IF(J35=0,"Watch: no new creatives - freshness will decay","Keep scaling in steps")))))</f>
        <v/>
      </c>
    </row>
    <row r="36">
      <c r="B36" s="7" t="n"/>
      <c r="C36" s="7" t="n"/>
      <c r="F36" s="7" t="n"/>
      <c r="G36" s="7" t="n"/>
      <c r="H36" s="10" t="n"/>
      <c r="I36" s="10" t="n"/>
      <c r="M36" s="8">
        <f>IF(A36="","",IF(E36-D36&lt;=0,"",(C36-B36)/(E36-D36)))</f>
        <v/>
      </c>
      <c r="N36" s="11">
        <f>IF(A36="","",IF(C36-B36&lt;=0,"",(G36-F36)/(C36-B36)))</f>
        <v/>
      </c>
      <c r="O36" s="4">
        <f>IF(A36="","",IF(C36&lt;=B36,"Budget not raised - no read",IF(G36&lt;F36,"Ceiling: profit falling as budget rises - stop pushing; add creatives, improve product or open a market",IF(AND(H36&gt;0,I36&lt;H36),"Watch: conversion slipping - refresh creatives before more budget",IF(J36=0,"Watch: no new creatives - freshness will decay","Keep scaling in steps")))))</f>
        <v/>
      </c>
    </row>
    <row r="37">
      <c r="B37" s="7" t="n"/>
      <c r="C37" s="7" t="n"/>
      <c r="F37" s="7" t="n"/>
      <c r="G37" s="7" t="n"/>
      <c r="H37" s="10" t="n"/>
      <c r="I37" s="10" t="n"/>
      <c r="M37" s="8">
        <f>IF(A37="","",IF(E37-D37&lt;=0,"",(C37-B37)/(E37-D37)))</f>
        <v/>
      </c>
      <c r="N37" s="11">
        <f>IF(A37="","",IF(C37-B37&lt;=0,"",(G37-F37)/(C37-B37)))</f>
        <v/>
      </c>
      <c r="O37" s="4">
        <f>IF(A37="","",IF(C37&lt;=B37,"Budget not raised - no read",IF(G37&lt;F37,"Ceiling: profit falling as budget rises - stop pushing; add creatives, improve product or open a market",IF(AND(H37&gt;0,I37&lt;H37),"Watch: conversion slipping - refresh creatives before more budget",IF(J37=0,"Watch: no new creatives - freshness will decay","Keep scaling in steps")))))</f>
        <v/>
      </c>
    </row>
    <row r="38">
      <c r="B38" s="7" t="n"/>
      <c r="C38" s="7" t="n"/>
      <c r="F38" s="7" t="n"/>
      <c r="G38" s="7" t="n"/>
      <c r="H38" s="10" t="n"/>
      <c r="I38" s="10" t="n"/>
      <c r="M38" s="8">
        <f>IF(A38="","",IF(E38-D38&lt;=0,"",(C38-B38)/(E38-D38)))</f>
        <v/>
      </c>
      <c r="N38" s="11">
        <f>IF(A38="","",IF(C38-B38&lt;=0,"",(G38-F38)/(C38-B38)))</f>
        <v/>
      </c>
      <c r="O38" s="4">
        <f>IF(A38="","",IF(C38&lt;=B38,"Budget not raised - no read",IF(G38&lt;F38,"Ceiling: profit falling as budget rises - stop pushing; add creatives, improve product or open a market",IF(AND(H38&gt;0,I38&lt;H38),"Watch: conversion slipping - refresh creatives before more budget",IF(J38=0,"Watch: no new creatives - freshness will decay","Keep scaling in steps")))))</f>
        <v/>
      </c>
    </row>
    <row r="39">
      <c r="B39" s="7" t="n"/>
      <c r="C39" s="7" t="n"/>
      <c r="F39" s="7" t="n"/>
      <c r="G39" s="7" t="n"/>
      <c r="H39" s="10" t="n"/>
      <c r="I39" s="10" t="n"/>
      <c r="M39" s="8">
        <f>IF(A39="","",IF(E39-D39&lt;=0,"",(C39-B39)/(E39-D39)))</f>
        <v/>
      </c>
      <c r="N39" s="11">
        <f>IF(A39="","",IF(C39-B39&lt;=0,"",(G39-F39)/(C39-B39)))</f>
        <v/>
      </c>
      <c r="O39" s="4">
        <f>IF(A39="","",IF(C39&lt;=B39,"Budget not raised - no read",IF(G39&lt;F39,"Ceiling: profit falling as budget rises - stop pushing; add creatives, improve product or open a market",IF(AND(H39&gt;0,I39&lt;H39),"Watch: conversion slipping - refresh creatives before more budget",IF(J39=0,"Watch: no new creatives - freshness will decay","Keep scaling in steps")))))</f>
        <v/>
      </c>
    </row>
    <row r="40">
      <c r="B40" s="7" t="n"/>
      <c r="C40" s="7" t="n"/>
      <c r="F40" s="7" t="n"/>
      <c r="G40" s="7" t="n"/>
      <c r="H40" s="10" t="n"/>
      <c r="I40" s="10" t="n"/>
      <c r="M40" s="8">
        <f>IF(A40="","",IF(E40-D40&lt;=0,"",(C40-B40)/(E40-D40)))</f>
        <v/>
      </c>
      <c r="N40" s="11">
        <f>IF(A40="","",IF(C40-B40&lt;=0,"",(G40-F40)/(C40-B40)))</f>
        <v/>
      </c>
      <c r="O40" s="4">
        <f>IF(A40="","",IF(C40&lt;=B40,"Budget not raised - no read",IF(G40&lt;F40,"Ceiling: profit falling as budget rises - stop pushing; add creatives, improve product or open a market",IF(AND(H40&gt;0,I40&lt;H40),"Watch: conversion slipping - refresh creatives before more budget",IF(J40=0,"Watch: no new creatives - freshness will decay","Keep scaling in steps")))))</f>
        <v/>
      </c>
    </row>
    <row r="41">
      <c r="B41" s="7" t="n"/>
      <c r="C41" s="7" t="n"/>
      <c r="F41" s="7" t="n"/>
      <c r="G41" s="7" t="n"/>
      <c r="H41" s="10" t="n"/>
      <c r="I41" s="10" t="n"/>
      <c r="M41" s="8">
        <f>IF(A41="","",IF(E41-D41&lt;=0,"",(C41-B41)/(E41-D41)))</f>
        <v/>
      </c>
      <c r="N41" s="11">
        <f>IF(A41="","",IF(C41-B41&lt;=0,"",(G41-F41)/(C41-B41)))</f>
        <v/>
      </c>
      <c r="O41" s="4">
        <f>IF(A41="","",IF(C41&lt;=B41,"Budget not raised - no read",IF(G41&lt;F41,"Ceiling: profit falling as budget rises - stop pushing; add creatives, improve product or open a market",IF(AND(H41&gt;0,I41&lt;H41),"Watch: conversion slipping - refresh creatives before more budget",IF(J41=0,"Watch: no new creatives - freshness will decay","Keep scaling in steps")))))</f>
        <v/>
      </c>
    </row>
    <row r="42">
      <c r="B42" s="7" t="n"/>
      <c r="C42" s="7" t="n"/>
      <c r="F42" s="7" t="n"/>
      <c r="G42" s="7" t="n"/>
      <c r="H42" s="10" t="n"/>
      <c r="I42" s="10" t="n"/>
      <c r="M42" s="8">
        <f>IF(A42="","",IF(E42-D42&lt;=0,"",(C42-B42)/(E42-D42)))</f>
        <v/>
      </c>
      <c r="N42" s="11">
        <f>IF(A42="","",IF(C42-B42&lt;=0,"",(G42-F42)/(C42-B42)))</f>
        <v/>
      </c>
      <c r="O42" s="4">
        <f>IF(A42="","",IF(C42&lt;=B42,"Budget not raised - no read",IF(G42&lt;F42,"Ceiling: profit falling as budget rises - stop pushing; add creatives, improve product or open a market",IF(AND(H42&gt;0,I42&lt;H42),"Watch: conversion slipping - refresh creatives before more budget",IF(J42=0,"Watch: no new creatives - freshness will decay","Keep scaling in steps")))))</f>
        <v/>
      </c>
    </row>
    <row r="43">
      <c r="B43" s="7" t="n"/>
      <c r="C43" s="7" t="n"/>
      <c r="F43" s="7" t="n"/>
      <c r="G43" s="7" t="n"/>
      <c r="H43" s="10" t="n"/>
      <c r="I43" s="10" t="n"/>
      <c r="M43" s="8">
        <f>IF(A43="","",IF(E43-D43&lt;=0,"",(C43-B43)/(E43-D43)))</f>
        <v/>
      </c>
      <c r="N43" s="11">
        <f>IF(A43="","",IF(C43-B43&lt;=0,"",(G43-F43)/(C43-B43)))</f>
        <v/>
      </c>
      <c r="O43" s="4">
        <f>IF(A43="","",IF(C43&lt;=B43,"Budget not raised - no read",IF(G43&lt;F43,"Ceiling: profit falling as budget rises - stop pushing; add creatives, improve product or open a market",IF(AND(H43&gt;0,I43&lt;H43),"Watch: conversion slipping - refresh creatives before more budget",IF(J43=0,"Watch: no new creatives - freshness will decay","Keep scaling in steps")))))</f>
        <v/>
      </c>
    </row>
    <row r="44">
      <c r="B44" s="7" t="n"/>
      <c r="C44" s="7" t="n"/>
      <c r="F44" s="7" t="n"/>
      <c r="G44" s="7" t="n"/>
      <c r="H44" s="10" t="n"/>
      <c r="I44" s="10" t="n"/>
      <c r="M44" s="8">
        <f>IF(A44="","",IF(E44-D44&lt;=0,"",(C44-B44)/(E44-D44)))</f>
        <v/>
      </c>
      <c r="N44" s="11">
        <f>IF(A44="","",IF(C44-B44&lt;=0,"",(G44-F44)/(C44-B44)))</f>
        <v/>
      </c>
      <c r="O44" s="4">
        <f>IF(A44="","",IF(C44&lt;=B44,"Budget not raised - no read",IF(G44&lt;F44,"Ceiling: profit falling as budget rises - stop pushing; add creatives, improve product or open a market",IF(AND(H44&gt;0,I44&lt;H44),"Watch: conversion slipping - refresh creatives before more budget",IF(J44=0,"Watch: no new creatives - freshness will decay","Keep scaling in steps")))))</f>
        <v/>
      </c>
    </row>
    <row r="45">
      <c r="B45" s="7" t="n"/>
      <c r="C45" s="7" t="n"/>
      <c r="F45" s="7" t="n"/>
      <c r="G45" s="7" t="n"/>
      <c r="H45" s="10" t="n"/>
      <c r="I45" s="10" t="n"/>
      <c r="M45" s="8">
        <f>IF(A45="","",IF(E45-D45&lt;=0,"",(C45-B45)/(E45-D45)))</f>
        <v/>
      </c>
      <c r="N45" s="11">
        <f>IF(A45="","",IF(C45-B45&lt;=0,"",(G45-F45)/(C45-B45)))</f>
        <v/>
      </c>
      <c r="O45" s="4">
        <f>IF(A45="","",IF(C45&lt;=B45,"Budget not raised - no read",IF(G45&lt;F45,"Ceiling: profit falling as budget rises - stop pushing; add creatives, improve product or open a market",IF(AND(H45&gt;0,I45&lt;H45),"Watch: conversion slipping - refresh creatives before more budget",IF(J45=0,"Watch: no new creatives - freshness will decay","Keep scaling in steps")))))</f>
        <v/>
      </c>
    </row>
    <row r="46">
      <c r="B46" s="7" t="n"/>
      <c r="C46" s="7" t="n"/>
      <c r="F46" s="7" t="n"/>
      <c r="G46" s="7" t="n"/>
      <c r="H46" s="10" t="n"/>
      <c r="I46" s="10" t="n"/>
      <c r="M46" s="8">
        <f>IF(A46="","",IF(E46-D46&lt;=0,"",(C46-B46)/(E46-D46)))</f>
        <v/>
      </c>
      <c r="N46" s="11">
        <f>IF(A46="","",IF(C46-B46&lt;=0,"",(G46-F46)/(C46-B46)))</f>
        <v/>
      </c>
      <c r="O46" s="4">
        <f>IF(A46="","",IF(C46&lt;=B46,"Budget not raised - no read",IF(G46&lt;F46,"Ceiling: profit falling as budget rises - stop pushing; add creatives, improve product or open a market",IF(AND(H46&gt;0,I46&lt;H46),"Watch: conversion slipping - refresh creatives before more budget",IF(J46=0,"Watch: no new creatives - freshness will decay","Keep scaling in steps")))))</f>
        <v/>
      </c>
    </row>
    <row r="47">
      <c r="B47" s="7" t="n"/>
      <c r="C47" s="7" t="n"/>
      <c r="F47" s="7" t="n"/>
      <c r="G47" s="7" t="n"/>
      <c r="H47" s="10" t="n"/>
      <c r="I47" s="10" t="n"/>
      <c r="M47" s="8">
        <f>IF(A47="","",IF(E47-D47&lt;=0,"",(C47-B47)/(E47-D47)))</f>
        <v/>
      </c>
      <c r="N47" s="11">
        <f>IF(A47="","",IF(C47-B47&lt;=0,"",(G47-F47)/(C47-B47)))</f>
        <v/>
      </c>
      <c r="O47" s="4">
        <f>IF(A47="","",IF(C47&lt;=B47,"Budget not raised - no read",IF(G47&lt;F47,"Ceiling: profit falling as budget rises - stop pushing; add creatives, improve product or open a market",IF(AND(H47&gt;0,I47&lt;H47),"Watch: conversion slipping - refresh creatives before more budget",IF(J47=0,"Watch: no new creatives - freshness will decay","Keep scaling in steps")))))</f>
        <v/>
      </c>
    </row>
    <row r="48">
      <c r="B48" s="7" t="n"/>
      <c r="C48" s="7" t="n"/>
      <c r="F48" s="7" t="n"/>
      <c r="G48" s="7" t="n"/>
      <c r="H48" s="10" t="n"/>
      <c r="I48" s="10" t="n"/>
      <c r="M48" s="8">
        <f>IF(A48="","",IF(E48-D48&lt;=0,"",(C48-B48)/(E48-D48)))</f>
        <v/>
      </c>
      <c r="N48" s="11">
        <f>IF(A48="","",IF(C48-B48&lt;=0,"",(G48-F48)/(C48-B48)))</f>
        <v/>
      </c>
      <c r="O48" s="4">
        <f>IF(A48="","",IF(C48&lt;=B48,"Budget not raised - no read",IF(G48&lt;F48,"Ceiling: profit falling as budget rises - stop pushing; add creatives, improve product or open a market",IF(AND(H48&gt;0,I48&lt;H48),"Watch: conversion slipping - refresh creatives before more budget",IF(J48=0,"Watch: no new creatives - freshness will decay","Keep scaling in steps")))))</f>
        <v/>
      </c>
    </row>
    <row r="49">
      <c r="B49" s="7" t="n"/>
      <c r="C49" s="7" t="n"/>
      <c r="F49" s="7" t="n"/>
      <c r="G49" s="7" t="n"/>
      <c r="H49" s="10" t="n"/>
      <c r="I49" s="10" t="n"/>
      <c r="M49" s="8">
        <f>IF(A49="","",IF(E49-D49&lt;=0,"",(C49-B49)/(E49-D49)))</f>
        <v/>
      </c>
      <c r="N49" s="11">
        <f>IF(A49="","",IF(C49-B49&lt;=0,"",(G49-F49)/(C49-B49)))</f>
        <v/>
      </c>
      <c r="O49" s="4">
        <f>IF(A49="","",IF(C49&lt;=B49,"Budget not raised - no read",IF(G49&lt;F49,"Ceiling: profit falling as budget rises - stop pushing; add creatives, improve product or open a market",IF(AND(H49&gt;0,I49&lt;H49),"Watch: conversion slipping - refresh creatives before more budget",IF(J49=0,"Watch: no new creatives - freshness will decay","Keep scaling in steps")))))</f>
        <v/>
      </c>
    </row>
    <row r="50">
      <c r="B50" s="7" t="n"/>
      <c r="C50" s="7" t="n"/>
      <c r="F50" s="7" t="n"/>
      <c r="G50" s="7" t="n"/>
      <c r="H50" s="10" t="n"/>
      <c r="I50" s="10" t="n"/>
      <c r="M50" s="8">
        <f>IF(A50="","",IF(E50-D50&lt;=0,"",(C50-B50)/(E50-D50)))</f>
        <v/>
      </c>
      <c r="N50" s="11">
        <f>IF(A50="","",IF(C50-B50&lt;=0,"",(G50-F50)/(C50-B50)))</f>
        <v/>
      </c>
      <c r="O50" s="4">
        <f>IF(A50="","",IF(C50&lt;=B50,"Budget not raised - no read",IF(G50&lt;F50,"Ceiling: profit falling as budget rises - stop pushing; add creatives, improve product or open a market",IF(AND(H50&gt;0,I50&lt;H50),"Watch: conversion slipping - refresh creatives before more budget",IF(J50=0,"Watch: no new creatives - freshness will decay","Keep scaling in steps")))))</f>
        <v/>
      </c>
    </row>
    <row r="51">
      <c r="B51" s="7" t="n"/>
      <c r="C51" s="7" t="n"/>
      <c r="F51" s="7" t="n"/>
      <c r="G51" s="7" t="n"/>
      <c r="H51" s="10" t="n"/>
      <c r="I51" s="10" t="n"/>
      <c r="M51" s="8">
        <f>IF(A51="","",IF(E51-D51&lt;=0,"",(C51-B51)/(E51-D51)))</f>
        <v/>
      </c>
      <c r="N51" s="11">
        <f>IF(A51="","",IF(C51-B51&lt;=0,"",(G51-F51)/(C51-B51)))</f>
        <v/>
      </c>
      <c r="O51" s="4">
        <f>IF(A51="","",IF(C51&lt;=B51,"Budget not raised - no read",IF(G51&lt;F51,"Ceiling: profit falling as budget rises - stop pushing; add creatives, improve product or open a market",IF(AND(H51&gt;0,I51&lt;H51),"Watch: conversion slipping - refresh creatives before more budget",IF(J51=0,"Watch: no new creatives - freshness will decay","Keep scaling in steps")))))</f>
        <v/>
      </c>
    </row>
    <row r="52">
      <c r="B52" s="7" t="n"/>
      <c r="C52" s="7" t="n"/>
      <c r="F52" s="7" t="n"/>
      <c r="G52" s="7" t="n"/>
      <c r="H52" s="10" t="n"/>
      <c r="I52" s="10" t="n"/>
      <c r="M52" s="8">
        <f>IF(A52="","",IF(E52-D52&lt;=0,"",(C52-B52)/(E52-D52)))</f>
        <v/>
      </c>
      <c r="N52" s="11">
        <f>IF(A52="","",IF(C52-B52&lt;=0,"",(G52-F52)/(C52-B52)))</f>
        <v/>
      </c>
      <c r="O52" s="4">
        <f>IF(A52="","",IF(C52&lt;=B52,"Budget not raised - no read",IF(G52&lt;F52,"Ceiling: profit falling as budget rises - stop pushing; add creatives, improve product or open a market",IF(AND(H52&gt;0,I52&lt;H52),"Watch: conversion slipping - refresh creatives before more budget",IF(J52=0,"Watch: no new creatives - freshness will decay","Keep scaling in steps")))))</f>
        <v/>
      </c>
    </row>
    <row r="53">
      <c r="B53" s="7" t="n"/>
      <c r="C53" s="7" t="n"/>
      <c r="F53" s="7" t="n"/>
      <c r="G53" s="7" t="n"/>
      <c r="H53" s="10" t="n"/>
      <c r="I53" s="10" t="n"/>
      <c r="M53" s="8">
        <f>IF(A53="","",IF(E53-D53&lt;=0,"",(C53-B53)/(E53-D53)))</f>
        <v/>
      </c>
      <c r="N53" s="11">
        <f>IF(A53="","",IF(C53-B53&lt;=0,"",(G53-F53)/(C53-B53)))</f>
        <v/>
      </c>
      <c r="O53" s="4">
        <f>IF(A53="","",IF(C53&lt;=B53,"Budget not raised - no read",IF(G53&lt;F53,"Ceiling: profit falling as budget rises - stop pushing; add creatives, improve product or open a market",IF(AND(H53&gt;0,I53&lt;H53),"Watch: conversion slipping - refresh creatives before more budget",IF(J53=0,"Watch: no new creatives - freshness will decay","Keep scaling in steps")))))</f>
        <v/>
      </c>
    </row>
    <row r="54">
      <c r="B54" s="7" t="n"/>
      <c r="C54" s="7" t="n"/>
      <c r="F54" s="7" t="n"/>
      <c r="G54" s="7" t="n"/>
      <c r="H54" s="10" t="n"/>
      <c r="I54" s="10" t="n"/>
      <c r="M54" s="8">
        <f>IF(A54="","",IF(E54-D54&lt;=0,"",(C54-B54)/(E54-D54)))</f>
        <v/>
      </c>
      <c r="N54" s="11">
        <f>IF(A54="","",IF(C54-B54&lt;=0,"",(G54-F54)/(C54-B54)))</f>
        <v/>
      </c>
      <c r="O54" s="4">
        <f>IF(A54="","",IF(C54&lt;=B54,"Budget not raised - no read",IF(G54&lt;F54,"Ceiling: profit falling as budget rises - stop pushing; add creatives, improve product or open a market",IF(AND(H54&gt;0,I54&lt;H54),"Watch: conversion slipping - refresh creatives before more budget",IF(J54=0,"Watch: no new creatives - freshness will decay","Keep scaling in steps")))))</f>
        <v/>
      </c>
    </row>
    <row r="55">
      <c r="B55" s="7" t="n"/>
      <c r="C55" s="7" t="n"/>
      <c r="F55" s="7" t="n"/>
      <c r="G55" s="7" t="n"/>
      <c r="H55" s="10" t="n"/>
      <c r="I55" s="10" t="n"/>
      <c r="M55" s="8">
        <f>IF(A55="","",IF(E55-D55&lt;=0,"",(C55-B55)/(E55-D55)))</f>
        <v/>
      </c>
      <c r="N55" s="11">
        <f>IF(A55="","",IF(C55-B55&lt;=0,"",(G55-F55)/(C55-B55)))</f>
        <v/>
      </c>
      <c r="O55" s="4">
        <f>IF(A55="","",IF(C55&lt;=B55,"Budget not raised - no read",IF(G55&lt;F55,"Ceiling: profit falling as budget rises - stop pushing; add creatives, improve product or open a market",IF(AND(H55&gt;0,I55&lt;H55),"Watch: conversion slipping - refresh creatives before more budget",IF(J55=0,"Watch: no new creatives - freshness will decay","Keep scaling in steps")))))</f>
        <v/>
      </c>
    </row>
    <row r="56">
      <c r="B56" s="7" t="n"/>
      <c r="C56" s="7" t="n"/>
      <c r="F56" s="7" t="n"/>
      <c r="G56" s="7" t="n"/>
      <c r="H56" s="10" t="n"/>
      <c r="I56" s="10" t="n"/>
      <c r="M56" s="8">
        <f>IF(A56="","",IF(E56-D56&lt;=0,"",(C56-B56)/(E56-D56)))</f>
        <v/>
      </c>
      <c r="N56" s="11">
        <f>IF(A56="","",IF(C56-B56&lt;=0,"",(G56-F56)/(C56-B56)))</f>
        <v/>
      </c>
      <c r="O56" s="4">
        <f>IF(A56="","",IF(C56&lt;=B56,"Budget not raised - no read",IF(G56&lt;F56,"Ceiling: profit falling as budget rises - stop pushing; add creatives, improve product or open a market",IF(AND(H56&gt;0,I56&lt;H56),"Watch: conversion slipping - refresh creatives before more budget",IF(J56=0,"Watch: no new creatives - freshness will decay","Keep scaling in steps")))))</f>
        <v/>
      </c>
    </row>
    <row r="57">
      <c r="B57" s="7" t="n"/>
      <c r="C57" s="7" t="n"/>
      <c r="F57" s="7" t="n"/>
      <c r="G57" s="7" t="n"/>
      <c r="H57" s="10" t="n"/>
      <c r="I57" s="10" t="n"/>
      <c r="M57" s="8">
        <f>IF(A57="","",IF(E57-D57&lt;=0,"",(C57-B57)/(E57-D57)))</f>
        <v/>
      </c>
      <c r="N57" s="11">
        <f>IF(A57="","",IF(C57-B57&lt;=0,"",(G57-F57)/(C57-B57)))</f>
        <v/>
      </c>
      <c r="O57" s="4">
        <f>IF(A57="","",IF(C57&lt;=B57,"Budget not raised - no read",IF(G57&lt;F57,"Ceiling: profit falling as budget rises - stop pushing; add creatives, improve product or open a market",IF(AND(H57&gt;0,I57&lt;H57),"Watch: conversion slipping - refresh creatives before more budget",IF(J57=0,"Watch: no new creatives - freshness will decay","Keep scaling in steps")))))</f>
        <v/>
      </c>
    </row>
    <row r="58">
      <c r="B58" s="7" t="n"/>
      <c r="C58" s="7" t="n"/>
      <c r="F58" s="7" t="n"/>
      <c r="G58" s="7" t="n"/>
      <c r="H58" s="10" t="n"/>
      <c r="I58" s="10" t="n"/>
      <c r="M58" s="8">
        <f>IF(A58="","",IF(E58-D58&lt;=0,"",(C58-B58)/(E58-D58)))</f>
        <v/>
      </c>
      <c r="N58" s="11">
        <f>IF(A58="","",IF(C58-B58&lt;=0,"",(G58-F58)/(C58-B58)))</f>
        <v/>
      </c>
      <c r="O58" s="4">
        <f>IF(A58="","",IF(C58&lt;=B58,"Budget not raised - no read",IF(G58&lt;F58,"Ceiling: profit falling as budget rises - stop pushing; add creatives, improve product or open a market",IF(AND(H58&gt;0,I58&lt;H58),"Watch: conversion slipping - refresh creatives before more budget",IF(J58=0,"Watch: no new creatives - freshness will decay","Keep scaling in steps")))))</f>
        <v/>
      </c>
    </row>
    <row r="59">
      <c r="B59" s="7" t="n"/>
      <c r="C59" s="7" t="n"/>
      <c r="F59" s="7" t="n"/>
      <c r="G59" s="7" t="n"/>
      <c r="H59" s="10" t="n"/>
      <c r="I59" s="10" t="n"/>
      <c r="M59" s="8">
        <f>IF(A59="","",IF(E59-D59&lt;=0,"",(C59-B59)/(E59-D59)))</f>
        <v/>
      </c>
      <c r="N59" s="11">
        <f>IF(A59="","",IF(C59-B59&lt;=0,"",(G59-F59)/(C59-B59)))</f>
        <v/>
      </c>
      <c r="O59" s="4">
        <f>IF(A59="","",IF(C59&lt;=B59,"Budget not raised - no read",IF(G59&lt;F59,"Ceiling: profit falling as budget rises - stop pushing; add creatives, improve product or open a market",IF(AND(H59&gt;0,I59&lt;H59),"Watch: conversion slipping - refresh creatives before more budget",IF(J59=0,"Watch: no new creatives - freshness will decay","Keep scaling in steps")))))</f>
        <v/>
      </c>
    </row>
    <row r="60">
      <c r="B60" s="7" t="n"/>
      <c r="C60" s="7" t="n"/>
      <c r="F60" s="7" t="n"/>
      <c r="G60" s="7" t="n"/>
      <c r="H60" s="10" t="n"/>
      <c r="I60" s="10" t="n"/>
      <c r="M60" s="8">
        <f>IF(A60="","",IF(E60-D60&lt;=0,"",(C60-B60)/(E60-D60)))</f>
        <v/>
      </c>
      <c r="N60" s="11">
        <f>IF(A60="","",IF(C60-B60&lt;=0,"",(G60-F60)/(C60-B60)))</f>
        <v/>
      </c>
      <c r="O60" s="4">
        <f>IF(A60="","",IF(C60&lt;=B60,"Budget not raised - no read",IF(G60&lt;F60,"Ceiling: profit falling as budget rises - stop pushing; add creatives, improve product or open a market",IF(AND(H60&gt;0,I60&lt;H60),"Watch: conversion slipping - refresh creatives before more budget",IF(J60=0,"Watch: no new creatives - freshness will decay","Keep scaling in steps")))))</f>
        <v/>
      </c>
    </row>
    <row r="61">
      <c r="B61" s="7" t="n"/>
      <c r="C61" s="7" t="n"/>
      <c r="F61" s="7" t="n"/>
      <c r="G61" s="7" t="n"/>
      <c r="H61" s="10" t="n"/>
      <c r="I61" s="10" t="n"/>
      <c r="M61" s="8">
        <f>IF(A61="","",IF(E61-D61&lt;=0,"",(C61-B61)/(E61-D61)))</f>
        <v/>
      </c>
      <c r="N61" s="11">
        <f>IF(A61="","",IF(C61-B61&lt;=0,"",(G61-F61)/(C61-B61)))</f>
        <v/>
      </c>
      <c r="O61" s="4">
        <f>IF(A61="","",IF(C61&lt;=B61,"Budget not raised - no read",IF(G61&lt;F61,"Ceiling: profit falling as budget rises - stop pushing; add creatives, improve product or open a market",IF(AND(H61&gt;0,I61&lt;H61),"Watch: conversion slipping - refresh creatives before more budget",IF(J61=0,"Watch: no new creatives - freshness will decay","Keep scaling in steps")))))</f>
        <v/>
      </c>
    </row>
    <row r="62">
      <c r="B62" s="7" t="n"/>
      <c r="C62" s="7" t="n"/>
      <c r="F62" s="7" t="n"/>
      <c r="G62" s="7" t="n"/>
      <c r="H62" s="10" t="n"/>
      <c r="I62" s="10" t="n"/>
      <c r="M62" s="8">
        <f>IF(A62="","",IF(E62-D62&lt;=0,"",(C62-B62)/(E62-D62)))</f>
        <v/>
      </c>
      <c r="N62" s="11">
        <f>IF(A62="","",IF(C62-B62&lt;=0,"",(G62-F62)/(C62-B62)))</f>
        <v/>
      </c>
      <c r="O62" s="4">
        <f>IF(A62="","",IF(C62&lt;=B62,"Budget not raised - no read",IF(G62&lt;F62,"Ceiling: profit falling as budget rises - stop pushing; add creatives, improve product or open a market",IF(AND(H62&gt;0,I62&lt;H62),"Watch: conversion slipping - refresh creatives before more budget",IF(J62=0,"Watch: no new creatives - freshness will decay","Keep scaling in steps")))))</f>
        <v/>
      </c>
    </row>
    <row r="63">
      <c r="B63" s="7" t="n"/>
      <c r="C63" s="7" t="n"/>
      <c r="F63" s="7" t="n"/>
      <c r="G63" s="7" t="n"/>
      <c r="H63" s="10" t="n"/>
      <c r="I63" s="10" t="n"/>
      <c r="M63" s="8">
        <f>IF(A63="","",IF(E63-D63&lt;=0,"",(C63-B63)/(E63-D63)))</f>
        <v/>
      </c>
      <c r="N63" s="11">
        <f>IF(A63="","",IF(C63-B63&lt;=0,"",(G63-F63)/(C63-B63)))</f>
        <v/>
      </c>
      <c r="O63" s="4">
        <f>IF(A63="","",IF(C63&lt;=B63,"Budget not raised - no read",IF(G63&lt;F63,"Ceiling: profit falling as budget rises - stop pushing; add creatives, improve product or open a market",IF(AND(H63&gt;0,I63&lt;H63),"Watch: conversion slipping - refresh creatives before more budget",IF(J63=0,"Watch: no new creatives - freshness will decay","Keep scaling in steps")))))</f>
        <v/>
      </c>
    </row>
    <row r="64">
      <c r="B64" s="7" t="n"/>
      <c r="C64" s="7" t="n"/>
      <c r="F64" s="7" t="n"/>
      <c r="G64" s="7" t="n"/>
      <c r="H64" s="10" t="n"/>
      <c r="I64" s="10" t="n"/>
      <c r="M64" s="8">
        <f>IF(A64="","",IF(E64-D64&lt;=0,"",(C64-B64)/(E64-D64)))</f>
        <v/>
      </c>
      <c r="N64" s="11">
        <f>IF(A64="","",IF(C64-B64&lt;=0,"",(G64-F64)/(C64-B64)))</f>
        <v/>
      </c>
      <c r="O64" s="4">
        <f>IF(A64="","",IF(C64&lt;=B64,"Budget not raised - no read",IF(G64&lt;F64,"Ceiling: profit falling as budget rises - stop pushing; add creatives, improve product or open a market",IF(AND(H64&gt;0,I64&lt;H64),"Watch: conversion slipping - refresh creatives before more budget",IF(J64=0,"Watch: no new creatives - freshness will decay","Keep scaling in steps")))))</f>
        <v/>
      </c>
    </row>
    <row r="65">
      <c r="B65" s="7" t="n"/>
      <c r="C65" s="7" t="n"/>
      <c r="F65" s="7" t="n"/>
      <c r="G65" s="7" t="n"/>
      <c r="H65" s="10" t="n"/>
      <c r="I65" s="10" t="n"/>
      <c r="M65" s="8">
        <f>IF(A65="","",IF(E65-D65&lt;=0,"",(C65-B65)/(E65-D65)))</f>
        <v/>
      </c>
      <c r="N65" s="11">
        <f>IF(A65="","",IF(C65-B65&lt;=0,"",(G65-F65)/(C65-B65)))</f>
        <v/>
      </c>
      <c r="O65" s="4">
        <f>IF(A65="","",IF(C65&lt;=B65,"Budget not raised - no read",IF(G65&lt;F65,"Ceiling: profit falling as budget rises - stop pushing; add creatives, improve product or open a market",IF(AND(H65&gt;0,I65&lt;H65),"Watch: conversion slipping - refresh creatives before more budget",IF(J65=0,"Watch: no new creatives - freshness will decay","Keep scaling in steps")))))</f>
        <v/>
      </c>
    </row>
    <row r="66">
      <c r="B66" s="7" t="n"/>
      <c r="C66" s="7" t="n"/>
      <c r="F66" s="7" t="n"/>
      <c r="G66" s="7" t="n"/>
      <c r="H66" s="10" t="n"/>
      <c r="I66" s="10" t="n"/>
      <c r="M66" s="8">
        <f>IF(A66="","",IF(E66-D66&lt;=0,"",(C66-B66)/(E66-D66)))</f>
        <v/>
      </c>
      <c r="N66" s="11">
        <f>IF(A66="","",IF(C66-B66&lt;=0,"",(G66-F66)/(C66-B66)))</f>
        <v/>
      </c>
      <c r="O66" s="4">
        <f>IF(A66="","",IF(C66&lt;=B66,"Budget not raised - no read",IF(G66&lt;F66,"Ceiling: profit falling as budget rises - stop pushing; add creatives, improve product or open a market",IF(AND(H66&gt;0,I66&lt;H66),"Watch: conversion slipping - refresh creatives before more budget",IF(J66=0,"Watch: no new creatives - freshness will decay","Keep scaling in steps")))))</f>
        <v/>
      </c>
    </row>
    <row r="67">
      <c r="B67" s="7" t="n"/>
      <c r="C67" s="7" t="n"/>
      <c r="F67" s="7" t="n"/>
      <c r="G67" s="7" t="n"/>
      <c r="H67" s="10" t="n"/>
      <c r="I67" s="10" t="n"/>
      <c r="M67" s="8">
        <f>IF(A67="","",IF(E67-D67&lt;=0,"",(C67-B67)/(E67-D67)))</f>
        <v/>
      </c>
      <c r="N67" s="11">
        <f>IF(A67="","",IF(C67-B67&lt;=0,"",(G67-F67)/(C67-B67)))</f>
        <v/>
      </c>
      <c r="O67" s="4">
        <f>IF(A67="","",IF(C67&lt;=B67,"Budget not raised - no read",IF(G67&lt;F67,"Ceiling: profit falling as budget rises - stop pushing; add creatives, improve product or open a market",IF(AND(H67&gt;0,I67&lt;H67),"Watch: conversion slipping - refresh creatives before more budget",IF(J67=0,"Watch: no new creatives - freshness will decay","Keep scaling in steps")))))</f>
        <v/>
      </c>
    </row>
    <row r="68">
      <c r="B68" s="7" t="n"/>
      <c r="C68" s="7" t="n"/>
      <c r="F68" s="7" t="n"/>
      <c r="G68" s="7" t="n"/>
      <c r="H68" s="10" t="n"/>
      <c r="I68" s="10" t="n"/>
      <c r="M68" s="8">
        <f>IF(A68="","",IF(E68-D68&lt;=0,"",(C68-B68)/(E68-D68)))</f>
        <v/>
      </c>
      <c r="N68" s="11">
        <f>IF(A68="","",IF(C68-B68&lt;=0,"",(G68-F68)/(C68-B68)))</f>
        <v/>
      </c>
      <c r="O68" s="4">
        <f>IF(A68="","",IF(C68&lt;=B68,"Budget not raised - no read",IF(G68&lt;F68,"Ceiling: profit falling as budget rises - stop pushing; add creatives, improve product or open a market",IF(AND(H68&gt;0,I68&lt;H68),"Watch: conversion slipping - refresh creatives before more budget",IF(J68=0,"Watch: no new creatives - freshness will decay","Keep scaling in steps")))))</f>
        <v/>
      </c>
    </row>
    <row r="69">
      <c r="B69" s="7" t="n"/>
      <c r="C69" s="7" t="n"/>
      <c r="F69" s="7" t="n"/>
      <c r="G69" s="7" t="n"/>
      <c r="H69" s="10" t="n"/>
      <c r="I69" s="10" t="n"/>
      <c r="M69" s="8">
        <f>IF(A69="","",IF(E69-D69&lt;=0,"",(C69-B69)/(E69-D69)))</f>
        <v/>
      </c>
      <c r="N69" s="11">
        <f>IF(A69="","",IF(C69-B69&lt;=0,"",(G69-F69)/(C69-B69)))</f>
        <v/>
      </c>
      <c r="O69" s="4">
        <f>IF(A69="","",IF(C69&lt;=B69,"Budget not raised - no read",IF(G69&lt;F69,"Ceiling: profit falling as budget rises - stop pushing; add creatives, improve product or open a market",IF(AND(H69&gt;0,I69&lt;H69),"Watch: conversion slipping - refresh creatives before more budget",IF(J69=0,"Watch: no new creatives - freshness will decay","Keep scaling in steps")))))</f>
        <v/>
      </c>
    </row>
    <row r="70">
      <c r="B70" s="7" t="n"/>
      <c r="C70" s="7" t="n"/>
      <c r="F70" s="7" t="n"/>
      <c r="G70" s="7" t="n"/>
      <c r="H70" s="10" t="n"/>
      <c r="I70" s="10" t="n"/>
      <c r="M70" s="8">
        <f>IF(A70="","",IF(E70-D70&lt;=0,"",(C70-B70)/(E70-D70)))</f>
        <v/>
      </c>
      <c r="N70" s="11">
        <f>IF(A70="","",IF(C70-B70&lt;=0,"",(G70-F70)/(C70-B70)))</f>
        <v/>
      </c>
      <c r="O70" s="4">
        <f>IF(A70="","",IF(C70&lt;=B70,"Budget not raised - no read",IF(G70&lt;F70,"Ceiling: profit falling as budget rises - stop pushing; add creatives, improve product or open a market",IF(AND(H70&gt;0,I70&lt;H70),"Watch: conversion slipping - refresh creatives before more budget",IF(J70=0,"Watch: no new creatives - freshness will decay","Keep scaling in steps")))))</f>
        <v/>
      </c>
    </row>
    <row r="71">
      <c r="B71" s="7" t="n"/>
      <c r="C71" s="7" t="n"/>
      <c r="F71" s="7" t="n"/>
      <c r="G71" s="7" t="n"/>
      <c r="H71" s="10" t="n"/>
      <c r="I71" s="10" t="n"/>
      <c r="M71" s="8">
        <f>IF(A71="","",IF(E71-D71&lt;=0,"",(C71-B71)/(E71-D71)))</f>
        <v/>
      </c>
      <c r="N71" s="11">
        <f>IF(A71="","",IF(C71-B71&lt;=0,"",(G71-F71)/(C71-B71)))</f>
        <v/>
      </c>
      <c r="O71" s="4">
        <f>IF(A71="","",IF(C71&lt;=B71,"Budget not raised - no read",IF(G71&lt;F71,"Ceiling: profit falling as budget rises - stop pushing; add creatives, improve product or open a market",IF(AND(H71&gt;0,I71&lt;H71),"Watch: conversion slipping - refresh creatives before more budget",IF(J71=0,"Watch: no new creatives - freshness will decay","Keep scaling in steps")))))</f>
        <v/>
      </c>
    </row>
    <row r="72">
      <c r="B72" s="7" t="n"/>
      <c r="C72" s="7" t="n"/>
      <c r="F72" s="7" t="n"/>
      <c r="G72" s="7" t="n"/>
      <c r="H72" s="10" t="n"/>
      <c r="I72" s="10" t="n"/>
      <c r="M72" s="8">
        <f>IF(A72="","",IF(E72-D72&lt;=0,"",(C72-B72)/(E72-D72)))</f>
        <v/>
      </c>
      <c r="N72" s="11">
        <f>IF(A72="","",IF(C72-B72&lt;=0,"",(G72-F72)/(C72-B72)))</f>
        <v/>
      </c>
      <c r="O72" s="4">
        <f>IF(A72="","",IF(C72&lt;=B72,"Budget not raised - no read",IF(G72&lt;F72,"Ceiling: profit falling as budget rises - stop pushing; add creatives, improve product or open a market",IF(AND(H72&gt;0,I72&lt;H72),"Watch: conversion slipping - refresh creatives before more budget",IF(J72=0,"Watch: no new creatives - freshness will decay","Keep scaling in steps")))))</f>
        <v/>
      </c>
    </row>
    <row r="73">
      <c r="B73" s="7" t="n"/>
      <c r="C73" s="7" t="n"/>
      <c r="F73" s="7" t="n"/>
      <c r="G73" s="7" t="n"/>
      <c r="H73" s="10" t="n"/>
      <c r="I73" s="10" t="n"/>
      <c r="M73" s="8">
        <f>IF(A73="","",IF(E73-D73&lt;=0,"",(C73-B73)/(E73-D73)))</f>
        <v/>
      </c>
      <c r="N73" s="11">
        <f>IF(A73="","",IF(C73-B73&lt;=0,"",(G73-F73)/(C73-B73)))</f>
        <v/>
      </c>
      <c r="O73" s="4">
        <f>IF(A73="","",IF(C73&lt;=B73,"Budget not raised - no read",IF(G73&lt;F73,"Ceiling: profit falling as budget rises - stop pushing; add creatives, improve product or open a market",IF(AND(H73&gt;0,I73&lt;H73),"Watch: conversion slipping - refresh creatives before more budget",IF(J73=0,"Watch: no new creatives - freshness will decay","Keep scaling in steps")))))</f>
        <v/>
      </c>
    </row>
    <row r="74">
      <c r="B74" s="7" t="n"/>
      <c r="C74" s="7" t="n"/>
      <c r="F74" s="7" t="n"/>
      <c r="G74" s="7" t="n"/>
      <c r="H74" s="10" t="n"/>
      <c r="I74" s="10" t="n"/>
      <c r="M74" s="8">
        <f>IF(A74="","",IF(E74-D74&lt;=0,"",(C74-B74)/(E74-D74)))</f>
        <v/>
      </c>
      <c r="N74" s="11">
        <f>IF(A74="","",IF(C74-B74&lt;=0,"",(G74-F74)/(C74-B74)))</f>
        <v/>
      </c>
      <c r="O74" s="4">
        <f>IF(A74="","",IF(C74&lt;=B74,"Budget not raised - no read",IF(G74&lt;F74,"Ceiling: profit falling as budget rises - stop pushing; add creatives, improve product or open a market",IF(AND(H74&gt;0,I74&lt;H74),"Watch: conversion slipping - refresh creatives before more budget",IF(J74=0,"Watch: no new creatives - freshness will decay","Keep scaling in steps")))))</f>
        <v/>
      </c>
    </row>
    <row r="75">
      <c r="B75" s="7" t="n"/>
      <c r="C75" s="7" t="n"/>
      <c r="F75" s="7" t="n"/>
      <c r="G75" s="7" t="n"/>
      <c r="H75" s="10" t="n"/>
      <c r="I75" s="10" t="n"/>
      <c r="M75" s="8">
        <f>IF(A75="","",IF(E75-D75&lt;=0,"",(C75-B75)/(E75-D75)))</f>
        <v/>
      </c>
      <c r="N75" s="11">
        <f>IF(A75="","",IF(C75-B75&lt;=0,"",(G75-F75)/(C75-B75)))</f>
        <v/>
      </c>
      <c r="O75" s="4">
        <f>IF(A75="","",IF(C75&lt;=B75,"Budget not raised - no read",IF(G75&lt;F75,"Ceiling: profit falling as budget rises - stop pushing; add creatives, improve product or open a market",IF(AND(H75&gt;0,I75&lt;H75),"Watch: conversion slipping - refresh creatives before more budget",IF(J75=0,"Watch: no new creatives - freshness will decay","Keep scaling in steps")))))</f>
        <v/>
      </c>
    </row>
    <row r="76">
      <c r="B76" s="7" t="n"/>
      <c r="C76" s="7" t="n"/>
      <c r="F76" s="7" t="n"/>
      <c r="G76" s="7" t="n"/>
      <c r="H76" s="10" t="n"/>
      <c r="I76" s="10" t="n"/>
      <c r="M76" s="8">
        <f>IF(A76="","",IF(E76-D76&lt;=0,"",(C76-B76)/(E76-D76)))</f>
        <v/>
      </c>
      <c r="N76" s="11">
        <f>IF(A76="","",IF(C76-B76&lt;=0,"",(G76-F76)/(C76-B76)))</f>
        <v/>
      </c>
      <c r="O76" s="4">
        <f>IF(A76="","",IF(C76&lt;=B76,"Budget not raised - no read",IF(G76&lt;F76,"Ceiling: profit falling as budget rises - stop pushing; add creatives, improve product or open a market",IF(AND(H76&gt;0,I76&lt;H76),"Watch: conversion slipping - refresh creatives before more budget",IF(J76=0,"Watch: no new creatives - freshness will decay","Keep scaling in steps")))))</f>
        <v/>
      </c>
    </row>
    <row r="77">
      <c r="B77" s="7" t="n"/>
      <c r="C77" s="7" t="n"/>
      <c r="F77" s="7" t="n"/>
      <c r="G77" s="7" t="n"/>
      <c r="H77" s="10" t="n"/>
      <c r="I77" s="10" t="n"/>
      <c r="M77" s="8">
        <f>IF(A77="","",IF(E77-D77&lt;=0,"",(C77-B77)/(E77-D77)))</f>
        <v/>
      </c>
      <c r="N77" s="11">
        <f>IF(A77="","",IF(C77-B77&lt;=0,"",(G77-F77)/(C77-B77)))</f>
        <v/>
      </c>
      <c r="O77" s="4">
        <f>IF(A77="","",IF(C77&lt;=B77,"Budget not raised - no read",IF(G77&lt;F77,"Ceiling: profit falling as budget rises - stop pushing; add creatives, improve product or open a market",IF(AND(H77&gt;0,I77&lt;H77),"Watch: conversion slipping - refresh creatives before more budget",IF(J77=0,"Watch: no new creatives - freshness will decay","Keep scaling in steps")))))</f>
        <v/>
      </c>
    </row>
    <row r="78">
      <c r="B78" s="7" t="n"/>
      <c r="C78" s="7" t="n"/>
      <c r="F78" s="7" t="n"/>
      <c r="G78" s="7" t="n"/>
      <c r="H78" s="10" t="n"/>
      <c r="I78" s="10" t="n"/>
      <c r="M78" s="8">
        <f>IF(A78="","",IF(E78-D78&lt;=0,"",(C78-B78)/(E78-D78)))</f>
        <v/>
      </c>
      <c r="N78" s="11">
        <f>IF(A78="","",IF(C78-B78&lt;=0,"",(G78-F78)/(C78-B78)))</f>
        <v/>
      </c>
      <c r="O78" s="4">
        <f>IF(A78="","",IF(C78&lt;=B78,"Budget not raised - no read",IF(G78&lt;F78,"Ceiling: profit falling as budget rises - stop pushing; add creatives, improve product or open a market",IF(AND(H78&gt;0,I78&lt;H78),"Watch: conversion slipping - refresh creatives before more budget",IF(J78=0,"Watch: no new creatives - freshness will decay","Keep scaling in steps")))))</f>
        <v/>
      </c>
    </row>
    <row r="79">
      <c r="B79" s="7" t="n"/>
      <c r="C79" s="7" t="n"/>
      <c r="F79" s="7" t="n"/>
      <c r="G79" s="7" t="n"/>
      <c r="H79" s="10" t="n"/>
      <c r="I79" s="10" t="n"/>
      <c r="M79" s="8">
        <f>IF(A79="","",IF(E79-D79&lt;=0,"",(C79-B79)/(E79-D79)))</f>
        <v/>
      </c>
      <c r="N79" s="11">
        <f>IF(A79="","",IF(C79-B79&lt;=0,"",(G79-F79)/(C79-B79)))</f>
        <v/>
      </c>
      <c r="O79" s="4">
        <f>IF(A79="","",IF(C79&lt;=B79,"Budget not raised - no read",IF(G79&lt;F79,"Ceiling: profit falling as budget rises - stop pushing; add creatives, improve product or open a market",IF(AND(H79&gt;0,I79&lt;H79),"Watch: conversion slipping - refresh creatives before more budget",IF(J79=0,"Watch: no new creatives - freshness will decay","Keep scaling in steps")))))</f>
        <v/>
      </c>
    </row>
    <row r="80">
      <c r="B80" s="7" t="n"/>
      <c r="C80" s="7" t="n"/>
      <c r="F80" s="7" t="n"/>
      <c r="G80" s="7" t="n"/>
      <c r="H80" s="10" t="n"/>
      <c r="I80" s="10" t="n"/>
      <c r="M80" s="8">
        <f>IF(A80="","",IF(E80-D80&lt;=0,"",(C80-B80)/(E80-D80)))</f>
        <v/>
      </c>
      <c r="N80" s="11">
        <f>IF(A80="","",IF(C80-B80&lt;=0,"",(G80-F80)/(C80-B80)))</f>
        <v/>
      </c>
      <c r="O80" s="4">
        <f>IF(A80="","",IF(C80&lt;=B80,"Budget not raised - no read",IF(G80&lt;F80,"Ceiling: profit falling as budget rises - stop pushing; add creatives, improve product or open a market",IF(AND(H80&gt;0,I80&lt;H80),"Watch: conversion slipping - refresh creatives before more budget",IF(J80=0,"Watch: no new creatives - freshness will decay","Keep scaling in steps")))))</f>
        <v/>
      </c>
    </row>
    <row r="81">
      <c r="B81" s="7" t="n"/>
      <c r="C81" s="7" t="n"/>
      <c r="F81" s="7" t="n"/>
      <c r="G81" s="7" t="n"/>
      <c r="H81" s="10" t="n"/>
      <c r="I81" s="10" t="n"/>
      <c r="M81" s="8">
        <f>IF(A81="","",IF(E81-D81&lt;=0,"",(C81-B81)/(E81-D81)))</f>
        <v/>
      </c>
      <c r="N81" s="11">
        <f>IF(A81="","",IF(C81-B81&lt;=0,"",(G81-F81)/(C81-B81)))</f>
        <v/>
      </c>
      <c r="O81" s="4">
        <f>IF(A81="","",IF(C81&lt;=B81,"Budget not raised - no read",IF(G81&lt;F81,"Ceiling: profit falling as budget rises - stop pushing; add creatives, improve product or open a market",IF(AND(H81&gt;0,I81&lt;H81),"Watch: conversion slipping - refresh creatives before more budget",IF(J81=0,"Watch: no new creatives - freshness will decay","Keep scaling in steps")))))</f>
        <v/>
      </c>
    </row>
    <row r="82">
      <c r="B82" s="7" t="n"/>
      <c r="C82" s="7" t="n"/>
      <c r="F82" s="7" t="n"/>
      <c r="G82" s="7" t="n"/>
      <c r="H82" s="10" t="n"/>
      <c r="I82" s="10" t="n"/>
      <c r="M82" s="8">
        <f>IF(A82="","",IF(E82-D82&lt;=0,"",(C82-B82)/(E82-D82)))</f>
        <v/>
      </c>
      <c r="N82" s="11">
        <f>IF(A82="","",IF(C82-B82&lt;=0,"",(G82-F82)/(C82-B82)))</f>
        <v/>
      </c>
      <c r="O82" s="4">
        <f>IF(A82="","",IF(C82&lt;=B82,"Budget not raised - no read",IF(G82&lt;F82,"Ceiling: profit falling as budget rises - stop pushing; add creatives, improve product or open a market",IF(AND(H82&gt;0,I82&lt;H82),"Watch: conversion slipping - refresh creatives before more budget",IF(J82=0,"Watch: no new creatives - freshness will decay","Keep scaling in steps")))))</f>
        <v/>
      </c>
    </row>
    <row r="83">
      <c r="B83" s="7" t="n"/>
      <c r="C83" s="7" t="n"/>
      <c r="F83" s="7" t="n"/>
      <c r="G83" s="7" t="n"/>
      <c r="H83" s="10" t="n"/>
      <c r="I83" s="10" t="n"/>
      <c r="M83" s="8">
        <f>IF(A83="","",IF(E83-D83&lt;=0,"",(C83-B83)/(E83-D83)))</f>
        <v/>
      </c>
      <c r="N83" s="11">
        <f>IF(A83="","",IF(C83-B83&lt;=0,"",(G83-F83)/(C83-B83)))</f>
        <v/>
      </c>
      <c r="O83" s="4">
        <f>IF(A83="","",IF(C83&lt;=B83,"Budget not raised - no read",IF(G83&lt;F83,"Ceiling: profit falling as budget rises - stop pushing; add creatives, improve product or open a market",IF(AND(H83&gt;0,I83&lt;H83),"Watch: conversion slipping - refresh creatives before more budget",IF(J83=0,"Watch: no new creatives - freshness will decay","Keep scaling in steps")))))</f>
        <v/>
      </c>
    </row>
    <row r="84">
      <c r="B84" s="7" t="n"/>
      <c r="C84" s="7" t="n"/>
      <c r="F84" s="7" t="n"/>
      <c r="G84" s="7" t="n"/>
      <c r="H84" s="10" t="n"/>
      <c r="I84" s="10" t="n"/>
      <c r="M84" s="8">
        <f>IF(A84="","",IF(E84-D84&lt;=0,"",(C84-B84)/(E84-D84)))</f>
        <v/>
      </c>
      <c r="N84" s="11">
        <f>IF(A84="","",IF(C84-B84&lt;=0,"",(G84-F84)/(C84-B84)))</f>
        <v/>
      </c>
      <c r="O84" s="4">
        <f>IF(A84="","",IF(C84&lt;=B84,"Budget not raised - no read",IF(G84&lt;F84,"Ceiling: profit falling as budget rises - stop pushing; add creatives, improve product or open a market",IF(AND(H84&gt;0,I84&lt;H84),"Watch: conversion slipping - refresh creatives before more budget",IF(J84=0,"Watch: no new creatives - freshness will decay","Keep scaling in steps")))))</f>
        <v/>
      </c>
    </row>
    <row r="85">
      <c r="B85" s="7" t="n"/>
      <c r="C85" s="7" t="n"/>
      <c r="F85" s="7" t="n"/>
      <c r="G85" s="7" t="n"/>
      <c r="H85" s="10" t="n"/>
      <c r="I85" s="10" t="n"/>
      <c r="M85" s="8">
        <f>IF(A85="","",IF(E85-D85&lt;=0,"",(C85-B85)/(E85-D85)))</f>
        <v/>
      </c>
      <c r="N85" s="11">
        <f>IF(A85="","",IF(C85-B85&lt;=0,"",(G85-F85)/(C85-B85)))</f>
        <v/>
      </c>
      <c r="O85" s="4">
        <f>IF(A85="","",IF(C85&lt;=B85,"Budget not raised - no read",IF(G85&lt;F85,"Ceiling: profit falling as budget rises - stop pushing; add creatives, improve product or open a market",IF(AND(H85&gt;0,I85&lt;H85),"Watch: conversion slipping - refresh creatives before more budget",IF(J85=0,"Watch: no new creatives - freshness will decay","Keep scaling in steps")))))</f>
        <v/>
      </c>
    </row>
    <row r="86">
      <c r="B86" s="7" t="n"/>
      <c r="C86" s="7" t="n"/>
      <c r="F86" s="7" t="n"/>
      <c r="G86" s="7" t="n"/>
      <c r="H86" s="10" t="n"/>
      <c r="I86" s="10" t="n"/>
      <c r="M86" s="8">
        <f>IF(A86="","",IF(E86-D86&lt;=0,"",(C86-B86)/(E86-D86)))</f>
        <v/>
      </c>
      <c r="N86" s="11">
        <f>IF(A86="","",IF(C86-B86&lt;=0,"",(G86-F86)/(C86-B86)))</f>
        <v/>
      </c>
      <c r="O86" s="4">
        <f>IF(A86="","",IF(C86&lt;=B86,"Budget not raised - no read",IF(G86&lt;F86,"Ceiling: profit falling as budget rises - stop pushing; add creatives, improve product or open a market",IF(AND(H86&gt;0,I86&lt;H86),"Watch: conversion slipping - refresh creatives before more budget",IF(J86=0,"Watch: no new creatives - freshness will decay","Keep scaling in steps")))))</f>
        <v/>
      </c>
    </row>
    <row r="87">
      <c r="B87" s="7" t="n"/>
      <c r="C87" s="7" t="n"/>
      <c r="F87" s="7" t="n"/>
      <c r="G87" s="7" t="n"/>
      <c r="H87" s="10" t="n"/>
      <c r="I87" s="10" t="n"/>
      <c r="M87" s="8">
        <f>IF(A87="","",IF(E87-D87&lt;=0,"",(C87-B87)/(E87-D87)))</f>
        <v/>
      </c>
      <c r="N87" s="11">
        <f>IF(A87="","",IF(C87-B87&lt;=0,"",(G87-F87)/(C87-B87)))</f>
        <v/>
      </c>
      <c r="O87" s="4">
        <f>IF(A87="","",IF(C87&lt;=B87,"Budget not raised - no read",IF(G87&lt;F87,"Ceiling: profit falling as budget rises - stop pushing; add creatives, improve product or open a market",IF(AND(H87&gt;0,I87&lt;H87),"Watch: conversion slipping - refresh creatives before more budget",IF(J87=0,"Watch: no new creatives - freshness will decay","Keep scaling in steps")))))</f>
        <v/>
      </c>
    </row>
    <row r="88">
      <c r="B88" s="7" t="n"/>
      <c r="C88" s="7" t="n"/>
      <c r="F88" s="7" t="n"/>
      <c r="G88" s="7" t="n"/>
      <c r="H88" s="10" t="n"/>
      <c r="I88" s="10" t="n"/>
      <c r="M88" s="8">
        <f>IF(A88="","",IF(E88-D88&lt;=0,"",(C88-B88)/(E88-D88)))</f>
        <v/>
      </c>
      <c r="N88" s="11">
        <f>IF(A88="","",IF(C88-B88&lt;=0,"",(G88-F88)/(C88-B88)))</f>
        <v/>
      </c>
      <c r="O88" s="4">
        <f>IF(A88="","",IF(C88&lt;=B88,"Budget not raised - no read",IF(G88&lt;F88,"Ceiling: profit falling as budget rises - stop pushing; add creatives, improve product or open a market",IF(AND(H88&gt;0,I88&lt;H88),"Watch: conversion slipping - refresh creatives before more budget",IF(J88=0,"Watch: no new creatives - freshness will decay","Keep scaling in steps")))))</f>
        <v/>
      </c>
    </row>
    <row r="89">
      <c r="B89" s="7" t="n"/>
      <c r="C89" s="7" t="n"/>
      <c r="F89" s="7" t="n"/>
      <c r="G89" s="7" t="n"/>
      <c r="H89" s="10" t="n"/>
      <c r="I89" s="10" t="n"/>
      <c r="M89" s="8">
        <f>IF(A89="","",IF(E89-D89&lt;=0,"",(C89-B89)/(E89-D89)))</f>
        <v/>
      </c>
      <c r="N89" s="11">
        <f>IF(A89="","",IF(C89-B89&lt;=0,"",(G89-F89)/(C89-B89)))</f>
        <v/>
      </c>
      <c r="O89" s="4">
        <f>IF(A89="","",IF(C89&lt;=B89,"Budget not raised - no read",IF(G89&lt;F89,"Ceiling: profit falling as budget rises - stop pushing; add creatives, improve product or open a market",IF(AND(H89&gt;0,I89&lt;H89),"Watch: conversion slipping - refresh creatives before more budget",IF(J89=0,"Watch: no new creatives - freshness will decay","Keep scaling in steps")))))</f>
        <v/>
      </c>
    </row>
    <row r="90">
      <c r="B90" s="7" t="n"/>
      <c r="C90" s="7" t="n"/>
      <c r="F90" s="7" t="n"/>
      <c r="G90" s="7" t="n"/>
      <c r="H90" s="10" t="n"/>
      <c r="I90" s="10" t="n"/>
      <c r="M90" s="8">
        <f>IF(A90="","",IF(E90-D90&lt;=0,"",(C90-B90)/(E90-D90)))</f>
        <v/>
      </c>
      <c r="N90" s="11">
        <f>IF(A90="","",IF(C90-B90&lt;=0,"",(G90-F90)/(C90-B90)))</f>
        <v/>
      </c>
      <c r="O90" s="4">
        <f>IF(A90="","",IF(C90&lt;=B90,"Budget not raised - no read",IF(G90&lt;F90,"Ceiling: profit falling as budget rises - stop pushing; add creatives, improve product or open a market",IF(AND(H90&gt;0,I90&lt;H90),"Watch: conversion slipping - refresh creatives before more budget",IF(J90=0,"Watch: no new creatives - freshness will decay","Keep scaling in steps")))))</f>
        <v/>
      </c>
    </row>
    <row r="91">
      <c r="B91" s="7" t="n"/>
      <c r="C91" s="7" t="n"/>
      <c r="F91" s="7" t="n"/>
      <c r="G91" s="7" t="n"/>
      <c r="H91" s="10" t="n"/>
      <c r="I91" s="10" t="n"/>
      <c r="M91" s="8">
        <f>IF(A91="","",IF(E91-D91&lt;=0,"",(C91-B91)/(E91-D91)))</f>
        <v/>
      </c>
      <c r="N91" s="11">
        <f>IF(A91="","",IF(C91-B91&lt;=0,"",(G91-F91)/(C91-B91)))</f>
        <v/>
      </c>
      <c r="O91" s="4">
        <f>IF(A91="","",IF(C91&lt;=B91,"Budget not raised - no read",IF(G91&lt;F91,"Ceiling: profit falling as budget rises - stop pushing; add creatives, improve product or open a market",IF(AND(H91&gt;0,I91&lt;H91),"Watch: conversion slipping - refresh creatives before more budget",IF(J91=0,"Watch: no new creatives - freshness will decay","Keep scaling in steps")))))</f>
        <v/>
      </c>
    </row>
    <row r="92">
      <c r="B92" s="7" t="n"/>
      <c r="C92" s="7" t="n"/>
      <c r="F92" s="7" t="n"/>
      <c r="G92" s="7" t="n"/>
      <c r="H92" s="10" t="n"/>
      <c r="I92" s="10" t="n"/>
      <c r="M92" s="8">
        <f>IF(A92="","",IF(E92-D92&lt;=0,"",(C92-B92)/(E92-D92)))</f>
        <v/>
      </c>
      <c r="N92" s="11">
        <f>IF(A92="","",IF(C92-B92&lt;=0,"",(G92-F92)/(C92-B92)))</f>
        <v/>
      </c>
      <c r="O92" s="4">
        <f>IF(A92="","",IF(C92&lt;=B92,"Budget not raised - no read",IF(G92&lt;F92,"Ceiling: profit falling as budget rises - stop pushing; add creatives, improve product or open a market",IF(AND(H92&gt;0,I92&lt;H92),"Watch: conversion slipping - refresh creatives before more budget",IF(J92=0,"Watch: no new creatives - freshness will decay","Keep scaling in steps")))))</f>
        <v/>
      </c>
    </row>
    <row r="93">
      <c r="B93" s="7" t="n"/>
      <c r="C93" s="7" t="n"/>
      <c r="F93" s="7" t="n"/>
      <c r="G93" s="7" t="n"/>
      <c r="H93" s="10" t="n"/>
      <c r="I93" s="10" t="n"/>
      <c r="M93" s="8">
        <f>IF(A93="","",IF(E93-D93&lt;=0,"",(C93-B93)/(E93-D93)))</f>
        <v/>
      </c>
      <c r="N93" s="11">
        <f>IF(A93="","",IF(C93-B93&lt;=0,"",(G93-F93)/(C93-B93)))</f>
        <v/>
      </c>
      <c r="O93" s="4">
        <f>IF(A93="","",IF(C93&lt;=B93,"Budget not raised - no read",IF(G93&lt;F93,"Ceiling: profit falling as budget rises - stop pushing; add creatives, improve product or open a market",IF(AND(H93&gt;0,I93&lt;H93),"Watch: conversion slipping - refresh creatives before more budget",IF(J93=0,"Watch: no new creatives - freshness will decay","Keep scaling in steps")))))</f>
        <v/>
      </c>
    </row>
    <row r="94">
      <c r="B94" s="7" t="n"/>
      <c r="C94" s="7" t="n"/>
      <c r="F94" s="7" t="n"/>
      <c r="G94" s="7" t="n"/>
      <c r="H94" s="10" t="n"/>
      <c r="I94" s="10" t="n"/>
      <c r="M94" s="8">
        <f>IF(A94="","",IF(E94-D94&lt;=0,"",(C94-B94)/(E94-D94)))</f>
        <v/>
      </c>
      <c r="N94" s="11">
        <f>IF(A94="","",IF(C94-B94&lt;=0,"",(G94-F94)/(C94-B94)))</f>
        <v/>
      </c>
      <c r="O94" s="4">
        <f>IF(A94="","",IF(C94&lt;=B94,"Budget not raised - no read",IF(G94&lt;F94,"Ceiling: profit falling as budget rises - stop pushing; add creatives, improve product or open a market",IF(AND(H94&gt;0,I94&lt;H94),"Watch: conversion slipping - refresh creatives before more budget",IF(J94=0,"Watch: no new creatives - freshness will decay","Keep scaling in steps")))))</f>
        <v/>
      </c>
    </row>
    <row r="95">
      <c r="B95" s="7" t="n"/>
      <c r="C95" s="7" t="n"/>
      <c r="F95" s="7" t="n"/>
      <c r="G95" s="7" t="n"/>
      <c r="H95" s="10" t="n"/>
      <c r="I95" s="10" t="n"/>
      <c r="M95" s="8">
        <f>IF(A95="","",IF(E95-D95&lt;=0,"",(C95-B95)/(E95-D95)))</f>
        <v/>
      </c>
      <c r="N95" s="11">
        <f>IF(A95="","",IF(C95-B95&lt;=0,"",(G95-F95)/(C95-B95)))</f>
        <v/>
      </c>
      <c r="O95" s="4">
        <f>IF(A95="","",IF(C95&lt;=B95,"Budget not raised - no read",IF(G95&lt;F95,"Ceiling: profit falling as budget rises - stop pushing; add creatives, improve product or open a market",IF(AND(H95&gt;0,I95&lt;H95),"Watch: conversion slipping - refresh creatives before more budget",IF(J95=0,"Watch: no new creatives - freshness will decay","Keep scaling in steps")))))</f>
        <v/>
      </c>
    </row>
    <row r="96">
      <c r="B96" s="7" t="n"/>
      <c r="C96" s="7" t="n"/>
      <c r="F96" s="7" t="n"/>
      <c r="G96" s="7" t="n"/>
      <c r="H96" s="10" t="n"/>
      <c r="I96" s="10" t="n"/>
      <c r="M96" s="8">
        <f>IF(A96="","",IF(E96-D96&lt;=0,"",(C96-B96)/(E96-D96)))</f>
        <v/>
      </c>
      <c r="N96" s="11">
        <f>IF(A96="","",IF(C96-B96&lt;=0,"",(G96-F96)/(C96-B96)))</f>
        <v/>
      </c>
      <c r="O96" s="4">
        <f>IF(A96="","",IF(C96&lt;=B96,"Budget not raised - no read",IF(G96&lt;F96,"Ceiling: profit falling as budget rises - stop pushing; add creatives, improve product or open a market",IF(AND(H96&gt;0,I96&lt;H96),"Watch: conversion slipping - refresh creatives before more budget",IF(J96=0,"Watch: no new creatives - freshness will decay","Keep scaling in steps")))))</f>
        <v/>
      </c>
    </row>
    <row r="97">
      <c r="B97" s="7" t="n"/>
      <c r="C97" s="7" t="n"/>
      <c r="F97" s="7" t="n"/>
      <c r="G97" s="7" t="n"/>
      <c r="H97" s="10" t="n"/>
      <c r="I97" s="10" t="n"/>
      <c r="M97" s="8">
        <f>IF(A97="","",IF(E97-D97&lt;=0,"",(C97-B97)/(E97-D97)))</f>
        <v/>
      </c>
      <c r="N97" s="11">
        <f>IF(A97="","",IF(C97-B97&lt;=0,"",(G97-F97)/(C97-B97)))</f>
        <v/>
      </c>
      <c r="O97" s="4">
        <f>IF(A97="","",IF(C97&lt;=B97,"Budget not raised - no read",IF(G97&lt;F97,"Ceiling: profit falling as budget rises - stop pushing; add creatives, improve product or open a market",IF(AND(H97&gt;0,I97&lt;H97),"Watch: conversion slipping - refresh creatives before more budget",IF(J97=0,"Watch: no new creatives - freshness will decay","Keep scaling in steps")))))</f>
        <v/>
      </c>
    </row>
    <row r="98">
      <c r="B98" s="7" t="n"/>
      <c r="C98" s="7" t="n"/>
      <c r="F98" s="7" t="n"/>
      <c r="G98" s="7" t="n"/>
      <c r="H98" s="10" t="n"/>
      <c r="I98" s="10" t="n"/>
      <c r="M98" s="8">
        <f>IF(A98="","",IF(E98-D98&lt;=0,"",(C98-B98)/(E98-D98)))</f>
        <v/>
      </c>
      <c r="N98" s="11">
        <f>IF(A98="","",IF(C98-B98&lt;=0,"",(G98-F98)/(C98-B98)))</f>
        <v/>
      </c>
      <c r="O98" s="4">
        <f>IF(A98="","",IF(C98&lt;=B98,"Budget not raised - no read",IF(G98&lt;F98,"Ceiling: profit falling as budget rises - stop pushing; add creatives, improve product or open a market",IF(AND(H98&gt;0,I98&lt;H98),"Watch: conversion slipping - refresh creatives before more budget",IF(J98=0,"Watch: no new creatives - freshness will decay","Keep scaling in steps")))))</f>
        <v/>
      </c>
    </row>
    <row r="99">
      <c r="B99" s="7" t="n"/>
      <c r="C99" s="7" t="n"/>
      <c r="F99" s="7" t="n"/>
      <c r="G99" s="7" t="n"/>
      <c r="H99" s="10" t="n"/>
      <c r="I99" s="10" t="n"/>
      <c r="M99" s="8">
        <f>IF(A99="","",IF(E99-D99&lt;=0,"",(C99-B99)/(E99-D99)))</f>
        <v/>
      </c>
      <c r="N99" s="11">
        <f>IF(A99="","",IF(C99-B99&lt;=0,"",(G99-F99)/(C99-B99)))</f>
        <v/>
      </c>
      <c r="O99" s="4">
        <f>IF(A99="","",IF(C99&lt;=B99,"Budget not raised - no read",IF(G99&lt;F99,"Ceiling: profit falling as budget rises - stop pushing; add creatives, improve product or open a market",IF(AND(H99&gt;0,I99&lt;H99),"Watch: conversion slipping - refresh creatives before more budget",IF(J99=0,"Watch: no new creatives - freshness will decay","Keep scaling in steps")))))</f>
        <v/>
      </c>
    </row>
    <row r="100">
      <c r="B100" s="7" t="n"/>
      <c r="C100" s="7" t="n"/>
      <c r="F100" s="7" t="n"/>
      <c r="G100" s="7" t="n"/>
      <c r="H100" s="10" t="n"/>
      <c r="I100" s="10" t="n"/>
      <c r="M100" s="8">
        <f>IF(A100="","",IF(E100-D100&lt;=0,"",(C100-B100)/(E100-D100)))</f>
        <v/>
      </c>
      <c r="N100" s="11">
        <f>IF(A100="","",IF(C100-B100&lt;=0,"",(G100-F100)/(C100-B100)))</f>
        <v/>
      </c>
      <c r="O100" s="4">
        <f>IF(A100="","",IF(C100&lt;=B100,"Budget not raised - no read",IF(G100&lt;F100,"Ceiling: profit falling as budget rises - stop pushing; add creatives, improve product or open a market",IF(AND(H100&gt;0,I100&lt;H100),"Watch: conversion slipping - refresh creatives before more budget",IF(J100=0,"Watch: no new creatives - freshness will decay","Keep scaling in steps")))))</f>
        <v/>
      </c>
    </row>
    <row r="101">
      <c r="B101" s="7" t="n"/>
      <c r="C101" s="7" t="n"/>
      <c r="F101" s="7" t="n"/>
      <c r="G101" s="7" t="n"/>
      <c r="H101" s="10" t="n"/>
      <c r="I101" s="10" t="n"/>
      <c r="M101" s="8">
        <f>IF(A101="","",IF(E101-D101&lt;=0,"",(C101-B101)/(E101-D101)))</f>
        <v/>
      </c>
      <c r="N101" s="11">
        <f>IF(A101="","",IF(C101-B101&lt;=0,"",(G101-F101)/(C101-B101)))</f>
        <v/>
      </c>
      <c r="O101" s="4">
        <f>IF(A101="","",IF(C101&lt;=B101,"Budget not raised - no read",IF(G101&lt;F101,"Ceiling: profit falling as budget rises - stop pushing; add creatives, improve product or open a market",IF(AND(H101&gt;0,I101&lt;H101),"Watch: conversion slipping - refresh creatives before more budget",IF(J101=0,"Watch: no new creatives - freshness will decay","Keep scaling in steps")))))</f>
        <v/>
      </c>
    </row>
    <row r="102">
      <c r="B102" s="7" t="n"/>
      <c r="C102" s="7" t="n"/>
      <c r="F102" s="7" t="n"/>
      <c r="G102" s="7" t="n"/>
      <c r="H102" s="10" t="n"/>
      <c r="I102" s="10" t="n"/>
      <c r="M102" s="8">
        <f>IF(A102="","",IF(E102-D102&lt;=0,"",(C102-B102)/(E102-D102)))</f>
        <v/>
      </c>
      <c r="N102" s="11">
        <f>IF(A102="","",IF(C102-B102&lt;=0,"",(G102-F102)/(C102-B102)))</f>
        <v/>
      </c>
      <c r="O102" s="4">
        <f>IF(A102="","",IF(C102&lt;=B102,"Budget not raised - no read",IF(G102&lt;F102,"Ceiling: profit falling as budget rises - stop pushing; add creatives, improve product or open a market",IF(AND(H102&gt;0,I102&lt;H102),"Watch: conversion slipping - refresh creatives before more budget",IF(J102=0,"Watch: no new creatives - freshness will decay","Keep scaling in steps")))))</f>
        <v/>
      </c>
    </row>
    <row r="103">
      <c r="B103" s="7" t="n"/>
      <c r="C103" s="7" t="n"/>
      <c r="F103" s="7" t="n"/>
      <c r="G103" s="7" t="n"/>
      <c r="H103" s="10" t="n"/>
      <c r="I103" s="10" t="n"/>
      <c r="M103" s="8">
        <f>IF(A103="","",IF(E103-D103&lt;=0,"",(C103-B103)/(E103-D103)))</f>
        <v/>
      </c>
      <c r="N103" s="11">
        <f>IF(A103="","",IF(C103-B103&lt;=0,"",(G103-F103)/(C103-B103)))</f>
        <v/>
      </c>
      <c r="O103" s="4">
        <f>IF(A103="","",IF(C103&lt;=B103,"Budget not raised - no read",IF(G103&lt;F103,"Ceiling: profit falling as budget rises - stop pushing; add creatives, improve product or open a market",IF(AND(H103&gt;0,I103&lt;H103),"Watch: conversion slipping - refresh creatives before more budget",IF(J103=0,"Watch: no new creatives - freshness will decay","Keep scaling in steps")))))</f>
        <v/>
      </c>
    </row>
    <row r="104">
      <c r="B104" s="7" t="n"/>
      <c r="C104" s="7" t="n"/>
      <c r="F104" s="7" t="n"/>
      <c r="G104" s="7" t="n"/>
      <c r="H104" s="10" t="n"/>
      <c r="I104" s="10" t="n"/>
      <c r="M104" s="8">
        <f>IF(A104="","",IF(E104-D104&lt;=0,"",(C104-B104)/(E104-D104)))</f>
        <v/>
      </c>
      <c r="N104" s="11">
        <f>IF(A104="","",IF(C104-B104&lt;=0,"",(G104-F104)/(C104-B104)))</f>
        <v/>
      </c>
      <c r="O104" s="4">
        <f>IF(A104="","",IF(C104&lt;=B104,"Budget not raised - no read",IF(G104&lt;F104,"Ceiling: profit falling as budget rises - stop pushing; add creatives, improve product or open a market",IF(AND(H104&gt;0,I104&lt;H104),"Watch: conversion slipping - refresh creatives before more budget",IF(J104=0,"Watch: no new creatives - freshness will decay","Keep scaling in steps")))))</f>
        <v/>
      </c>
    </row>
    <row r="105">
      <c r="B105" s="7" t="n"/>
      <c r="C105" s="7" t="n"/>
      <c r="F105" s="7" t="n"/>
      <c r="G105" s="7" t="n"/>
      <c r="H105" s="10" t="n"/>
      <c r="I105" s="10" t="n"/>
      <c r="M105" s="8">
        <f>IF(A105="","",IF(E105-D105&lt;=0,"",(C105-B105)/(E105-D105)))</f>
        <v/>
      </c>
      <c r="N105" s="11">
        <f>IF(A105="","",IF(C105-B105&lt;=0,"",(G105-F105)/(C105-B105)))</f>
        <v/>
      </c>
      <c r="O105" s="4">
        <f>IF(A105="","",IF(C105&lt;=B105,"Budget not raised - no read",IF(G105&lt;F105,"Ceiling: profit falling as budget rises - stop pushing; add creatives, improve product or open a market",IF(AND(H105&gt;0,I105&lt;H105),"Watch: conversion slipping - refresh creatives before more budget",IF(J105=0,"Watch: no new creatives - freshness will decay","Keep scaling in steps")))))</f>
        <v/>
      </c>
    </row>
    <row r="106">
      <c r="B106" s="7" t="n"/>
      <c r="C106" s="7" t="n"/>
      <c r="F106" s="7" t="n"/>
      <c r="G106" s="7" t="n"/>
      <c r="H106" s="10" t="n"/>
      <c r="I106" s="10" t="n"/>
      <c r="M106" s="8">
        <f>IF(A106="","",IF(E106-D106&lt;=0,"",(C106-B106)/(E106-D106)))</f>
        <v/>
      </c>
      <c r="N106" s="11">
        <f>IF(A106="","",IF(C106-B106&lt;=0,"",(G106-F106)/(C106-B106)))</f>
        <v/>
      </c>
      <c r="O106" s="4">
        <f>IF(A106="","",IF(C106&lt;=B106,"Budget not raised - no read",IF(G106&lt;F106,"Ceiling: profit falling as budget rises - stop pushing; add creatives, improve product or open a market",IF(AND(H106&gt;0,I106&lt;H106),"Watch: conversion slipping - refresh creatives before more budget",IF(J106=0,"Watch: no new creatives - freshness will decay","Keep scaling in steps")))))</f>
        <v/>
      </c>
    </row>
    <row r="107">
      <c r="B107" s="7" t="n"/>
      <c r="C107" s="7" t="n"/>
      <c r="F107" s="7" t="n"/>
      <c r="G107" s="7" t="n"/>
      <c r="H107" s="10" t="n"/>
      <c r="I107" s="10" t="n"/>
      <c r="M107" s="8">
        <f>IF(A107="","",IF(E107-D107&lt;=0,"",(C107-B107)/(E107-D107)))</f>
        <v/>
      </c>
      <c r="N107" s="11">
        <f>IF(A107="","",IF(C107-B107&lt;=0,"",(G107-F107)/(C107-B107)))</f>
        <v/>
      </c>
      <c r="O107" s="4">
        <f>IF(A107="","",IF(C107&lt;=B107,"Budget not raised - no read",IF(G107&lt;F107,"Ceiling: profit falling as budget rises - stop pushing; add creatives, improve product or open a market",IF(AND(H107&gt;0,I107&lt;H107),"Watch: conversion slipping - refresh creatives before more budget",IF(J107=0,"Watch: no new creatives - freshness will decay","Keep scaling in steps")))))</f>
        <v/>
      </c>
    </row>
    <row r="108">
      <c r="B108" s="7" t="n"/>
      <c r="C108" s="7" t="n"/>
      <c r="F108" s="7" t="n"/>
      <c r="G108" s="7" t="n"/>
      <c r="H108" s="10" t="n"/>
      <c r="I108" s="10" t="n"/>
      <c r="M108" s="8">
        <f>IF(A108="","",IF(E108-D108&lt;=0,"",(C108-B108)/(E108-D108)))</f>
        <v/>
      </c>
      <c r="N108" s="11">
        <f>IF(A108="","",IF(C108-B108&lt;=0,"",(G108-F108)/(C108-B108)))</f>
        <v/>
      </c>
      <c r="O108" s="4">
        <f>IF(A108="","",IF(C108&lt;=B108,"Budget not raised - no read",IF(G108&lt;F108,"Ceiling: profit falling as budget rises - stop pushing; add creatives, improve product or open a market",IF(AND(H108&gt;0,I108&lt;H108),"Watch: conversion slipping - refresh creatives before more budget",IF(J108=0,"Watch: no new creatives - freshness will decay","Keep scaling in steps")))))</f>
        <v/>
      </c>
    </row>
    <row r="109">
      <c r="B109" s="7" t="n"/>
      <c r="C109" s="7" t="n"/>
      <c r="F109" s="7" t="n"/>
      <c r="G109" s="7" t="n"/>
      <c r="H109" s="10" t="n"/>
      <c r="I109" s="10" t="n"/>
      <c r="M109" s="8">
        <f>IF(A109="","",IF(E109-D109&lt;=0,"",(C109-B109)/(E109-D109)))</f>
        <v/>
      </c>
      <c r="N109" s="11">
        <f>IF(A109="","",IF(C109-B109&lt;=0,"",(G109-F109)/(C109-B109)))</f>
        <v/>
      </c>
      <c r="O109" s="4">
        <f>IF(A109="","",IF(C109&lt;=B109,"Budget not raised - no read",IF(G109&lt;F109,"Ceiling: profit falling as budget rises - stop pushing; add creatives, improve product or open a market",IF(AND(H109&gt;0,I109&lt;H109),"Watch: conversion slipping - refresh creatives before more budget",IF(J109=0,"Watch: no new creatives - freshness will decay","Keep scaling in steps")))))</f>
        <v/>
      </c>
    </row>
    <row r="110">
      <c r="B110" s="7" t="n"/>
      <c r="C110" s="7" t="n"/>
      <c r="F110" s="7" t="n"/>
      <c r="G110" s="7" t="n"/>
      <c r="H110" s="10" t="n"/>
      <c r="I110" s="10" t="n"/>
      <c r="M110" s="8">
        <f>IF(A110="","",IF(E110-D110&lt;=0,"",(C110-B110)/(E110-D110)))</f>
        <v/>
      </c>
      <c r="N110" s="11">
        <f>IF(A110="","",IF(C110-B110&lt;=0,"",(G110-F110)/(C110-B110)))</f>
        <v/>
      </c>
      <c r="O110" s="4">
        <f>IF(A110="","",IF(C110&lt;=B110,"Budget not raised - no read",IF(G110&lt;F110,"Ceiling: profit falling as budget rises - stop pushing; add creatives, improve product or open a market",IF(AND(H110&gt;0,I110&lt;H110),"Watch: conversion slipping - refresh creatives before more budget",IF(J110=0,"Watch: no new creatives - freshness will decay","Keep scaling in steps")))))</f>
        <v/>
      </c>
    </row>
    <row r="111">
      <c r="B111" s="7" t="n"/>
      <c r="C111" s="7" t="n"/>
      <c r="F111" s="7" t="n"/>
      <c r="G111" s="7" t="n"/>
      <c r="H111" s="10" t="n"/>
      <c r="I111" s="10" t="n"/>
      <c r="M111" s="8">
        <f>IF(A111="","",IF(E111-D111&lt;=0,"",(C111-B111)/(E111-D111)))</f>
        <v/>
      </c>
      <c r="N111" s="11">
        <f>IF(A111="","",IF(C111-B111&lt;=0,"",(G111-F111)/(C111-B111)))</f>
        <v/>
      </c>
      <c r="O111" s="4">
        <f>IF(A111="","",IF(C111&lt;=B111,"Budget not raised - no read",IF(G111&lt;F111,"Ceiling: profit falling as budget rises - stop pushing; add creatives, improve product or open a market",IF(AND(H111&gt;0,I111&lt;H111),"Watch: conversion slipping - refresh creatives before more budget",IF(J111=0,"Watch: no new creatives - freshness will decay","Keep scaling in steps")))))</f>
        <v/>
      </c>
    </row>
    <row r="112">
      <c r="B112" s="7" t="n"/>
      <c r="C112" s="7" t="n"/>
      <c r="F112" s="7" t="n"/>
      <c r="G112" s="7" t="n"/>
      <c r="H112" s="10" t="n"/>
      <c r="I112" s="10" t="n"/>
      <c r="M112" s="8">
        <f>IF(A112="","",IF(E112-D112&lt;=0,"",(C112-B112)/(E112-D112)))</f>
        <v/>
      </c>
      <c r="N112" s="11">
        <f>IF(A112="","",IF(C112-B112&lt;=0,"",(G112-F112)/(C112-B112)))</f>
        <v/>
      </c>
      <c r="O112" s="4">
        <f>IF(A112="","",IF(C112&lt;=B112,"Budget not raised - no read",IF(G112&lt;F112,"Ceiling: profit falling as budget rises - stop pushing; add creatives, improve product or open a market",IF(AND(H112&gt;0,I112&lt;H112),"Watch: conversion slipping - refresh creatives before more budget",IF(J112=0,"Watch: no new creatives - freshness will decay","Keep scaling in steps")))))</f>
        <v/>
      </c>
    </row>
    <row r="113">
      <c r="B113" s="7" t="n"/>
      <c r="C113" s="7" t="n"/>
      <c r="F113" s="7" t="n"/>
      <c r="G113" s="7" t="n"/>
      <c r="H113" s="10" t="n"/>
      <c r="I113" s="10" t="n"/>
      <c r="M113" s="8">
        <f>IF(A113="","",IF(E113-D113&lt;=0,"",(C113-B113)/(E113-D113)))</f>
        <v/>
      </c>
      <c r="N113" s="11">
        <f>IF(A113="","",IF(C113-B113&lt;=0,"",(G113-F113)/(C113-B113)))</f>
        <v/>
      </c>
      <c r="O113" s="4">
        <f>IF(A113="","",IF(C113&lt;=B113,"Budget not raised - no read",IF(G113&lt;F113,"Ceiling: profit falling as budget rises - stop pushing; add creatives, improve product or open a market",IF(AND(H113&gt;0,I113&lt;H113),"Watch: conversion slipping - refresh creatives before more budget",IF(J113=0,"Watch: no new creatives - freshness will decay","Keep scaling in steps")))))</f>
        <v/>
      </c>
    </row>
    <row r="114">
      <c r="B114" s="7" t="n"/>
      <c r="C114" s="7" t="n"/>
      <c r="F114" s="7" t="n"/>
      <c r="G114" s="7" t="n"/>
      <c r="H114" s="10" t="n"/>
      <c r="I114" s="10" t="n"/>
      <c r="M114" s="8">
        <f>IF(A114="","",IF(E114-D114&lt;=0,"",(C114-B114)/(E114-D114)))</f>
        <v/>
      </c>
      <c r="N114" s="11">
        <f>IF(A114="","",IF(C114-B114&lt;=0,"",(G114-F114)/(C114-B114)))</f>
        <v/>
      </c>
      <c r="O114" s="4">
        <f>IF(A114="","",IF(C114&lt;=B114,"Budget not raised - no read",IF(G114&lt;F114,"Ceiling: profit falling as budget rises - stop pushing; add creatives, improve product or open a market",IF(AND(H114&gt;0,I114&lt;H114),"Watch: conversion slipping - refresh creatives before more budget",IF(J114=0,"Watch: no new creatives - freshness will decay","Keep scaling in steps")))))</f>
        <v/>
      </c>
    </row>
    <row r="115">
      <c r="B115" s="7" t="n"/>
      <c r="C115" s="7" t="n"/>
      <c r="F115" s="7" t="n"/>
      <c r="G115" s="7" t="n"/>
      <c r="H115" s="10" t="n"/>
      <c r="I115" s="10" t="n"/>
      <c r="M115" s="8">
        <f>IF(A115="","",IF(E115-D115&lt;=0,"",(C115-B115)/(E115-D115)))</f>
        <v/>
      </c>
      <c r="N115" s="11">
        <f>IF(A115="","",IF(C115-B115&lt;=0,"",(G115-F115)/(C115-B115)))</f>
        <v/>
      </c>
      <c r="O115" s="4">
        <f>IF(A115="","",IF(C115&lt;=B115,"Budget not raised - no read",IF(G115&lt;F115,"Ceiling: profit falling as budget rises - stop pushing; add creatives, improve product or open a market",IF(AND(H115&gt;0,I115&lt;H115),"Watch: conversion slipping - refresh creatives before more budget",IF(J115=0,"Watch: no new creatives - freshness will decay","Keep scaling in steps")))))</f>
        <v/>
      </c>
    </row>
    <row r="116">
      <c r="B116" s="7" t="n"/>
      <c r="C116" s="7" t="n"/>
      <c r="F116" s="7" t="n"/>
      <c r="G116" s="7" t="n"/>
      <c r="H116" s="10" t="n"/>
      <c r="I116" s="10" t="n"/>
      <c r="M116" s="8">
        <f>IF(A116="","",IF(E116-D116&lt;=0,"",(C116-B116)/(E116-D116)))</f>
        <v/>
      </c>
      <c r="N116" s="11">
        <f>IF(A116="","",IF(C116-B116&lt;=0,"",(G116-F116)/(C116-B116)))</f>
        <v/>
      </c>
      <c r="O116" s="4">
        <f>IF(A116="","",IF(C116&lt;=B116,"Budget not raised - no read",IF(G116&lt;F116,"Ceiling: profit falling as budget rises - stop pushing; add creatives, improve product or open a market",IF(AND(H116&gt;0,I116&lt;H116),"Watch: conversion slipping - refresh creatives before more budget",IF(J116=0,"Watch: no new creatives - freshness will decay","Keep scaling in steps")))))</f>
        <v/>
      </c>
    </row>
    <row r="117">
      <c r="B117" s="7" t="n"/>
      <c r="C117" s="7" t="n"/>
      <c r="F117" s="7" t="n"/>
      <c r="G117" s="7" t="n"/>
      <c r="H117" s="10" t="n"/>
      <c r="I117" s="10" t="n"/>
      <c r="M117" s="8">
        <f>IF(A117="","",IF(E117-D117&lt;=0,"",(C117-B117)/(E117-D117)))</f>
        <v/>
      </c>
      <c r="N117" s="11">
        <f>IF(A117="","",IF(C117-B117&lt;=0,"",(G117-F117)/(C117-B117)))</f>
        <v/>
      </c>
      <c r="O117" s="4">
        <f>IF(A117="","",IF(C117&lt;=B117,"Budget not raised - no read",IF(G117&lt;F117,"Ceiling: profit falling as budget rises - stop pushing; add creatives, improve product or open a market",IF(AND(H117&gt;0,I117&lt;H117),"Watch: conversion slipping - refresh creatives before more budget",IF(J117=0,"Watch: no new creatives - freshness will decay","Keep scaling in steps")))))</f>
        <v/>
      </c>
    </row>
    <row r="118">
      <c r="B118" s="7" t="n"/>
      <c r="C118" s="7" t="n"/>
      <c r="F118" s="7" t="n"/>
      <c r="G118" s="7" t="n"/>
      <c r="H118" s="10" t="n"/>
      <c r="I118" s="10" t="n"/>
      <c r="M118" s="8">
        <f>IF(A118="","",IF(E118-D118&lt;=0,"",(C118-B118)/(E118-D118)))</f>
        <v/>
      </c>
      <c r="N118" s="11">
        <f>IF(A118="","",IF(C118-B118&lt;=0,"",(G118-F118)/(C118-B118)))</f>
        <v/>
      </c>
      <c r="O118" s="4">
        <f>IF(A118="","",IF(C118&lt;=B118,"Budget not raised - no read",IF(G118&lt;F118,"Ceiling: profit falling as budget rises - stop pushing; add creatives, improve product or open a market",IF(AND(H118&gt;0,I118&lt;H118),"Watch: conversion slipping - refresh creatives before more budget",IF(J118=0,"Watch: no new creatives - freshness will decay","Keep scaling in steps")))))</f>
        <v/>
      </c>
    </row>
    <row r="119">
      <c r="B119" s="7" t="n"/>
      <c r="C119" s="7" t="n"/>
      <c r="F119" s="7" t="n"/>
      <c r="G119" s="7" t="n"/>
      <c r="H119" s="10" t="n"/>
      <c r="I119" s="10" t="n"/>
      <c r="M119" s="8">
        <f>IF(A119="","",IF(E119-D119&lt;=0,"",(C119-B119)/(E119-D119)))</f>
        <v/>
      </c>
      <c r="N119" s="11">
        <f>IF(A119="","",IF(C119-B119&lt;=0,"",(G119-F119)/(C119-B119)))</f>
        <v/>
      </c>
      <c r="O119" s="4">
        <f>IF(A119="","",IF(C119&lt;=B119,"Budget not raised - no read",IF(G119&lt;F119,"Ceiling: profit falling as budget rises - stop pushing; add creatives, improve product or open a market",IF(AND(H119&gt;0,I119&lt;H119),"Watch: conversion slipping - refresh creatives before more budget",IF(J119=0,"Watch: no new creatives - freshness will decay","Keep scaling in steps")))))</f>
        <v/>
      </c>
    </row>
    <row r="120">
      <c r="B120" s="7" t="n"/>
      <c r="C120" s="7" t="n"/>
      <c r="F120" s="7" t="n"/>
      <c r="G120" s="7" t="n"/>
      <c r="H120" s="10" t="n"/>
      <c r="I120" s="10" t="n"/>
      <c r="M120" s="8">
        <f>IF(A120="","",IF(E120-D120&lt;=0,"",(C120-B120)/(E120-D120)))</f>
        <v/>
      </c>
      <c r="N120" s="11">
        <f>IF(A120="","",IF(C120-B120&lt;=0,"",(G120-F120)/(C120-B120)))</f>
        <v/>
      </c>
      <c r="O120" s="4">
        <f>IF(A120="","",IF(C120&lt;=B120,"Budget not raised - no read",IF(G120&lt;F120,"Ceiling: profit falling as budget rises - stop pushing; add creatives, improve product or open a market",IF(AND(H120&gt;0,I120&lt;H120),"Watch: conversion slipping - refresh creatives before more budget",IF(J120=0,"Watch: no new creatives - freshness will decay","Keep scaling in steps")))))</f>
        <v/>
      </c>
    </row>
    <row r="121">
      <c r="B121" s="7" t="n"/>
      <c r="C121" s="7" t="n"/>
      <c r="F121" s="7" t="n"/>
      <c r="G121" s="7" t="n"/>
      <c r="H121" s="10" t="n"/>
      <c r="I121" s="10" t="n"/>
      <c r="M121" s="8">
        <f>IF(A121="","",IF(E121-D121&lt;=0,"",(C121-B121)/(E121-D121)))</f>
        <v/>
      </c>
      <c r="N121" s="11">
        <f>IF(A121="","",IF(C121-B121&lt;=0,"",(G121-F121)/(C121-B121)))</f>
        <v/>
      </c>
      <c r="O121" s="4">
        <f>IF(A121="","",IF(C121&lt;=B121,"Budget not raised - no read",IF(G121&lt;F121,"Ceiling: profit falling as budget rises - stop pushing; add creatives, improve product or open a market",IF(AND(H121&gt;0,I121&lt;H121),"Watch: conversion slipping - refresh creatives before more budget",IF(J121=0,"Watch: no new creatives - freshness will decay","Keep scaling in steps")))))</f>
        <v/>
      </c>
    </row>
    <row r="122">
      <c r="B122" s="7" t="n"/>
      <c r="C122" s="7" t="n"/>
      <c r="F122" s="7" t="n"/>
      <c r="G122" s="7" t="n"/>
      <c r="H122" s="10" t="n"/>
      <c r="I122" s="10" t="n"/>
      <c r="M122" s="8">
        <f>IF(A122="","",IF(E122-D122&lt;=0,"",(C122-B122)/(E122-D122)))</f>
        <v/>
      </c>
      <c r="N122" s="11">
        <f>IF(A122="","",IF(C122-B122&lt;=0,"",(G122-F122)/(C122-B122)))</f>
        <v/>
      </c>
      <c r="O122" s="4">
        <f>IF(A122="","",IF(C122&lt;=B122,"Budget not raised - no read",IF(G122&lt;F122,"Ceiling: profit falling as budget rises - stop pushing; add creatives, improve product or open a market",IF(AND(H122&gt;0,I122&lt;H122),"Watch: conversion slipping - refresh creatives before more budget",IF(J122=0,"Watch: no new creatives - freshness will decay","Keep scaling in steps")))))</f>
        <v/>
      </c>
    </row>
    <row r="123">
      <c r="B123" s="7" t="n"/>
      <c r="C123" s="7" t="n"/>
      <c r="F123" s="7" t="n"/>
      <c r="G123" s="7" t="n"/>
      <c r="H123" s="10" t="n"/>
      <c r="I123" s="10" t="n"/>
      <c r="M123" s="8">
        <f>IF(A123="","",IF(E123-D123&lt;=0,"",(C123-B123)/(E123-D123)))</f>
        <v/>
      </c>
      <c r="N123" s="11">
        <f>IF(A123="","",IF(C123-B123&lt;=0,"",(G123-F123)/(C123-B123)))</f>
        <v/>
      </c>
      <c r="O123" s="4">
        <f>IF(A123="","",IF(C123&lt;=B123,"Budget not raised - no read",IF(G123&lt;F123,"Ceiling: profit falling as budget rises - stop pushing; add creatives, improve product or open a market",IF(AND(H123&gt;0,I123&lt;H123),"Watch: conversion slipping - refresh creatives before more budget",IF(J123=0,"Watch: no new creatives - freshness will decay","Keep scaling in steps")))))</f>
        <v/>
      </c>
    </row>
    <row r="124">
      <c r="B124" s="7" t="n"/>
      <c r="C124" s="7" t="n"/>
      <c r="F124" s="7" t="n"/>
      <c r="G124" s="7" t="n"/>
      <c r="H124" s="10" t="n"/>
      <c r="I124" s="10" t="n"/>
      <c r="M124" s="8">
        <f>IF(A124="","",IF(E124-D124&lt;=0,"",(C124-B124)/(E124-D124)))</f>
        <v/>
      </c>
      <c r="N124" s="11">
        <f>IF(A124="","",IF(C124-B124&lt;=0,"",(G124-F124)/(C124-B124)))</f>
        <v/>
      </c>
      <c r="O124" s="4">
        <f>IF(A124="","",IF(C124&lt;=B124,"Budget not raised - no read",IF(G124&lt;F124,"Ceiling: profit falling as budget rises - stop pushing; add creatives, improve product or open a market",IF(AND(H124&gt;0,I124&lt;H124),"Watch: conversion slipping - refresh creatives before more budget",IF(J124=0,"Watch: no new creatives - freshness will decay","Keep scaling in steps")))))</f>
        <v/>
      </c>
    </row>
    <row r="125">
      <c r="B125" s="7" t="n"/>
      <c r="C125" s="7" t="n"/>
      <c r="F125" s="7" t="n"/>
      <c r="G125" s="7" t="n"/>
      <c r="H125" s="10" t="n"/>
      <c r="I125" s="10" t="n"/>
      <c r="M125" s="8">
        <f>IF(A125="","",IF(E125-D125&lt;=0,"",(C125-B125)/(E125-D125)))</f>
        <v/>
      </c>
      <c r="N125" s="11">
        <f>IF(A125="","",IF(C125-B125&lt;=0,"",(G125-F125)/(C125-B125)))</f>
        <v/>
      </c>
      <c r="O125" s="4">
        <f>IF(A125="","",IF(C125&lt;=B125,"Budget not raised - no read",IF(G125&lt;F125,"Ceiling: profit falling as budget rises - stop pushing; add creatives, improve product or open a market",IF(AND(H125&gt;0,I125&lt;H125),"Watch: conversion slipping - refresh creatives before more budget",IF(J125=0,"Watch: no new creatives - freshness will decay","Keep scaling in steps")))))</f>
        <v/>
      </c>
    </row>
    <row r="126">
      <c r="B126" s="7" t="n"/>
      <c r="C126" s="7" t="n"/>
      <c r="F126" s="7" t="n"/>
      <c r="G126" s="7" t="n"/>
      <c r="H126" s="10" t="n"/>
      <c r="I126" s="10" t="n"/>
      <c r="M126" s="8">
        <f>IF(A126="","",IF(E126-D126&lt;=0,"",(C126-B126)/(E126-D126)))</f>
        <v/>
      </c>
      <c r="N126" s="11">
        <f>IF(A126="","",IF(C126-B126&lt;=0,"",(G126-F126)/(C126-B126)))</f>
        <v/>
      </c>
      <c r="O126" s="4">
        <f>IF(A126="","",IF(C126&lt;=B126,"Budget not raised - no read",IF(G126&lt;F126,"Ceiling: profit falling as budget rises - stop pushing; add creatives, improve product or open a market",IF(AND(H126&gt;0,I126&lt;H126),"Watch: conversion slipping - refresh creatives before more budget",IF(J126=0,"Watch: no new creatives - freshness will decay","Keep scaling in steps")))))</f>
        <v/>
      </c>
    </row>
    <row r="127">
      <c r="B127" s="7" t="n"/>
      <c r="C127" s="7" t="n"/>
      <c r="F127" s="7" t="n"/>
      <c r="G127" s="7" t="n"/>
      <c r="H127" s="10" t="n"/>
      <c r="I127" s="10" t="n"/>
      <c r="M127" s="8">
        <f>IF(A127="","",IF(E127-D127&lt;=0,"",(C127-B127)/(E127-D127)))</f>
        <v/>
      </c>
      <c r="N127" s="11">
        <f>IF(A127="","",IF(C127-B127&lt;=0,"",(G127-F127)/(C127-B127)))</f>
        <v/>
      </c>
      <c r="O127" s="4">
        <f>IF(A127="","",IF(C127&lt;=B127,"Budget not raised - no read",IF(G127&lt;F127,"Ceiling: profit falling as budget rises - stop pushing; add creatives, improve product or open a market",IF(AND(H127&gt;0,I127&lt;H127),"Watch: conversion slipping - refresh creatives before more budget",IF(J127=0,"Watch: no new creatives - freshness will decay","Keep scaling in steps")))))</f>
        <v/>
      </c>
    </row>
    <row r="128">
      <c r="B128" s="7" t="n"/>
      <c r="C128" s="7" t="n"/>
      <c r="F128" s="7" t="n"/>
      <c r="G128" s="7" t="n"/>
      <c r="H128" s="10" t="n"/>
      <c r="I128" s="10" t="n"/>
      <c r="M128" s="8">
        <f>IF(A128="","",IF(E128-D128&lt;=0,"",(C128-B128)/(E128-D128)))</f>
        <v/>
      </c>
      <c r="N128" s="11">
        <f>IF(A128="","",IF(C128-B128&lt;=0,"",(G128-F128)/(C128-B128)))</f>
        <v/>
      </c>
      <c r="O128" s="4">
        <f>IF(A128="","",IF(C128&lt;=B128,"Budget not raised - no read",IF(G128&lt;F128,"Ceiling: profit falling as budget rises - stop pushing; add creatives, improve product or open a market",IF(AND(H128&gt;0,I128&lt;H128),"Watch: conversion slipping - refresh creatives before more budget",IF(J128=0,"Watch: no new creatives - freshness will decay","Keep scaling in steps")))))</f>
        <v/>
      </c>
    </row>
    <row r="129">
      <c r="B129" s="7" t="n"/>
      <c r="C129" s="7" t="n"/>
      <c r="F129" s="7" t="n"/>
      <c r="G129" s="7" t="n"/>
      <c r="H129" s="10" t="n"/>
      <c r="I129" s="10" t="n"/>
      <c r="M129" s="8">
        <f>IF(A129="","",IF(E129-D129&lt;=0,"",(C129-B129)/(E129-D129)))</f>
        <v/>
      </c>
      <c r="N129" s="11">
        <f>IF(A129="","",IF(C129-B129&lt;=0,"",(G129-F129)/(C129-B129)))</f>
        <v/>
      </c>
      <c r="O129" s="4">
        <f>IF(A129="","",IF(C129&lt;=B129,"Budget not raised - no read",IF(G129&lt;F129,"Ceiling: profit falling as budget rises - stop pushing; add creatives, improve product or open a market",IF(AND(H129&gt;0,I129&lt;H129),"Watch: conversion slipping - refresh creatives before more budget",IF(J129=0,"Watch: no new creatives - freshness will decay","Keep scaling in steps")))))</f>
        <v/>
      </c>
    </row>
    <row r="130">
      <c r="B130" s="7" t="n"/>
      <c r="C130" s="7" t="n"/>
      <c r="F130" s="7" t="n"/>
      <c r="G130" s="7" t="n"/>
      <c r="H130" s="10" t="n"/>
      <c r="I130" s="10" t="n"/>
      <c r="M130" s="8">
        <f>IF(A130="","",IF(E130-D130&lt;=0,"",(C130-B130)/(E130-D130)))</f>
        <v/>
      </c>
      <c r="N130" s="11">
        <f>IF(A130="","",IF(C130-B130&lt;=0,"",(G130-F130)/(C130-B130)))</f>
        <v/>
      </c>
      <c r="O130" s="4">
        <f>IF(A130="","",IF(C130&lt;=B130,"Budget not raised - no read",IF(G130&lt;F130,"Ceiling: profit falling as budget rises - stop pushing; add creatives, improve product or open a market",IF(AND(H130&gt;0,I130&lt;H130),"Watch: conversion slipping - refresh creatives before more budget",IF(J130=0,"Watch: no new creatives - freshness will decay","Keep scaling in steps")))))</f>
        <v/>
      </c>
    </row>
    <row r="131">
      <c r="B131" s="7" t="n"/>
      <c r="C131" s="7" t="n"/>
      <c r="F131" s="7" t="n"/>
      <c r="G131" s="7" t="n"/>
      <c r="H131" s="10" t="n"/>
      <c r="I131" s="10" t="n"/>
      <c r="M131" s="8">
        <f>IF(A131="","",IF(E131-D131&lt;=0,"",(C131-B131)/(E131-D131)))</f>
        <v/>
      </c>
      <c r="N131" s="11">
        <f>IF(A131="","",IF(C131-B131&lt;=0,"",(G131-F131)/(C131-B131)))</f>
        <v/>
      </c>
      <c r="O131" s="4">
        <f>IF(A131="","",IF(C131&lt;=B131,"Budget not raised - no read",IF(G131&lt;F131,"Ceiling: profit falling as budget rises - stop pushing; add creatives, improve product or open a market",IF(AND(H131&gt;0,I131&lt;H131),"Watch: conversion slipping - refresh creatives before more budget",IF(J131=0,"Watch: no new creatives - freshness will decay","Keep scaling in steps")))))</f>
        <v/>
      </c>
    </row>
    <row r="132">
      <c r="B132" s="7" t="n"/>
      <c r="C132" s="7" t="n"/>
      <c r="F132" s="7" t="n"/>
      <c r="G132" s="7" t="n"/>
      <c r="H132" s="10" t="n"/>
      <c r="I132" s="10" t="n"/>
      <c r="M132" s="8">
        <f>IF(A132="","",IF(E132-D132&lt;=0,"",(C132-B132)/(E132-D132)))</f>
        <v/>
      </c>
      <c r="N132" s="11">
        <f>IF(A132="","",IF(C132-B132&lt;=0,"",(G132-F132)/(C132-B132)))</f>
        <v/>
      </c>
      <c r="O132" s="4">
        <f>IF(A132="","",IF(C132&lt;=B132,"Budget not raised - no read",IF(G132&lt;F132,"Ceiling: profit falling as budget rises - stop pushing; add creatives, improve product or open a market",IF(AND(H132&gt;0,I132&lt;H132),"Watch: conversion slipping - refresh creatives before more budget",IF(J132=0,"Watch: no new creatives - freshness will decay","Keep scaling in steps")))))</f>
        <v/>
      </c>
    </row>
    <row r="133">
      <c r="B133" s="7" t="n"/>
      <c r="C133" s="7" t="n"/>
      <c r="F133" s="7" t="n"/>
      <c r="G133" s="7" t="n"/>
      <c r="H133" s="10" t="n"/>
      <c r="I133" s="10" t="n"/>
      <c r="M133" s="8">
        <f>IF(A133="","",IF(E133-D133&lt;=0,"",(C133-B133)/(E133-D133)))</f>
        <v/>
      </c>
      <c r="N133" s="11">
        <f>IF(A133="","",IF(C133-B133&lt;=0,"",(G133-F133)/(C133-B133)))</f>
        <v/>
      </c>
      <c r="O133" s="4">
        <f>IF(A133="","",IF(C133&lt;=B133,"Budget not raised - no read",IF(G133&lt;F133,"Ceiling: profit falling as budget rises - stop pushing; add creatives, improve product or open a market",IF(AND(H133&gt;0,I133&lt;H133),"Watch: conversion slipping - refresh creatives before more budget",IF(J133=0,"Watch: no new creatives - freshness will decay","Keep scaling in steps")))))</f>
        <v/>
      </c>
    </row>
    <row r="134">
      <c r="B134" s="7" t="n"/>
      <c r="C134" s="7" t="n"/>
      <c r="F134" s="7" t="n"/>
      <c r="G134" s="7" t="n"/>
      <c r="H134" s="10" t="n"/>
      <c r="I134" s="10" t="n"/>
      <c r="M134" s="8">
        <f>IF(A134="","",IF(E134-D134&lt;=0,"",(C134-B134)/(E134-D134)))</f>
        <v/>
      </c>
      <c r="N134" s="11">
        <f>IF(A134="","",IF(C134-B134&lt;=0,"",(G134-F134)/(C134-B134)))</f>
        <v/>
      </c>
      <c r="O134" s="4">
        <f>IF(A134="","",IF(C134&lt;=B134,"Budget not raised - no read",IF(G134&lt;F134,"Ceiling: profit falling as budget rises - stop pushing; add creatives, improve product or open a market",IF(AND(H134&gt;0,I134&lt;H134),"Watch: conversion slipping - refresh creatives before more budget",IF(J134=0,"Watch: no new creatives - freshness will decay","Keep scaling in steps")))))</f>
        <v/>
      </c>
    </row>
    <row r="135">
      <c r="B135" s="7" t="n"/>
      <c r="C135" s="7" t="n"/>
      <c r="F135" s="7" t="n"/>
      <c r="G135" s="7" t="n"/>
      <c r="H135" s="10" t="n"/>
      <c r="I135" s="10" t="n"/>
      <c r="M135" s="8">
        <f>IF(A135="","",IF(E135-D135&lt;=0,"",(C135-B135)/(E135-D135)))</f>
        <v/>
      </c>
      <c r="N135" s="11">
        <f>IF(A135="","",IF(C135-B135&lt;=0,"",(G135-F135)/(C135-B135)))</f>
        <v/>
      </c>
      <c r="O135" s="4">
        <f>IF(A135="","",IF(C135&lt;=B135,"Budget not raised - no read",IF(G135&lt;F135,"Ceiling: profit falling as budget rises - stop pushing; add creatives, improve product or open a market",IF(AND(H135&gt;0,I135&lt;H135),"Watch: conversion slipping - refresh creatives before more budget",IF(J135=0,"Watch: no new creatives - freshness will decay","Keep scaling in steps")))))</f>
        <v/>
      </c>
    </row>
    <row r="136">
      <c r="B136" s="7" t="n"/>
      <c r="C136" s="7" t="n"/>
      <c r="F136" s="7" t="n"/>
      <c r="G136" s="7" t="n"/>
      <c r="H136" s="10" t="n"/>
      <c r="I136" s="10" t="n"/>
      <c r="M136" s="8">
        <f>IF(A136="","",IF(E136-D136&lt;=0,"",(C136-B136)/(E136-D136)))</f>
        <v/>
      </c>
      <c r="N136" s="11">
        <f>IF(A136="","",IF(C136-B136&lt;=0,"",(G136-F136)/(C136-B136)))</f>
        <v/>
      </c>
      <c r="O136" s="4">
        <f>IF(A136="","",IF(C136&lt;=B136,"Budget not raised - no read",IF(G136&lt;F136,"Ceiling: profit falling as budget rises - stop pushing; add creatives, improve product or open a market",IF(AND(H136&gt;0,I136&lt;H136),"Watch: conversion slipping - refresh creatives before more budget",IF(J136=0,"Watch: no new creatives - freshness will decay","Keep scaling in steps")))))</f>
        <v/>
      </c>
    </row>
    <row r="137">
      <c r="B137" s="7" t="n"/>
      <c r="C137" s="7" t="n"/>
      <c r="F137" s="7" t="n"/>
      <c r="G137" s="7" t="n"/>
      <c r="H137" s="10" t="n"/>
      <c r="I137" s="10" t="n"/>
      <c r="M137" s="8">
        <f>IF(A137="","",IF(E137-D137&lt;=0,"",(C137-B137)/(E137-D137)))</f>
        <v/>
      </c>
      <c r="N137" s="11">
        <f>IF(A137="","",IF(C137-B137&lt;=0,"",(G137-F137)/(C137-B137)))</f>
        <v/>
      </c>
      <c r="O137" s="4">
        <f>IF(A137="","",IF(C137&lt;=B137,"Budget not raised - no read",IF(G137&lt;F137,"Ceiling: profit falling as budget rises - stop pushing; add creatives, improve product or open a market",IF(AND(H137&gt;0,I137&lt;H137),"Watch: conversion slipping - refresh creatives before more budget",IF(J137=0,"Watch: no new creatives - freshness will decay","Keep scaling in steps")))))</f>
        <v/>
      </c>
    </row>
    <row r="138">
      <c r="B138" s="7" t="n"/>
      <c r="C138" s="7" t="n"/>
      <c r="F138" s="7" t="n"/>
      <c r="G138" s="7" t="n"/>
      <c r="H138" s="10" t="n"/>
      <c r="I138" s="10" t="n"/>
      <c r="M138" s="8">
        <f>IF(A138="","",IF(E138-D138&lt;=0,"",(C138-B138)/(E138-D138)))</f>
        <v/>
      </c>
      <c r="N138" s="11">
        <f>IF(A138="","",IF(C138-B138&lt;=0,"",(G138-F138)/(C138-B138)))</f>
        <v/>
      </c>
      <c r="O138" s="4">
        <f>IF(A138="","",IF(C138&lt;=B138,"Budget not raised - no read",IF(G138&lt;F138,"Ceiling: profit falling as budget rises - stop pushing; add creatives, improve product or open a market",IF(AND(H138&gt;0,I138&lt;H138),"Watch: conversion slipping - refresh creatives before more budget",IF(J138=0,"Watch: no new creatives - freshness will decay","Keep scaling in steps")))))</f>
        <v/>
      </c>
    </row>
    <row r="139">
      <c r="B139" s="7" t="n"/>
      <c r="C139" s="7" t="n"/>
      <c r="F139" s="7" t="n"/>
      <c r="G139" s="7" t="n"/>
      <c r="H139" s="10" t="n"/>
      <c r="I139" s="10" t="n"/>
      <c r="M139" s="8">
        <f>IF(A139="","",IF(E139-D139&lt;=0,"",(C139-B139)/(E139-D139)))</f>
        <v/>
      </c>
      <c r="N139" s="11">
        <f>IF(A139="","",IF(C139-B139&lt;=0,"",(G139-F139)/(C139-B139)))</f>
        <v/>
      </c>
      <c r="O139" s="4">
        <f>IF(A139="","",IF(C139&lt;=B139,"Budget not raised - no read",IF(G139&lt;F139,"Ceiling: profit falling as budget rises - stop pushing; add creatives, improve product or open a market",IF(AND(H139&gt;0,I139&lt;H139),"Watch: conversion slipping - refresh creatives before more budget",IF(J139=0,"Watch: no new creatives - freshness will decay","Keep scaling in steps")))))</f>
        <v/>
      </c>
    </row>
    <row r="140">
      <c r="B140" s="7" t="n"/>
      <c r="C140" s="7" t="n"/>
      <c r="F140" s="7" t="n"/>
      <c r="G140" s="7" t="n"/>
      <c r="H140" s="10" t="n"/>
      <c r="I140" s="10" t="n"/>
      <c r="M140" s="8">
        <f>IF(A140="","",IF(E140-D140&lt;=0,"",(C140-B140)/(E140-D140)))</f>
        <v/>
      </c>
      <c r="N140" s="11">
        <f>IF(A140="","",IF(C140-B140&lt;=0,"",(G140-F140)/(C140-B140)))</f>
        <v/>
      </c>
      <c r="O140" s="4">
        <f>IF(A140="","",IF(C140&lt;=B140,"Budget not raised - no read",IF(G140&lt;F140,"Ceiling: profit falling as budget rises - stop pushing; add creatives, improve product or open a market",IF(AND(H140&gt;0,I140&lt;H140),"Watch: conversion slipping - refresh creatives before more budget",IF(J140=0,"Watch: no new creatives - freshness will decay","Keep scaling in steps")))))</f>
        <v/>
      </c>
    </row>
    <row r="141">
      <c r="B141" s="7" t="n"/>
      <c r="C141" s="7" t="n"/>
      <c r="F141" s="7" t="n"/>
      <c r="G141" s="7" t="n"/>
      <c r="H141" s="10" t="n"/>
      <c r="I141" s="10" t="n"/>
      <c r="M141" s="8">
        <f>IF(A141="","",IF(E141-D141&lt;=0,"",(C141-B141)/(E141-D141)))</f>
        <v/>
      </c>
      <c r="N141" s="11">
        <f>IF(A141="","",IF(C141-B141&lt;=0,"",(G141-F141)/(C141-B141)))</f>
        <v/>
      </c>
      <c r="O141" s="4">
        <f>IF(A141="","",IF(C141&lt;=B141,"Budget not raised - no read",IF(G141&lt;F141,"Ceiling: profit falling as budget rises - stop pushing; add creatives, improve product or open a market",IF(AND(H141&gt;0,I141&lt;H141),"Watch: conversion slipping - refresh creatives before more budget",IF(J141=0,"Watch: no new creatives - freshness will decay","Keep scaling in steps")))))</f>
        <v/>
      </c>
    </row>
    <row r="142">
      <c r="B142" s="7" t="n"/>
      <c r="C142" s="7" t="n"/>
      <c r="F142" s="7" t="n"/>
      <c r="G142" s="7" t="n"/>
      <c r="H142" s="10" t="n"/>
      <c r="I142" s="10" t="n"/>
      <c r="M142" s="8">
        <f>IF(A142="","",IF(E142-D142&lt;=0,"",(C142-B142)/(E142-D142)))</f>
        <v/>
      </c>
      <c r="N142" s="11">
        <f>IF(A142="","",IF(C142-B142&lt;=0,"",(G142-F142)/(C142-B142)))</f>
        <v/>
      </c>
      <c r="O142" s="4">
        <f>IF(A142="","",IF(C142&lt;=B142,"Budget not raised - no read",IF(G142&lt;F142,"Ceiling: profit falling as budget rises - stop pushing; add creatives, improve product or open a market",IF(AND(H142&gt;0,I142&lt;H142),"Watch: conversion slipping - refresh creatives before more budget",IF(J142=0,"Watch: no new creatives - freshness will decay","Keep scaling in steps")))))</f>
        <v/>
      </c>
    </row>
    <row r="143">
      <c r="B143" s="7" t="n"/>
      <c r="C143" s="7" t="n"/>
      <c r="F143" s="7" t="n"/>
      <c r="G143" s="7" t="n"/>
      <c r="H143" s="10" t="n"/>
      <c r="I143" s="10" t="n"/>
      <c r="M143" s="8">
        <f>IF(A143="","",IF(E143-D143&lt;=0,"",(C143-B143)/(E143-D143)))</f>
        <v/>
      </c>
      <c r="N143" s="11">
        <f>IF(A143="","",IF(C143-B143&lt;=0,"",(G143-F143)/(C143-B143)))</f>
        <v/>
      </c>
      <c r="O143" s="4">
        <f>IF(A143="","",IF(C143&lt;=B143,"Budget not raised - no read",IF(G143&lt;F143,"Ceiling: profit falling as budget rises - stop pushing; add creatives, improve product or open a market",IF(AND(H143&gt;0,I143&lt;H143),"Watch: conversion slipping - refresh creatives before more budget",IF(J143=0,"Watch: no new creatives - freshness will decay","Keep scaling in steps")))))</f>
        <v/>
      </c>
    </row>
    <row r="144">
      <c r="B144" s="7" t="n"/>
      <c r="C144" s="7" t="n"/>
      <c r="F144" s="7" t="n"/>
      <c r="G144" s="7" t="n"/>
      <c r="H144" s="10" t="n"/>
      <c r="I144" s="10" t="n"/>
      <c r="M144" s="8">
        <f>IF(A144="","",IF(E144-D144&lt;=0,"",(C144-B144)/(E144-D144)))</f>
        <v/>
      </c>
      <c r="N144" s="11">
        <f>IF(A144="","",IF(C144-B144&lt;=0,"",(G144-F144)/(C144-B144)))</f>
        <v/>
      </c>
      <c r="O144" s="4">
        <f>IF(A144="","",IF(C144&lt;=B144,"Budget not raised - no read",IF(G144&lt;F144,"Ceiling: profit falling as budget rises - stop pushing; add creatives, improve product or open a market",IF(AND(H144&gt;0,I144&lt;H144),"Watch: conversion slipping - refresh creatives before more budget",IF(J144=0,"Watch: no new creatives - freshness will decay","Keep scaling in steps")))))</f>
        <v/>
      </c>
    </row>
    <row r="145">
      <c r="B145" s="7" t="n"/>
      <c r="C145" s="7" t="n"/>
      <c r="F145" s="7" t="n"/>
      <c r="G145" s="7" t="n"/>
      <c r="H145" s="10" t="n"/>
      <c r="I145" s="10" t="n"/>
      <c r="M145" s="8">
        <f>IF(A145="","",IF(E145-D145&lt;=0,"",(C145-B145)/(E145-D145)))</f>
        <v/>
      </c>
      <c r="N145" s="11">
        <f>IF(A145="","",IF(C145-B145&lt;=0,"",(G145-F145)/(C145-B145)))</f>
        <v/>
      </c>
      <c r="O145" s="4">
        <f>IF(A145="","",IF(C145&lt;=B145,"Budget not raised - no read",IF(G145&lt;F145,"Ceiling: profit falling as budget rises - stop pushing; add creatives, improve product or open a market",IF(AND(H145&gt;0,I145&lt;H145),"Watch: conversion slipping - refresh creatives before more budget",IF(J145=0,"Watch: no new creatives - freshness will decay","Keep scaling in steps")))))</f>
        <v/>
      </c>
    </row>
    <row r="146">
      <c r="B146" s="7" t="n"/>
      <c r="C146" s="7" t="n"/>
      <c r="F146" s="7" t="n"/>
      <c r="G146" s="7" t="n"/>
      <c r="H146" s="10" t="n"/>
      <c r="I146" s="10" t="n"/>
      <c r="M146" s="8">
        <f>IF(A146="","",IF(E146-D146&lt;=0,"",(C146-B146)/(E146-D146)))</f>
        <v/>
      </c>
      <c r="N146" s="11">
        <f>IF(A146="","",IF(C146-B146&lt;=0,"",(G146-F146)/(C146-B146)))</f>
        <v/>
      </c>
      <c r="O146" s="4">
        <f>IF(A146="","",IF(C146&lt;=B146,"Budget not raised - no read",IF(G146&lt;F146,"Ceiling: profit falling as budget rises - stop pushing; add creatives, improve product or open a market",IF(AND(H146&gt;0,I146&lt;H146),"Watch: conversion slipping - refresh creatives before more budget",IF(J146=0,"Watch: no new creatives - freshness will decay","Keep scaling in steps")))))</f>
        <v/>
      </c>
    </row>
    <row r="147">
      <c r="B147" s="7" t="n"/>
      <c r="C147" s="7" t="n"/>
      <c r="F147" s="7" t="n"/>
      <c r="G147" s="7" t="n"/>
      <c r="H147" s="10" t="n"/>
      <c r="I147" s="10" t="n"/>
      <c r="M147" s="8">
        <f>IF(A147="","",IF(E147-D147&lt;=0,"",(C147-B147)/(E147-D147)))</f>
        <v/>
      </c>
      <c r="N147" s="11">
        <f>IF(A147="","",IF(C147-B147&lt;=0,"",(G147-F147)/(C147-B147)))</f>
        <v/>
      </c>
      <c r="O147" s="4">
        <f>IF(A147="","",IF(C147&lt;=B147,"Budget not raised - no read",IF(G147&lt;F147,"Ceiling: profit falling as budget rises - stop pushing; add creatives, improve product or open a market",IF(AND(H147&gt;0,I147&lt;H147),"Watch: conversion slipping - refresh creatives before more budget",IF(J147=0,"Watch: no new creatives - freshness will decay","Keep scaling in steps")))))</f>
        <v/>
      </c>
    </row>
    <row r="148">
      <c r="B148" s="7" t="n"/>
      <c r="C148" s="7" t="n"/>
      <c r="F148" s="7" t="n"/>
      <c r="G148" s="7" t="n"/>
      <c r="H148" s="10" t="n"/>
      <c r="I148" s="10" t="n"/>
      <c r="M148" s="8">
        <f>IF(A148="","",IF(E148-D148&lt;=0,"",(C148-B148)/(E148-D148)))</f>
        <v/>
      </c>
      <c r="N148" s="11">
        <f>IF(A148="","",IF(C148-B148&lt;=0,"",(G148-F148)/(C148-B148)))</f>
        <v/>
      </c>
      <c r="O148" s="4">
        <f>IF(A148="","",IF(C148&lt;=B148,"Budget not raised - no read",IF(G148&lt;F148,"Ceiling: profit falling as budget rises - stop pushing; add creatives, improve product or open a market",IF(AND(H148&gt;0,I148&lt;H148),"Watch: conversion slipping - refresh creatives before more budget",IF(J148=0,"Watch: no new creatives - freshness will decay","Keep scaling in steps")))))</f>
        <v/>
      </c>
    </row>
    <row r="149">
      <c r="B149" s="7" t="n"/>
      <c r="C149" s="7" t="n"/>
      <c r="F149" s="7" t="n"/>
      <c r="G149" s="7" t="n"/>
      <c r="H149" s="10" t="n"/>
      <c r="I149" s="10" t="n"/>
      <c r="M149" s="8">
        <f>IF(A149="","",IF(E149-D149&lt;=0,"",(C149-B149)/(E149-D149)))</f>
        <v/>
      </c>
      <c r="N149" s="11">
        <f>IF(A149="","",IF(C149-B149&lt;=0,"",(G149-F149)/(C149-B149)))</f>
        <v/>
      </c>
      <c r="O149" s="4">
        <f>IF(A149="","",IF(C149&lt;=B149,"Budget not raised - no read",IF(G149&lt;F149,"Ceiling: profit falling as budget rises - stop pushing; add creatives, improve product or open a market",IF(AND(H149&gt;0,I149&lt;H149),"Watch: conversion slipping - refresh creatives before more budget",IF(J149=0,"Watch: no new creatives - freshness will decay","Keep scaling in steps")))))</f>
        <v/>
      </c>
    </row>
    <row r="150">
      <c r="B150" s="7" t="n"/>
      <c r="C150" s="7" t="n"/>
      <c r="F150" s="7" t="n"/>
      <c r="G150" s="7" t="n"/>
      <c r="H150" s="10" t="n"/>
      <c r="I150" s="10" t="n"/>
      <c r="M150" s="8">
        <f>IF(A150="","",IF(E150-D150&lt;=0,"",(C150-B150)/(E150-D150)))</f>
        <v/>
      </c>
      <c r="N150" s="11">
        <f>IF(A150="","",IF(C150-B150&lt;=0,"",(G150-F150)/(C150-B150)))</f>
        <v/>
      </c>
      <c r="O150" s="4">
        <f>IF(A150="","",IF(C150&lt;=B150,"Budget not raised - no read",IF(G150&lt;F150,"Ceiling: profit falling as budget rises - stop pushing; add creatives, improve product or open a market",IF(AND(H150&gt;0,I150&lt;H150),"Watch: conversion slipping - refresh creatives before more budget",IF(J150=0,"Watch: no new creatives - freshness will decay","Keep scaling in steps")))))</f>
        <v/>
      </c>
    </row>
    <row r="151">
      <c r="B151" s="7" t="n"/>
      <c r="C151" s="7" t="n"/>
      <c r="F151" s="7" t="n"/>
      <c r="G151" s="7" t="n"/>
      <c r="H151" s="10" t="n"/>
      <c r="I151" s="10" t="n"/>
      <c r="M151" s="8">
        <f>IF(A151="","",IF(E151-D151&lt;=0,"",(C151-B151)/(E151-D151)))</f>
        <v/>
      </c>
      <c r="N151" s="11">
        <f>IF(A151="","",IF(C151-B151&lt;=0,"",(G151-F151)/(C151-B151)))</f>
        <v/>
      </c>
      <c r="O151" s="4">
        <f>IF(A151="","",IF(C151&lt;=B151,"Budget not raised - no read",IF(G151&lt;F151,"Ceiling: profit falling as budget rises - stop pushing; add creatives, improve product or open a market",IF(AND(H151&gt;0,I151&lt;H151),"Watch: conversion slipping - refresh creatives before more budget",IF(J151=0,"Watch: no new creatives - freshness will decay","Keep scaling in steps")))))</f>
        <v/>
      </c>
    </row>
    <row r="152">
      <c r="B152" s="7" t="n"/>
      <c r="C152" s="7" t="n"/>
      <c r="F152" s="7" t="n"/>
      <c r="G152" s="7" t="n"/>
      <c r="H152" s="10" t="n"/>
      <c r="I152" s="10" t="n"/>
      <c r="M152" s="8">
        <f>IF(A152="","",IF(E152-D152&lt;=0,"",(C152-B152)/(E152-D152)))</f>
        <v/>
      </c>
      <c r="N152" s="11">
        <f>IF(A152="","",IF(C152-B152&lt;=0,"",(G152-F152)/(C152-B152)))</f>
        <v/>
      </c>
      <c r="O152" s="4">
        <f>IF(A152="","",IF(C152&lt;=B152,"Budget not raised - no read",IF(G152&lt;F152,"Ceiling: profit falling as budget rises - stop pushing; add creatives, improve product or open a market",IF(AND(H152&gt;0,I152&lt;H152),"Watch: conversion slipping - refresh creatives before more budget",IF(J152=0,"Watch: no new creatives - freshness will decay","Keep scaling in steps")))))</f>
        <v/>
      </c>
    </row>
    <row r="153">
      <c r="B153" s="7" t="n"/>
      <c r="C153" s="7" t="n"/>
      <c r="F153" s="7" t="n"/>
      <c r="G153" s="7" t="n"/>
      <c r="H153" s="10" t="n"/>
      <c r="I153" s="10" t="n"/>
      <c r="M153" s="8">
        <f>IF(A153="","",IF(E153-D153&lt;=0,"",(C153-B153)/(E153-D153)))</f>
        <v/>
      </c>
      <c r="N153" s="11">
        <f>IF(A153="","",IF(C153-B153&lt;=0,"",(G153-F153)/(C153-B153)))</f>
        <v/>
      </c>
      <c r="O153" s="4">
        <f>IF(A153="","",IF(C153&lt;=B153,"Budget not raised - no read",IF(G153&lt;F153,"Ceiling: profit falling as budget rises - stop pushing; add creatives, improve product or open a market",IF(AND(H153&gt;0,I153&lt;H153),"Watch: conversion slipping - refresh creatives before more budget",IF(J153=0,"Watch: no new creatives - freshness will decay","Keep scaling in steps")))))</f>
        <v/>
      </c>
    </row>
    <row r="154">
      <c r="B154" s="7" t="n"/>
      <c r="C154" s="7" t="n"/>
      <c r="F154" s="7" t="n"/>
      <c r="G154" s="7" t="n"/>
      <c r="H154" s="10" t="n"/>
      <c r="I154" s="10" t="n"/>
      <c r="M154" s="8">
        <f>IF(A154="","",IF(E154-D154&lt;=0,"",(C154-B154)/(E154-D154)))</f>
        <v/>
      </c>
      <c r="N154" s="11">
        <f>IF(A154="","",IF(C154-B154&lt;=0,"",(G154-F154)/(C154-B154)))</f>
        <v/>
      </c>
      <c r="O154" s="4">
        <f>IF(A154="","",IF(C154&lt;=B154,"Budget not raised - no read",IF(G154&lt;F154,"Ceiling: profit falling as budget rises - stop pushing; add creatives, improve product or open a market",IF(AND(H154&gt;0,I154&lt;H154),"Watch: conversion slipping - refresh creatives before more budget",IF(J154=0,"Watch: no new creatives - freshness will decay","Keep scaling in steps")))))</f>
        <v/>
      </c>
    </row>
    <row r="155">
      <c r="B155" s="7" t="n"/>
      <c r="C155" s="7" t="n"/>
      <c r="F155" s="7" t="n"/>
      <c r="G155" s="7" t="n"/>
      <c r="H155" s="10" t="n"/>
      <c r="I155" s="10" t="n"/>
      <c r="M155" s="8">
        <f>IF(A155="","",IF(E155-D155&lt;=0,"",(C155-B155)/(E155-D155)))</f>
        <v/>
      </c>
      <c r="N155" s="11">
        <f>IF(A155="","",IF(C155-B155&lt;=0,"",(G155-F155)/(C155-B155)))</f>
        <v/>
      </c>
      <c r="O155" s="4">
        <f>IF(A155="","",IF(C155&lt;=B155,"Budget not raised - no read",IF(G155&lt;F155,"Ceiling: profit falling as budget rises - stop pushing; add creatives, improve product or open a market",IF(AND(H155&gt;0,I155&lt;H155),"Watch: conversion slipping - refresh creatives before more budget",IF(J155=0,"Watch: no new creatives - freshness will decay","Keep scaling in steps")))))</f>
        <v/>
      </c>
    </row>
    <row r="156">
      <c r="B156" s="7" t="n"/>
      <c r="C156" s="7" t="n"/>
      <c r="F156" s="7" t="n"/>
      <c r="G156" s="7" t="n"/>
      <c r="H156" s="10" t="n"/>
      <c r="I156" s="10" t="n"/>
      <c r="M156" s="8">
        <f>IF(A156="","",IF(E156-D156&lt;=0,"",(C156-B156)/(E156-D156)))</f>
        <v/>
      </c>
      <c r="N156" s="11">
        <f>IF(A156="","",IF(C156-B156&lt;=0,"",(G156-F156)/(C156-B156)))</f>
        <v/>
      </c>
      <c r="O156" s="4">
        <f>IF(A156="","",IF(C156&lt;=B156,"Budget not raised - no read",IF(G156&lt;F156,"Ceiling: profit falling as budget rises - stop pushing; add creatives, improve product or open a market",IF(AND(H156&gt;0,I156&lt;H156),"Watch: conversion slipping - refresh creatives before more budget",IF(J156=0,"Watch: no new creatives - freshness will decay","Keep scaling in steps")))))</f>
        <v/>
      </c>
    </row>
    <row r="157">
      <c r="B157" s="7" t="n"/>
      <c r="C157" s="7" t="n"/>
      <c r="F157" s="7" t="n"/>
      <c r="G157" s="7" t="n"/>
      <c r="H157" s="10" t="n"/>
      <c r="I157" s="10" t="n"/>
      <c r="M157" s="8">
        <f>IF(A157="","",IF(E157-D157&lt;=0,"",(C157-B157)/(E157-D157)))</f>
        <v/>
      </c>
      <c r="N157" s="11">
        <f>IF(A157="","",IF(C157-B157&lt;=0,"",(G157-F157)/(C157-B157)))</f>
        <v/>
      </c>
      <c r="O157" s="4">
        <f>IF(A157="","",IF(C157&lt;=B157,"Budget not raised - no read",IF(G157&lt;F157,"Ceiling: profit falling as budget rises - stop pushing; add creatives, improve product or open a market",IF(AND(H157&gt;0,I157&lt;H157),"Watch: conversion slipping - refresh creatives before more budget",IF(J157=0,"Watch: no new creatives - freshness will decay","Keep scaling in steps")))))</f>
        <v/>
      </c>
    </row>
    <row r="158">
      <c r="B158" s="7" t="n"/>
      <c r="C158" s="7" t="n"/>
      <c r="F158" s="7" t="n"/>
      <c r="G158" s="7" t="n"/>
      <c r="H158" s="10" t="n"/>
      <c r="I158" s="10" t="n"/>
      <c r="M158" s="8">
        <f>IF(A158="","",IF(E158-D158&lt;=0,"",(C158-B158)/(E158-D158)))</f>
        <v/>
      </c>
      <c r="N158" s="11">
        <f>IF(A158="","",IF(C158-B158&lt;=0,"",(G158-F158)/(C158-B158)))</f>
        <v/>
      </c>
      <c r="O158" s="4">
        <f>IF(A158="","",IF(C158&lt;=B158,"Budget not raised - no read",IF(G158&lt;F158,"Ceiling: profit falling as budget rises - stop pushing; add creatives, improve product or open a market",IF(AND(H158&gt;0,I158&lt;H158),"Watch: conversion slipping - refresh creatives before more budget",IF(J158=0,"Watch: no new creatives - freshness will decay","Keep scaling in steps")))))</f>
        <v/>
      </c>
    </row>
    <row r="159">
      <c r="B159" s="7" t="n"/>
      <c r="C159" s="7" t="n"/>
      <c r="F159" s="7" t="n"/>
      <c r="G159" s="7" t="n"/>
      <c r="H159" s="10" t="n"/>
      <c r="I159" s="10" t="n"/>
      <c r="M159" s="8">
        <f>IF(A159="","",IF(E159-D159&lt;=0,"",(C159-B159)/(E159-D159)))</f>
        <v/>
      </c>
      <c r="N159" s="11">
        <f>IF(A159="","",IF(C159-B159&lt;=0,"",(G159-F159)/(C159-B159)))</f>
        <v/>
      </c>
      <c r="O159" s="4">
        <f>IF(A159="","",IF(C159&lt;=B159,"Budget not raised - no read",IF(G159&lt;F159,"Ceiling: profit falling as budget rises - stop pushing; add creatives, improve product or open a market",IF(AND(H159&gt;0,I159&lt;H159),"Watch: conversion slipping - refresh creatives before more budget",IF(J159=0,"Watch: no new creatives - freshness will decay","Keep scaling in steps")))))</f>
        <v/>
      </c>
    </row>
    <row r="160">
      <c r="B160" s="7" t="n"/>
      <c r="C160" s="7" t="n"/>
      <c r="F160" s="7" t="n"/>
      <c r="G160" s="7" t="n"/>
      <c r="H160" s="10" t="n"/>
      <c r="I160" s="10" t="n"/>
      <c r="M160" s="8">
        <f>IF(A160="","",IF(E160-D160&lt;=0,"",(C160-B160)/(E160-D160)))</f>
        <v/>
      </c>
      <c r="N160" s="11">
        <f>IF(A160="","",IF(C160-B160&lt;=0,"",(G160-F160)/(C160-B160)))</f>
        <v/>
      </c>
      <c r="O160" s="4">
        <f>IF(A160="","",IF(C160&lt;=B160,"Budget not raised - no read",IF(G160&lt;F160,"Ceiling: profit falling as budget rises - stop pushing; add creatives, improve product or open a market",IF(AND(H160&gt;0,I160&lt;H160),"Watch: conversion slipping - refresh creatives before more budget",IF(J160=0,"Watch: no new creatives - freshness will decay","Keep scaling in steps")))))</f>
        <v/>
      </c>
    </row>
    <row r="161">
      <c r="B161" s="7" t="n"/>
      <c r="C161" s="7" t="n"/>
      <c r="F161" s="7" t="n"/>
      <c r="G161" s="7" t="n"/>
      <c r="H161" s="10" t="n"/>
      <c r="I161" s="10" t="n"/>
      <c r="M161" s="8">
        <f>IF(A161="","",IF(E161-D161&lt;=0,"",(C161-B161)/(E161-D161)))</f>
        <v/>
      </c>
      <c r="N161" s="11">
        <f>IF(A161="","",IF(C161-B161&lt;=0,"",(G161-F161)/(C161-B161)))</f>
        <v/>
      </c>
      <c r="O161" s="4">
        <f>IF(A161="","",IF(C161&lt;=B161,"Budget not raised - no read",IF(G161&lt;F161,"Ceiling: profit falling as budget rises - stop pushing; add creatives, improve product or open a market",IF(AND(H161&gt;0,I161&lt;H161),"Watch: conversion slipping - refresh creatives before more budget",IF(J161=0,"Watch: no new creatives - freshness will decay","Keep scaling in steps")))))</f>
        <v/>
      </c>
    </row>
    <row r="162">
      <c r="B162" s="7" t="n"/>
      <c r="C162" s="7" t="n"/>
      <c r="F162" s="7" t="n"/>
      <c r="G162" s="7" t="n"/>
      <c r="H162" s="10" t="n"/>
      <c r="I162" s="10" t="n"/>
      <c r="M162" s="8">
        <f>IF(A162="","",IF(E162-D162&lt;=0,"",(C162-B162)/(E162-D162)))</f>
        <v/>
      </c>
      <c r="N162" s="11">
        <f>IF(A162="","",IF(C162-B162&lt;=0,"",(G162-F162)/(C162-B162)))</f>
        <v/>
      </c>
      <c r="O162" s="4">
        <f>IF(A162="","",IF(C162&lt;=B162,"Budget not raised - no read",IF(G162&lt;F162,"Ceiling: profit falling as budget rises - stop pushing; add creatives, improve product or open a market",IF(AND(H162&gt;0,I162&lt;H162),"Watch: conversion slipping - refresh creatives before more budget",IF(J162=0,"Watch: no new creatives - freshness will decay","Keep scaling in steps")))))</f>
        <v/>
      </c>
    </row>
    <row r="163">
      <c r="B163" s="7" t="n"/>
      <c r="C163" s="7" t="n"/>
      <c r="F163" s="7" t="n"/>
      <c r="G163" s="7" t="n"/>
      <c r="H163" s="10" t="n"/>
      <c r="I163" s="10" t="n"/>
      <c r="M163" s="8">
        <f>IF(A163="","",IF(E163-D163&lt;=0,"",(C163-B163)/(E163-D163)))</f>
        <v/>
      </c>
      <c r="N163" s="11">
        <f>IF(A163="","",IF(C163-B163&lt;=0,"",(G163-F163)/(C163-B163)))</f>
        <v/>
      </c>
      <c r="O163" s="4">
        <f>IF(A163="","",IF(C163&lt;=B163,"Budget not raised - no read",IF(G163&lt;F163,"Ceiling: profit falling as budget rises - stop pushing; add creatives, improve product or open a market",IF(AND(H163&gt;0,I163&lt;H163),"Watch: conversion slipping - refresh creatives before more budget",IF(J163=0,"Watch: no new creatives - freshness will decay","Keep scaling in steps")))))</f>
        <v/>
      </c>
    </row>
    <row r="164">
      <c r="B164" s="7" t="n"/>
      <c r="C164" s="7" t="n"/>
      <c r="F164" s="7" t="n"/>
      <c r="G164" s="7" t="n"/>
      <c r="H164" s="10" t="n"/>
      <c r="I164" s="10" t="n"/>
      <c r="M164" s="8">
        <f>IF(A164="","",IF(E164-D164&lt;=0,"",(C164-B164)/(E164-D164)))</f>
        <v/>
      </c>
      <c r="N164" s="11">
        <f>IF(A164="","",IF(C164-B164&lt;=0,"",(G164-F164)/(C164-B164)))</f>
        <v/>
      </c>
      <c r="O164" s="4">
        <f>IF(A164="","",IF(C164&lt;=B164,"Budget not raised - no read",IF(G164&lt;F164,"Ceiling: profit falling as budget rises - stop pushing; add creatives, improve product or open a market",IF(AND(H164&gt;0,I164&lt;H164),"Watch: conversion slipping - refresh creatives before more budget",IF(J164=0,"Watch: no new creatives - freshness will decay","Keep scaling in steps")))))</f>
        <v/>
      </c>
    </row>
    <row r="165">
      <c r="B165" s="7" t="n"/>
      <c r="C165" s="7" t="n"/>
      <c r="F165" s="7" t="n"/>
      <c r="G165" s="7" t="n"/>
      <c r="H165" s="10" t="n"/>
      <c r="I165" s="10" t="n"/>
      <c r="M165" s="8">
        <f>IF(A165="","",IF(E165-D165&lt;=0,"",(C165-B165)/(E165-D165)))</f>
        <v/>
      </c>
      <c r="N165" s="11">
        <f>IF(A165="","",IF(C165-B165&lt;=0,"",(G165-F165)/(C165-B165)))</f>
        <v/>
      </c>
      <c r="O165" s="4">
        <f>IF(A165="","",IF(C165&lt;=B165,"Budget not raised - no read",IF(G165&lt;F165,"Ceiling: profit falling as budget rises - stop pushing; add creatives, improve product or open a market",IF(AND(H165&gt;0,I165&lt;H165),"Watch: conversion slipping - refresh creatives before more budget",IF(J165=0,"Watch: no new creatives - freshness will decay","Keep scaling in steps")))))</f>
        <v/>
      </c>
    </row>
    <row r="166">
      <c r="B166" s="7" t="n"/>
      <c r="C166" s="7" t="n"/>
      <c r="F166" s="7" t="n"/>
      <c r="G166" s="7" t="n"/>
      <c r="H166" s="10" t="n"/>
      <c r="I166" s="10" t="n"/>
      <c r="M166" s="8">
        <f>IF(A166="","",IF(E166-D166&lt;=0,"",(C166-B166)/(E166-D166)))</f>
        <v/>
      </c>
      <c r="N166" s="11">
        <f>IF(A166="","",IF(C166-B166&lt;=0,"",(G166-F166)/(C166-B166)))</f>
        <v/>
      </c>
      <c r="O166" s="4">
        <f>IF(A166="","",IF(C166&lt;=B166,"Budget not raised - no read",IF(G166&lt;F166,"Ceiling: profit falling as budget rises - stop pushing; add creatives, improve product or open a market",IF(AND(H166&gt;0,I166&lt;H166),"Watch: conversion slipping - refresh creatives before more budget",IF(J166=0,"Watch: no new creatives - freshness will decay","Keep scaling in steps")))))</f>
        <v/>
      </c>
    </row>
    <row r="167">
      <c r="B167" s="7" t="n"/>
      <c r="C167" s="7" t="n"/>
      <c r="F167" s="7" t="n"/>
      <c r="G167" s="7" t="n"/>
      <c r="H167" s="10" t="n"/>
      <c r="I167" s="10" t="n"/>
      <c r="M167" s="8">
        <f>IF(A167="","",IF(E167-D167&lt;=0,"",(C167-B167)/(E167-D167)))</f>
        <v/>
      </c>
      <c r="N167" s="11">
        <f>IF(A167="","",IF(C167-B167&lt;=0,"",(G167-F167)/(C167-B167)))</f>
        <v/>
      </c>
      <c r="O167" s="4">
        <f>IF(A167="","",IF(C167&lt;=B167,"Budget not raised - no read",IF(G167&lt;F167,"Ceiling: profit falling as budget rises - stop pushing; add creatives, improve product or open a market",IF(AND(H167&gt;0,I167&lt;H167),"Watch: conversion slipping - refresh creatives before more budget",IF(J167=0,"Watch: no new creatives - freshness will decay","Keep scaling in steps")))))</f>
        <v/>
      </c>
    </row>
    <row r="168">
      <c r="B168" s="7" t="n"/>
      <c r="C168" s="7" t="n"/>
      <c r="F168" s="7" t="n"/>
      <c r="G168" s="7" t="n"/>
      <c r="H168" s="10" t="n"/>
      <c r="I168" s="10" t="n"/>
      <c r="M168" s="8">
        <f>IF(A168="","",IF(E168-D168&lt;=0,"",(C168-B168)/(E168-D168)))</f>
        <v/>
      </c>
      <c r="N168" s="11">
        <f>IF(A168="","",IF(C168-B168&lt;=0,"",(G168-F168)/(C168-B168)))</f>
        <v/>
      </c>
      <c r="O168" s="4">
        <f>IF(A168="","",IF(C168&lt;=B168,"Budget not raised - no read",IF(G168&lt;F168,"Ceiling: profit falling as budget rises - stop pushing; add creatives, improve product or open a market",IF(AND(H168&gt;0,I168&lt;H168),"Watch: conversion slipping - refresh creatives before more budget",IF(J168=0,"Watch: no new creatives - freshness will decay","Keep scaling in steps")))))</f>
        <v/>
      </c>
    </row>
    <row r="169">
      <c r="B169" s="7" t="n"/>
      <c r="C169" s="7" t="n"/>
      <c r="F169" s="7" t="n"/>
      <c r="G169" s="7" t="n"/>
      <c r="H169" s="10" t="n"/>
      <c r="I169" s="10" t="n"/>
      <c r="M169" s="8">
        <f>IF(A169="","",IF(E169-D169&lt;=0,"",(C169-B169)/(E169-D169)))</f>
        <v/>
      </c>
      <c r="N169" s="11">
        <f>IF(A169="","",IF(C169-B169&lt;=0,"",(G169-F169)/(C169-B169)))</f>
        <v/>
      </c>
      <c r="O169" s="4">
        <f>IF(A169="","",IF(C169&lt;=B169,"Budget not raised - no read",IF(G169&lt;F169,"Ceiling: profit falling as budget rises - stop pushing; add creatives, improve product or open a market",IF(AND(H169&gt;0,I169&lt;H169),"Watch: conversion slipping - refresh creatives before more budget",IF(J169=0,"Watch: no new creatives - freshness will decay","Keep scaling in steps")))))</f>
        <v/>
      </c>
    </row>
    <row r="170">
      <c r="B170" s="7" t="n"/>
      <c r="C170" s="7" t="n"/>
      <c r="F170" s="7" t="n"/>
      <c r="G170" s="7" t="n"/>
      <c r="H170" s="10" t="n"/>
      <c r="I170" s="10" t="n"/>
      <c r="M170" s="8">
        <f>IF(A170="","",IF(E170-D170&lt;=0,"",(C170-B170)/(E170-D170)))</f>
        <v/>
      </c>
      <c r="N170" s="11">
        <f>IF(A170="","",IF(C170-B170&lt;=0,"",(G170-F170)/(C170-B170)))</f>
        <v/>
      </c>
      <c r="O170" s="4">
        <f>IF(A170="","",IF(C170&lt;=B170,"Budget not raised - no read",IF(G170&lt;F170,"Ceiling: profit falling as budget rises - stop pushing; add creatives, improve product or open a market",IF(AND(H170&gt;0,I170&lt;H170),"Watch: conversion slipping - refresh creatives before more budget",IF(J170=0,"Watch: no new creatives - freshness will decay","Keep scaling in steps")))))</f>
        <v/>
      </c>
    </row>
    <row r="171">
      <c r="B171" s="7" t="n"/>
      <c r="C171" s="7" t="n"/>
      <c r="F171" s="7" t="n"/>
      <c r="G171" s="7" t="n"/>
      <c r="H171" s="10" t="n"/>
      <c r="I171" s="10" t="n"/>
      <c r="M171" s="8">
        <f>IF(A171="","",IF(E171-D171&lt;=0,"",(C171-B171)/(E171-D171)))</f>
        <v/>
      </c>
      <c r="N171" s="11">
        <f>IF(A171="","",IF(C171-B171&lt;=0,"",(G171-F171)/(C171-B171)))</f>
        <v/>
      </c>
      <c r="O171" s="4">
        <f>IF(A171="","",IF(C171&lt;=B171,"Budget not raised - no read",IF(G171&lt;F171,"Ceiling: profit falling as budget rises - stop pushing; add creatives, improve product or open a market",IF(AND(H171&gt;0,I171&lt;H171),"Watch: conversion slipping - refresh creatives before more budget",IF(J171=0,"Watch: no new creatives - freshness will decay","Keep scaling in steps")))))</f>
        <v/>
      </c>
    </row>
    <row r="172">
      <c r="B172" s="7" t="n"/>
      <c r="C172" s="7" t="n"/>
      <c r="F172" s="7" t="n"/>
      <c r="G172" s="7" t="n"/>
      <c r="H172" s="10" t="n"/>
      <c r="I172" s="10" t="n"/>
      <c r="M172" s="8">
        <f>IF(A172="","",IF(E172-D172&lt;=0,"",(C172-B172)/(E172-D172)))</f>
        <v/>
      </c>
      <c r="N172" s="11">
        <f>IF(A172="","",IF(C172-B172&lt;=0,"",(G172-F172)/(C172-B172)))</f>
        <v/>
      </c>
      <c r="O172" s="4">
        <f>IF(A172="","",IF(C172&lt;=B172,"Budget not raised - no read",IF(G172&lt;F172,"Ceiling: profit falling as budget rises - stop pushing; add creatives, improve product or open a market",IF(AND(H172&gt;0,I172&lt;H172),"Watch: conversion slipping - refresh creatives before more budget",IF(J172=0,"Watch: no new creatives - freshness will decay","Keep scaling in steps")))))</f>
        <v/>
      </c>
    </row>
    <row r="173">
      <c r="B173" s="7" t="n"/>
      <c r="C173" s="7" t="n"/>
      <c r="F173" s="7" t="n"/>
      <c r="G173" s="7" t="n"/>
      <c r="H173" s="10" t="n"/>
      <c r="I173" s="10" t="n"/>
      <c r="M173" s="8">
        <f>IF(A173="","",IF(E173-D173&lt;=0,"",(C173-B173)/(E173-D173)))</f>
        <v/>
      </c>
      <c r="N173" s="11">
        <f>IF(A173="","",IF(C173-B173&lt;=0,"",(G173-F173)/(C173-B173)))</f>
        <v/>
      </c>
      <c r="O173" s="4">
        <f>IF(A173="","",IF(C173&lt;=B173,"Budget not raised - no read",IF(G173&lt;F173,"Ceiling: profit falling as budget rises - stop pushing; add creatives, improve product or open a market",IF(AND(H173&gt;0,I173&lt;H173),"Watch: conversion slipping - refresh creatives before more budget",IF(J173=0,"Watch: no new creatives - freshness will decay","Keep scaling in steps")))))</f>
        <v/>
      </c>
    </row>
    <row r="174">
      <c r="B174" s="7" t="n"/>
      <c r="C174" s="7" t="n"/>
      <c r="F174" s="7" t="n"/>
      <c r="G174" s="7" t="n"/>
      <c r="H174" s="10" t="n"/>
      <c r="I174" s="10" t="n"/>
      <c r="M174" s="8">
        <f>IF(A174="","",IF(E174-D174&lt;=0,"",(C174-B174)/(E174-D174)))</f>
        <v/>
      </c>
      <c r="N174" s="11">
        <f>IF(A174="","",IF(C174-B174&lt;=0,"",(G174-F174)/(C174-B174)))</f>
        <v/>
      </c>
      <c r="O174" s="4">
        <f>IF(A174="","",IF(C174&lt;=B174,"Budget not raised - no read",IF(G174&lt;F174,"Ceiling: profit falling as budget rises - stop pushing; add creatives, improve product or open a market",IF(AND(H174&gt;0,I174&lt;H174),"Watch: conversion slipping - refresh creatives before more budget",IF(J174=0,"Watch: no new creatives - freshness will decay","Keep scaling in steps")))))</f>
        <v/>
      </c>
    </row>
    <row r="175">
      <c r="B175" s="7" t="n"/>
      <c r="C175" s="7" t="n"/>
      <c r="F175" s="7" t="n"/>
      <c r="G175" s="7" t="n"/>
      <c r="H175" s="10" t="n"/>
      <c r="I175" s="10" t="n"/>
      <c r="M175" s="8">
        <f>IF(A175="","",IF(E175-D175&lt;=0,"",(C175-B175)/(E175-D175)))</f>
        <v/>
      </c>
      <c r="N175" s="11">
        <f>IF(A175="","",IF(C175-B175&lt;=0,"",(G175-F175)/(C175-B175)))</f>
        <v/>
      </c>
      <c r="O175" s="4">
        <f>IF(A175="","",IF(C175&lt;=B175,"Budget not raised - no read",IF(G175&lt;F175,"Ceiling: profit falling as budget rises - stop pushing; add creatives, improve product or open a market",IF(AND(H175&gt;0,I175&lt;H175),"Watch: conversion slipping - refresh creatives before more budget",IF(J175=0,"Watch: no new creatives - freshness will decay","Keep scaling in steps")))))</f>
        <v/>
      </c>
    </row>
    <row r="176">
      <c r="B176" s="7" t="n"/>
      <c r="C176" s="7" t="n"/>
      <c r="F176" s="7" t="n"/>
      <c r="G176" s="7" t="n"/>
      <c r="H176" s="10" t="n"/>
      <c r="I176" s="10" t="n"/>
      <c r="M176" s="8">
        <f>IF(A176="","",IF(E176-D176&lt;=0,"",(C176-B176)/(E176-D176)))</f>
        <v/>
      </c>
      <c r="N176" s="11">
        <f>IF(A176="","",IF(C176-B176&lt;=0,"",(G176-F176)/(C176-B176)))</f>
        <v/>
      </c>
      <c r="O176" s="4">
        <f>IF(A176="","",IF(C176&lt;=B176,"Budget not raised - no read",IF(G176&lt;F176,"Ceiling: profit falling as budget rises - stop pushing; add creatives, improve product or open a market",IF(AND(H176&gt;0,I176&lt;H176),"Watch: conversion slipping - refresh creatives before more budget",IF(J176=0,"Watch: no new creatives - freshness will decay","Keep scaling in steps")))))</f>
        <v/>
      </c>
    </row>
    <row r="177">
      <c r="B177" s="7" t="n"/>
      <c r="C177" s="7" t="n"/>
      <c r="F177" s="7" t="n"/>
      <c r="G177" s="7" t="n"/>
      <c r="H177" s="10" t="n"/>
      <c r="I177" s="10" t="n"/>
      <c r="M177" s="8">
        <f>IF(A177="","",IF(E177-D177&lt;=0,"",(C177-B177)/(E177-D177)))</f>
        <v/>
      </c>
      <c r="N177" s="11">
        <f>IF(A177="","",IF(C177-B177&lt;=0,"",(G177-F177)/(C177-B177)))</f>
        <v/>
      </c>
      <c r="O177" s="4">
        <f>IF(A177="","",IF(C177&lt;=B177,"Budget not raised - no read",IF(G177&lt;F177,"Ceiling: profit falling as budget rises - stop pushing; add creatives, improve product or open a market",IF(AND(H177&gt;0,I177&lt;H177),"Watch: conversion slipping - refresh creatives before more budget",IF(J177=0,"Watch: no new creatives - freshness will decay","Keep scaling in steps")))))</f>
        <v/>
      </c>
    </row>
    <row r="178">
      <c r="B178" s="7" t="n"/>
      <c r="C178" s="7" t="n"/>
      <c r="F178" s="7" t="n"/>
      <c r="G178" s="7" t="n"/>
      <c r="H178" s="10" t="n"/>
      <c r="I178" s="10" t="n"/>
      <c r="M178" s="8">
        <f>IF(A178="","",IF(E178-D178&lt;=0,"",(C178-B178)/(E178-D178)))</f>
        <v/>
      </c>
      <c r="N178" s="11">
        <f>IF(A178="","",IF(C178-B178&lt;=0,"",(G178-F178)/(C178-B178)))</f>
        <v/>
      </c>
      <c r="O178" s="4">
        <f>IF(A178="","",IF(C178&lt;=B178,"Budget not raised - no read",IF(G178&lt;F178,"Ceiling: profit falling as budget rises - stop pushing; add creatives, improve product or open a market",IF(AND(H178&gt;0,I178&lt;H178),"Watch: conversion slipping - refresh creatives before more budget",IF(J178=0,"Watch: no new creatives - freshness will decay","Keep scaling in steps")))))</f>
        <v/>
      </c>
    </row>
    <row r="179">
      <c r="B179" s="7" t="n"/>
      <c r="C179" s="7" t="n"/>
      <c r="F179" s="7" t="n"/>
      <c r="G179" s="7" t="n"/>
      <c r="H179" s="10" t="n"/>
      <c r="I179" s="10" t="n"/>
      <c r="M179" s="8">
        <f>IF(A179="","",IF(E179-D179&lt;=0,"",(C179-B179)/(E179-D179)))</f>
        <v/>
      </c>
      <c r="N179" s="11">
        <f>IF(A179="","",IF(C179-B179&lt;=0,"",(G179-F179)/(C179-B179)))</f>
        <v/>
      </c>
      <c r="O179" s="4">
        <f>IF(A179="","",IF(C179&lt;=B179,"Budget not raised - no read",IF(G179&lt;F179,"Ceiling: profit falling as budget rises - stop pushing; add creatives, improve product or open a market",IF(AND(H179&gt;0,I179&lt;H179),"Watch: conversion slipping - refresh creatives before more budget",IF(J179=0,"Watch: no new creatives - freshness will decay","Keep scaling in steps")))))</f>
        <v/>
      </c>
    </row>
    <row r="180">
      <c r="B180" s="7" t="n"/>
      <c r="C180" s="7" t="n"/>
      <c r="F180" s="7" t="n"/>
      <c r="G180" s="7" t="n"/>
      <c r="H180" s="10" t="n"/>
      <c r="I180" s="10" t="n"/>
      <c r="M180" s="8">
        <f>IF(A180="","",IF(E180-D180&lt;=0,"",(C180-B180)/(E180-D180)))</f>
        <v/>
      </c>
      <c r="N180" s="11">
        <f>IF(A180="","",IF(C180-B180&lt;=0,"",(G180-F180)/(C180-B180)))</f>
        <v/>
      </c>
      <c r="O180" s="4">
        <f>IF(A180="","",IF(C180&lt;=B180,"Budget not raised - no read",IF(G180&lt;F180,"Ceiling: profit falling as budget rises - stop pushing; add creatives, improve product or open a market",IF(AND(H180&gt;0,I180&lt;H180),"Watch: conversion slipping - refresh creatives before more budget",IF(J180=0,"Watch: no new creatives - freshness will decay","Keep scaling in steps")))))</f>
        <v/>
      </c>
    </row>
    <row r="181">
      <c r="B181" s="7" t="n"/>
      <c r="C181" s="7" t="n"/>
      <c r="F181" s="7" t="n"/>
      <c r="G181" s="7" t="n"/>
      <c r="H181" s="10" t="n"/>
      <c r="I181" s="10" t="n"/>
      <c r="M181" s="8">
        <f>IF(A181="","",IF(E181-D181&lt;=0,"",(C181-B181)/(E181-D181)))</f>
        <v/>
      </c>
      <c r="N181" s="11">
        <f>IF(A181="","",IF(C181-B181&lt;=0,"",(G181-F181)/(C181-B181)))</f>
        <v/>
      </c>
      <c r="O181" s="4">
        <f>IF(A181="","",IF(C181&lt;=B181,"Budget not raised - no read",IF(G181&lt;F181,"Ceiling: profit falling as budget rises - stop pushing; add creatives, improve product or open a market",IF(AND(H181&gt;0,I181&lt;H181),"Watch: conversion slipping - refresh creatives before more budget",IF(J181=0,"Watch: no new creatives - freshness will decay","Keep scaling in steps")))))</f>
        <v/>
      </c>
    </row>
    <row r="182">
      <c r="B182" s="7" t="n"/>
      <c r="C182" s="7" t="n"/>
      <c r="F182" s="7" t="n"/>
      <c r="G182" s="7" t="n"/>
      <c r="H182" s="10" t="n"/>
      <c r="I182" s="10" t="n"/>
      <c r="M182" s="8">
        <f>IF(A182="","",IF(E182-D182&lt;=0,"",(C182-B182)/(E182-D182)))</f>
        <v/>
      </c>
      <c r="N182" s="11">
        <f>IF(A182="","",IF(C182-B182&lt;=0,"",(G182-F182)/(C182-B182)))</f>
        <v/>
      </c>
      <c r="O182" s="4">
        <f>IF(A182="","",IF(C182&lt;=B182,"Budget not raised - no read",IF(G182&lt;F182,"Ceiling: profit falling as budget rises - stop pushing; add creatives, improve product or open a market",IF(AND(H182&gt;0,I182&lt;H182),"Watch: conversion slipping - refresh creatives before more budget",IF(J182=0,"Watch: no new creatives - freshness will decay","Keep scaling in steps")))))</f>
        <v/>
      </c>
    </row>
    <row r="183">
      <c r="B183" s="7" t="n"/>
      <c r="C183" s="7" t="n"/>
      <c r="F183" s="7" t="n"/>
      <c r="G183" s="7" t="n"/>
      <c r="H183" s="10" t="n"/>
      <c r="I183" s="10" t="n"/>
      <c r="M183" s="8">
        <f>IF(A183="","",IF(E183-D183&lt;=0,"",(C183-B183)/(E183-D183)))</f>
        <v/>
      </c>
      <c r="N183" s="11">
        <f>IF(A183="","",IF(C183-B183&lt;=0,"",(G183-F183)/(C183-B183)))</f>
        <v/>
      </c>
      <c r="O183" s="4">
        <f>IF(A183="","",IF(C183&lt;=B183,"Budget not raised - no read",IF(G183&lt;F183,"Ceiling: profit falling as budget rises - stop pushing; add creatives, improve product or open a market",IF(AND(H183&gt;0,I183&lt;H183),"Watch: conversion slipping - refresh creatives before more budget",IF(J183=0,"Watch: no new creatives - freshness will decay","Keep scaling in steps")))))</f>
        <v/>
      </c>
    </row>
    <row r="184">
      <c r="B184" s="7" t="n"/>
      <c r="C184" s="7" t="n"/>
      <c r="F184" s="7" t="n"/>
      <c r="G184" s="7" t="n"/>
      <c r="H184" s="10" t="n"/>
      <c r="I184" s="10" t="n"/>
      <c r="M184" s="8">
        <f>IF(A184="","",IF(E184-D184&lt;=0,"",(C184-B184)/(E184-D184)))</f>
        <v/>
      </c>
      <c r="N184" s="11">
        <f>IF(A184="","",IF(C184-B184&lt;=0,"",(G184-F184)/(C184-B184)))</f>
        <v/>
      </c>
      <c r="O184" s="4">
        <f>IF(A184="","",IF(C184&lt;=B184,"Budget not raised - no read",IF(G184&lt;F184,"Ceiling: profit falling as budget rises - stop pushing; add creatives, improve product or open a market",IF(AND(H184&gt;0,I184&lt;H184),"Watch: conversion slipping - refresh creatives before more budget",IF(J184=0,"Watch: no new creatives - freshness will decay","Keep scaling in steps")))))</f>
        <v/>
      </c>
    </row>
    <row r="185">
      <c r="B185" s="7" t="n"/>
      <c r="C185" s="7" t="n"/>
      <c r="F185" s="7" t="n"/>
      <c r="G185" s="7" t="n"/>
      <c r="H185" s="10" t="n"/>
      <c r="I185" s="10" t="n"/>
      <c r="M185" s="8">
        <f>IF(A185="","",IF(E185-D185&lt;=0,"",(C185-B185)/(E185-D185)))</f>
        <v/>
      </c>
      <c r="N185" s="11">
        <f>IF(A185="","",IF(C185-B185&lt;=0,"",(G185-F185)/(C185-B185)))</f>
        <v/>
      </c>
      <c r="O185" s="4">
        <f>IF(A185="","",IF(C185&lt;=B185,"Budget not raised - no read",IF(G185&lt;F185,"Ceiling: profit falling as budget rises - stop pushing; add creatives, improve product or open a market",IF(AND(H185&gt;0,I185&lt;H185),"Watch: conversion slipping - refresh creatives before more budget",IF(J185=0,"Watch: no new creatives - freshness will decay","Keep scaling in steps")))))</f>
        <v/>
      </c>
    </row>
    <row r="186">
      <c r="B186" s="7" t="n"/>
      <c r="C186" s="7" t="n"/>
      <c r="F186" s="7" t="n"/>
      <c r="G186" s="7" t="n"/>
      <c r="H186" s="10" t="n"/>
      <c r="I186" s="10" t="n"/>
      <c r="M186" s="8">
        <f>IF(A186="","",IF(E186-D186&lt;=0,"",(C186-B186)/(E186-D186)))</f>
        <v/>
      </c>
      <c r="N186" s="11">
        <f>IF(A186="","",IF(C186-B186&lt;=0,"",(G186-F186)/(C186-B186)))</f>
        <v/>
      </c>
      <c r="O186" s="4">
        <f>IF(A186="","",IF(C186&lt;=B186,"Budget not raised - no read",IF(G186&lt;F186,"Ceiling: profit falling as budget rises - stop pushing; add creatives, improve product or open a market",IF(AND(H186&gt;0,I186&lt;H186),"Watch: conversion slipping - refresh creatives before more budget",IF(J186=0,"Watch: no new creatives - freshness will decay","Keep scaling in steps")))))</f>
        <v/>
      </c>
    </row>
    <row r="187">
      <c r="B187" s="7" t="n"/>
      <c r="C187" s="7" t="n"/>
      <c r="F187" s="7" t="n"/>
      <c r="G187" s="7" t="n"/>
      <c r="H187" s="10" t="n"/>
      <c r="I187" s="10" t="n"/>
      <c r="M187" s="8">
        <f>IF(A187="","",IF(E187-D187&lt;=0,"",(C187-B187)/(E187-D187)))</f>
        <v/>
      </c>
      <c r="N187" s="11">
        <f>IF(A187="","",IF(C187-B187&lt;=0,"",(G187-F187)/(C187-B187)))</f>
        <v/>
      </c>
      <c r="O187" s="4">
        <f>IF(A187="","",IF(C187&lt;=B187,"Budget not raised - no read",IF(G187&lt;F187,"Ceiling: profit falling as budget rises - stop pushing; add creatives, improve product or open a market",IF(AND(H187&gt;0,I187&lt;H187),"Watch: conversion slipping - refresh creatives before more budget",IF(J187=0,"Watch: no new creatives - freshness will decay","Keep scaling in steps")))))</f>
        <v/>
      </c>
    </row>
    <row r="188">
      <c r="B188" s="7" t="n"/>
      <c r="C188" s="7" t="n"/>
      <c r="F188" s="7" t="n"/>
      <c r="G188" s="7" t="n"/>
      <c r="H188" s="10" t="n"/>
      <c r="I188" s="10" t="n"/>
      <c r="M188" s="8">
        <f>IF(A188="","",IF(E188-D188&lt;=0,"",(C188-B188)/(E188-D188)))</f>
        <v/>
      </c>
      <c r="N188" s="11">
        <f>IF(A188="","",IF(C188-B188&lt;=0,"",(G188-F188)/(C188-B188)))</f>
        <v/>
      </c>
      <c r="O188" s="4">
        <f>IF(A188="","",IF(C188&lt;=B188,"Budget not raised - no read",IF(G188&lt;F188,"Ceiling: profit falling as budget rises - stop pushing; add creatives, improve product or open a market",IF(AND(H188&gt;0,I188&lt;H188),"Watch: conversion slipping - refresh creatives before more budget",IF(J188=0,"Watch: no new creatives - freshness will decay","Keep scaling in steps")))))</f>
        <v/>
      </c>
    </row>
    <row r="189">
      <c r="B189" s="7" t="n"/>
      <c r="C189" s="7" t="n"/>
      <c r="F189" s="7" t="n"/>
      <c r="G189" s="7" t="n"/>
      <c r="H189" s="10" t="n"/>
      <c r="I189" s="10" t="n"/>
      <c r="M189" s="8">
        <f>IF(A189="","",IF(E189-D189&lt;=0,"",(C189-B189)/(E189-D189)))</f>
        <v/>
      </c>
      <c r="N189" s="11">
        <f>IF(A189="","",IF(C189-B189&lt;=0,"",(G189-F189)/(C189-B189)))</f>
        <v/>
      </c>
      <c r="O189" s="4">
        <f>IF(A189="","",IF(C189&lt;=B189,"Budget not raised - no read",IF(G189&lt;F189,"Ceiling: profit falling as budget rises - stop pushing; add creatives, improve product or open a market",IF(AND(H189&gt;0,I189&lt;H189),"Watch: conversion slipping - refresh creatives before more budget",IF(J189=0,"Watch: no new creatives - freshness will decay","Keep scaling in steps")))))</f>
        <v/>
      </c>
    </row>
    <row r="190">
      <c r="B190" s="7" t="n"/>
      <c r="C190" s="7" t="n"/>
      <c r="F190" s="7" t="n"/>
      <c r="G190" s="7" t="n"/>
      <c r="H190" s="10" t="n"/>
      <c r="I190" s="10" t="n"/>
      <c r="M190" s="8">
        <f>IF(A190="","",IF(E190-D190&lt;=0,"",(C190-B190)/(E190-D190)))</f>
        <v/>
      </c>
      <c r="N190" s="11">
        <f>IF(A190="","",IF(C190-B190&lt;=0,"",(G190-F190)/(C190-B190)))</f>
        <v/>
      </c>
      <c r="O190" s="4">
        <f>IF(A190="","",IF(C190&lt;=B190,"Budget not raised - no read",IF(G190&lt;F190,"Ceiling: profit falling as budget rises - stop pushing; add creatives, improve product or open a market",IF(AND(H190&gt;0,I190&lt;H190),"Watch: conversion slipping - refresh creatives before more budget",IF(J190=0,"Watch: no new creatives - freshness will decay","Keep scaling in steps")))))</f>
        <v/>
      </c>
    </row>
    <row r="191">
      <c r="B191" s="7" t="n"/>
      <c r="C191" s="7" t="n"/>
      <c r="F191" s="7" t="n"/>
      <c r="G191" s="7" t="n"/>
      <c r="H191" s="10" t="n"/>
      <c r="I191" s="10" t="n"/>
      <c r="M191" s="8">
        <f>IF(A191="","",IF(E191-D191&lt;=0,"",(C191-B191)/(E191-D191)))</f>
        <v/>
      </c>
      <c r="N191" s="11">
        <f>IF(A191="","",IF(C191-B191&lt;=0,"",(G191-F191)/(C191-B191)))</f>
        <v/>
      </c>
      <c r="O191" s="4">
        <f>IF(A191="","",IF(C191&lt;=B191,"Budget not raised - no read",IF(G191&lt;F191,"Ceiling: profit falling as budget rises - stop pushing; add creatives, improve product or open a market",IF(AND(H191&gt;0,I191&lt;H191),"Watch: conversion slipping - refresh creatives before more budget",IF(J191=0,"Watch: no new creatives - freshness will decay","Keep scaling in steps")))))</f>
        <v/>
      </c>
    </row>
    <row r="192">
      <c r="B192" s="7" t="n"/>
      <c r="C192" s="7" t="n"/>
      <c r="F192" s="7" t="n"/>
      <c r="G192" s="7" t="n"/>
      <c r="H192" s="10" t="n"/>
      <c r="I192" s="10" t="n"/>
      <c r="M192" s="8">
        <f>IF(A192="","",IF(E192-D192&lt;=0,"",(C192-B192)/(E192-D192)))</f>
        <v/>
      </c>
      <c r="N192" s="11">
        <f>IF(A192="","",IF(C192-B192&lt;=0,"",(G192-F192)/(C192-B192)))</f>
        <v/>
      </c>
      <c r="O192" s="4">
        <f>IF(A192="","",IF(C192&lt;=B192,"Budget not raised - no read",IF(G192&lt;F192,"Ceiling: profit falling as budget rises - stop pushing; add creatives, improve product or open a market",IF(AND(H192&gt;0,I192&lt;H192),"Watch: conversion slipping - refresh creatives before more budget",IF(J192=0,"Watch: no new creatives - freshness will decay","Keep scaling in steps")))))</f>
        <v/>
      </c>
    </row>
    <row r="193">
      <c r="B193" s="7" t="n"/>
      <c r="C193" s="7" t="n"/>
      <c r="F193" s="7" t="n"/>
      <c r="G193" s="7" t="n"/>
      <c r="H193" s="10" t="n"/>
      <c r="I193" s="10" t="n"/>
      <c r="M193" s="8">
        <f>IF(A193="","",IF(E193-D193&lt;=0,"",(C193-B193)/(E193-D193)))</f>
        <v/>
      </c>
      <c r="N193" s="11">
        <f>IF(A193="","",IF(C193-B193&lt;=0,"",(G193-F193)/(C193-B193)))</f>
        <v/>
      </c>
      <c r="O193" s="4">
        <f>IF(A193="","",IF(C193&lt;=B193,"Budget not raised - no read",IF(G193&lt;F193,"Ceiling: profit falling as budget rises - stop pushing; add creatives, improve product or open a market",IF(AND(H193&gt;0,I193&lt;H193),"Watch: conversion slipping - refresh creatives before more budget",IF(J193=0,"Watch: no new creatives - freshness will decay","Keep scaling in steps")))))</f>
        <v/>
      </c>
    </row>
    <row r="194">
      <c r="B194" s="7" t="n"/>
      <c r="C194" s="7" t="n"/>
      <c r="F194" s="7" t="n"/>
      <c r="G194" s="7" t="n"/>
      <c r="H194" s="10" t="n"/>
      <c r="I194" s="10" t="n"/>
      <c r="M194" s="8">
        <f>IF(A194="","",IF(E194-D194&lt;=0,"",(C194-B194)/(E194-D194)))</f>
        <v/>
      </c>
      <c r="N194" s="11">
        <f>IF(A194="","",IF(C194-B194&lt;=0,"",(G194-F194)/(C194-B194)))</f>
        <v/>
      </c>
      <c r="O194" s="4">
        <f>IF(A194="","",IF(C194&lt;=B194,"Budget not raised - no read",IF(G194&lt;F194,"Ceiling: profit falling as budget rises - stop pushing; add creatives, improve product or open a market",IF(AND(H194&gt;0,I194&lt;H194),"Watch: conversion slipping - refresh creatives before more budget",IF(J194=0,"Watch: no new creatives - freshness will decay","Keep scaling in steps")))))</f>
        <v/>
      </c>
    </row>
    <row r="195">
      <c r="B195" s="7" t="n"/>
      <c r="C195" s="7" t="n"/>
      <c r="F195" s="7" t="n"/>
      <c r="G195" s="7" t="n"/>
      <c r="H195" s="10" t="n"/>
      <c r="I195" s="10" t="n"/>
      <c r="M195" s="8">
        <f>IF(A195="","",IF(E195-D195&lt;=0,"",(C195-B195)/(E195-D195)))</f>
        <v/>
      </c>
      <c r="N195" s="11">
        <f>IF(A195="","",IF(C195-B195&lt;=0,"",(G195-F195)/(C195-B195)))</f>
        <v/>
      </c>
      <c r="O195" s="4">
        <f>IF(A195="","",IF(C195&lt;=B195,"Budget not raised - no read",IF(G195&lt;F195,"Ceiling: profit falling as budget rises - stop pushing; add creatives, improve product or open a market",IF(AND(H195&gt;0,I195&lt;H195),"Watch: conversion slipping - refresh creatives before more budget",IF(J195=0,"Watch: no new creatives - freshness will decay","Keep scaling in steps")))))</f>
        <v/>
      </c>
    </row>
    <row r="196">
      <c r="B196" s="7" t="n"/>
      <c r="C196" s="7" t="n"/>
      <c r="F196" s="7" t="n"/>
      <c r="G196" s="7" t="n"/>
      <c r="H196" s="10" t="n"/>
      <c r="I196" s="10" t="n"/>
      <c r="M196" s="8">
        <f>IF(A196="","",IF(E196-D196&lt;=0,"",(C196-B196)/(E196-D196)))</f>
        <v/>
      </c>
      <c r="N196" s="11">
        <f>IF(A196="","",IF(C196-B196&lt;=0,"",(G196-F196)/(C196-B196)))</f>
        <v/>
      </c>
      <c r="O196" s="4">
        <f>IF(A196="","",IF(C196&lt;=B196,"Budget not raised - no read",IF(G196&lt;F196,"Ceiling: profit falling as budget rises - stop pushing; add creatives, improve product or open a market",IF(AND(H196&gt;0,I196&lt;H196),"Watch: conversion slipping - refresh creatives before more budget",IF(J196=0,"Watch: no new creatives - freshness will decay","Keep scaling in steps")))))</f>
        <v/>
      </c>
    </row>
    <row r="197">
      <c r="B197" s="7" t="n"/>
      <c r="C197" s="7" t="n"/>
      <c r="F197" s="7" t="n"/>
      <c r="G197" s="7" t="n"/>
      <c r="H197" s="10" t="n"/>
      <c r="I197" s="10" t="n"/>
      <c r="M197" s="8">
        <f>IF(A197="","",IF(E197-D197&lt;=0,"",(C197-B197)/(E197-D197)))</f>
        <v/>
      </c>
      <c r="N197" s="11">
        <f>IF(A197="","",IF(C197-B197&lt;=0,"",(G197-F197)/(C197-B197)))</f>
        <v/>
      </c>
      <c r="O197" s="4">
        <f>IF(A197="","",IF(C197&lt;=B197,"Budget not raised - no read",IF(G197&lt;F197,"Ceiling: profit falling as budget rises - stop pushing; add creatives, improve product or open a market",IF(AND(H197&gt;0,I197&lt;H197),"Watch: conversion slipping - refresh creatives before more budget",IF(J197=0,"Watch: no new creatives - freshness will decay","Keep scaling in steps")))))</f>
        <v/>
      </c>
    </row>
    <row r="198">
      <c r="B198" s="7" t="n"/>
      <c r="C198" s="7" t="n"/>
      <c r="F198" s="7" t="n"/>
      <c r="G198" s="7" t="n"/>
      <c r="H198" s="10" t="n"/>
      <c r="I198" s="10" t="n"/>
      <c r="M198" s="8">
        <f>IF(A198="","",IF(E198-D198&lt;=0,"",(C198-B198)/(E198-D198)))</f>
        <v/>
      </c>
      <c r="N198" s="11">
        <f>IF(A198="","",IF(C198-B198&lt;=0,"",(G198-F198)/(C198-B198)))</f>
        <v/>
      </c>
      <c r="O198" s="4">
        <f>IF(A198="","",IF(C198&lt;=B198,"Budget not raised - no read",IF(G198&lt;F198,"Ceiling: profit falling as budget rises - stop pushing; add creatives, improve product or open a market",IF(AND(H198&gt;0,I198&lt;H198),"Watch: conversion slipping - refresh creatives before more budget",IF(J198=0,"Watch: no new creatives - freshness will decay","Keep scaling in steps")))))</f>
        <v/>
      </c>
    </row>
    <row r="199">
      <c r="B199" s="7" t="n"/>
      <c r="C199" s="7" t="n"/>
      <c r="F199" s="7" t="n"/>
      <c r="G199" s="7" t="n"/>
      <c r="H199" s="10" t="n"/>
      <c r="I199" s="10" t="n"/>
      <c r="M199" s="8">
        <f>IF(A199="","",IF(E199-D199&lt;=0,"",(C199-B199)/(E199-D199)))</f>
        <v/>
      </c>
      <c r="N199" s="11">
        <f>IF(A199="","",IF(C199-B199&lt;=0,"",(G199-F199)/(C199-B199)))</f>
        <v/>
      </c>
      <c r="O199" s="4">
        <f>IF(A199="","",IF(C199&lt;=B199,"Budget not raised - no read",IF(G199&lt;F199,"Ceiling: profit falling as budget rises - stop pushing; add creatives, improve product or open a market",IF(AND(H199&gt;0,I199&lt;H199),"Watch: conversion slipping - refresh creatives before more budget",IF(J199=0,"Watch: no new creatives - freshness will decay","Keep scaling in steps")))))</f>
        <v/>
      </c>
    </row>
    <row r="200">
      <c r="B200" s="7" t="n"/>
      <c r="C200" s="7" t="n"/>
      <c r="F200" s="7" t="n"/>
      <c r="G200" s="7" t="n"/>
      <c r="H200" s="10" t="n"/>
      <c r="I200" s="10" t="n"/>
      <c r="M200" s="8">
        <f>IF(A200="","",IF(E200-D200&lt;=0,"",(C200-B200)/(E200-D200)))</f>
        <v/>
      </c>
      <c r="N200" s="11">
        <f>IF(A200="","",IF(C200-B200&lt;=0,"",(G200-F200)/(C200-B200)))</f>
        <v/>
      </c>
      <c r="O200" s="4">
        <f>IF(A200="","",IF(C200&lt;=B200,"Budget not raised - no read",IF(G200&lt;F200,"Ceiling: profit falling as budget rises - stop pushing; add creatives, improve product or open a market",IF(AND(H200&gt;0,I200&lt;H200),"Watch: conversion slipping - refresh creatives before more budget",IF(J200=0,"Watch: no new creatives - freshness will decay","Keep scaling in steps")))))</f>
        <v/>
      </c>
    </row>
    <row r="201">
      <c r="B201" s="7" t="n"/>
      <c r="C201" s="7" t="n"/>
      <c r="F201" s="7" t="n"/>
      <c r="G201" s="7" t="n"/>
      <c r="H201" s="10" t="n"/>
      <c r="I201" s="10" t="n"/>
      <c r="M201" s="8">
        <f>IF(A201="","",IF(E201-D201&lt;=0,"",(C201-B201)/(E201-D201)))</f>
        <v/>
      </c>
      <c r="N201" s="11">
        <f>IF(A201="","",IF(C201-B201&lt;=0,"",(G201-F201)/(C201-B201)))</f>
        <v/>
      </c>
      <c r="O201" s="4">
        <f>IF(A201="","",IF(C201&lt;=B201,"Budget not raised - no read",IF(G201&lt;F201,"Ceiling: profit falling as budget rises - stop pushing; add creatives, improve product or open a market",IF(AND(H201&gt;0,I201&lt;H201),"Watch: conversion slipping - refresh creatives before more budget",IF(J201=0,"Watch: no new creatives - freshness will decay","Keep scaling in steps")))))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7.14285714285715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25.71428571428572" customWidth="1" min="7" max="7"/>
    <col width="25.71428571428572" customWidth="1" min="8" max="8"/>
    <col width="15.71428571428571" customWidth="1" min="9" max="9"/>
    <col width="28.57142857142857" customWidth="1" min="10" max="10"/>
    <col width="15.71428571428571" customWidth="1" min="11" max="11"/>
    <col width="15.71428571428571" customWidth="1" min="12" max="12"/>
    <col width="28.57142857142857" customWidth="1" min="13" max="13"/>
  </cols>
  <sheetData>
    <row r="1" ht="48" customHeight="1">
      <c r="A1" s="1" t="inlineStr">
        <is>
          <t>ID</t>
        </is>
      </c>
      <c r="B1" s="1" t="inlineStr">
        <is>
          <t>Cause → effect statement</t>
        </is>
      </c>
      <c r="C1" s="1" t="inlineStr">
        <is>
          <t>Variable under test</t>
        </is>
      </c>
      <c r="D1" s="1" t="inlineStr">
        <is>
          <t>Held fixed</t>
        </is>
      </c>
      <c r="E1" s="1" t="inlineStr">
        <is>
          <t>Budget cap ($)</t>
        </is>
      </c>
      <c r="F1" s="1" t="inlineStr">
        <is>
          <t>Spent ($)</t>
        </is>
      </c>
      <c r="G1" s="1" t="inlineStr">
        <is>
          <t>Kill criterion</t>
        </is>
      </c>
      <c r="H1" s="1" t="inlineStr">
        <is>
          <t>Success criterion</t>
        </is>
      </c>
      <c r="I1" s="1" t="inlineStr">
        <is>
          <t>Independent signals</t>
        </is>
      </c>
      <c r="J1" s="1" t="inlineStr">
        <is>
          <t>Result (as observed)</t>
        </is>
      </c>
      <c r="K1" s="1" t="inlineStr">
        <is>
          <t>Decision</t>
        </is>
      </c>
      <c r="L1" s="2" t="inlineStr">
        <is>
          <t>Guardrail ƒ</t>
        </is>
      </c>
      <c r="M1" s="1" t="inlineStr">
        <is>
          <t>Learning → SOP change</t>
        </is>
      </c>
    </row>
    <row r="2">
      <c r="A2" t="inlineStr">
        <is>
          <t>H-001</t>
        </is>
      </c>
      <c r="B2" t="inlineStr">
        <is>
          <t>Leading with selling point B lifts 6s retention ≥60% for parents</t>
        </is>
      </c>
      <c r="C2" t="inlineStr">
        <is>
          <t>Selling point</t>
        </is>
      </c>
      <c r="D2" t="inlineStr">
        <is>
          <t>Offer, price, creator tier, post time</t>
        </is>
      </c>
      <c r="E2" s="7" t="n">
        <v>300</v>
      </c>
      <c r="F2" s="7" t="n">
        <v>120</v>
      </c>
      <c r="G2" t="inlineStr">
        <is>
          <t>&lt;40% after 6 videos</t>
        </is>
      </c>
      <c r="H2" t="inlineStr">
        <is>
          <t>≥60% and ≥5 orders</t>
        </is>
      </c>
      <c r="I2" t="n">
        <v>1</v>
      </c>
      <c r="K2" t="inlineStr">
        <is>
          <t>Open</t>
        </is>
      </c>
      <c r="L2" s="4">
        <f>IF(A2="","",IF(AND(K2="Scale",I2&lt;3),"Need ≥3 signals",IF(F2&gt;E2,"Over budget cap","OK")))</f>
        <v/>
      </c>
    </row>
    <row r="3">
      <c r="E3" s="7" t="n"/>
      <c r="F3" s="7" t="n"/>
      <c r="L3" s="4">
        <f>IF(A3="","",IF(AND(K3="Scale",I3&lt;3),"Need ≥3 signals",IF(F3&gt;E3,"Over budget cap","OK")))</f>
        <v/>
      </c>
    </row>
    <row r="4">
      <c r="E4" s="7" t="n"/>
      <c r="F4" s="7" t="n"/>
      <c r="L4" s="4">
        <f>IF(A4="","",IF(AND(K4="Scale",I4&lt;3),"Need ≥3 signals",IF(F4&gt;E4,"Over budget cap","OK")))</f>
        <v/>
      </c>
    </row>
    <row r="5">
      <c r="E5" s="7" t="n"/>
      <c r="F5" s="7" t="n"/>
      <c r="L5" s="4">
        <f>IF(A5="","",IF(AND(K5="Scale",I5&lt;3),"Need ≥3 signals",IF(F5&gt;E5,"Over budget cap","OK")))</f>
        <v/>
      </c>
    </row>
    <row r="6">
      <c r="E6" s="7" t="n"/>
      <c r="F6" s="7" t="n"/>
      <c r="L6" s="4">
        <f>IF(A6="","",IF(AND(K6="Scale",I6&lt;3),"Need ≥3 signals",IF(F6&gt;E6,"Over budget cap","OK")))</f>
        <v/>
      </c>
    </row>
    <row r="7">
      <c r="E7" s="7" t="n"/>
      <c r="F7" s="7" t="n"/>
      <c r="L7" s="4">
        <f>IF(A7="","",IF(AND(K7="Scale",I7&lt;3),"Need ≥3 signals",IF(F7&gt;E7,"Over budget cap","OK")))</f>
        <v/>
      </c>
    </row>
    <row r="8">
      <c r="E8" s="7" t="n"/>
      <c r="F8" s="7" t="n"/>
      <c r="L8" s="4">
        <f>IF(A8="","",IF(AND(K8="Scale",I8&lt;3),"Need ≥3 signals",IF(F8&gt;E8,"Over budget cap","OK")))</f>
        <v/>
      </c>
    </row>
    <row r="9">
      <c r="E9" s="7" t="n"/>
      <c r="F9" s="7" t="n"/>
      <c r="L9" s="4">
        <f>IF(A9="","",IF(AND(K9="Scale",I9&lt;3),"Need ≥3 signals",IF(F9&gt;E9,"Over budget cap","OK")))</f>
        <v/>
      </c>
    </row>
    <row r="10">
      <c r="E10" s="7" t="n"/>
      <c r="F10" s="7" t="n"/>
      <c r="L10" s="4">
        <f>IF(A10="","",IF(AND(K10="Scale",I10&lt;3),"Need ≥3 signals",IF(F10&gt;E10,"Over budget cap","OK")))</f>
        <v/>
      </c>
    </row>
    <row r="11">
      <c r="E11" s="7" t="n"/>
      <c r="F11" s="7" t="n"/>
      <c r="L11" s="4">
        <f>IF(A11="","",IF(AND(K11="Scale",I11&lt;3),"Need ≥3 signals",IF(F11&gt;E11,"Over budget cap","OK")))</f>
        <v/>
      </c>
    </row>
    <row r="12">
      <c r="E12" s="7" t="n"/>
      <c r="F12" s="7" t="n"/>
      <c r="L12" s="4">
        <f>IF(A12="","",IF(AND(K12="Scale",I12&lt;3),"Need ≥3 signals",IF(F12&gt;E12,"Over budget cap","OK")))</f>
        <v/>
      </c>
    </row>
    <row r="13">
      <c r="E13" s="7" t="n"/>
      <c r="F13" s="7" t="n"/>
      <c r="L13" s="4">
        <f>IF(A13="","",IF(AND(K13="Scale",I13&lt;3),"Need ≥3 signals",IF(F13&gt;E13,"Over budget cap","OK")))</f>
        <v/>
      </c>
    </row>
    <row r="14">
      <c r="E14" s="7" t="n"/>
      <c r="F14" s="7" t="n"/>
      <c r="L14" s="4">
        <f>IF(A14="","",IF(AND(K14="Scale",I14&lt;3),"Need ≥3 signals",IF(F14&gt;E14,"Over budget cap","OK")))</f>
        <v/>
      </c>
    </row>
    <row r="15">
      <c r="E15" s="7" t="n"/>
      <c r="F15" s="7" t="n"/>
      <c r="L15" s="4">
        <f>IF(A15="","",IF(AND(K15="Scale",I15&lt;3),"Need ≥3 signals",IF(F15&gt;E15,"Over budget cap","OK")))</f>
        <v/>
      </c>
    </row>
    <row r="16">
      <c r="E16" s="7" t="n"/>
      <c r="F16" s="7" t="n"/>
      <c r="L16" s="4">
        <f>IF(A16="","",IF(AND(K16="Scale",I16&lt;3),"Need ≥3 signals",IF(F16&gt;E16,"Over budget cap","OK")))</f>
        <v/>
      </c>
    </row>
    <row r="17">
      <c r="E17" s="7" t="n"/>
      <c r="F17" s="7" t="n"/>
      <c r="L17" s="4">
        <f>IF(A17="","",IF(AND(K17="Scale",I17&lt;3),"Need ≥3 signals",IF(F17&gt;E17,"Over budget cap","OK")))</f>
        <v/>
      </c>
    </row>
    <row r="18">
      <c r="E18" s="7" t="n"/>
      <c r="F18" s="7" t="n"/>
      <c r="L18" s="4">
        <f>IF(A18="","",IF(AND(K18="Scale",I18&lt;3),"Need ≥3 signals",IF(F18&gt;E18,"Over budget cap","OK")))</f>
        <v/>
      </c>
    </row>
    <row r="19">
      <c r="E19" s="7" t="n"/>
      <c r="F19" s="7" t="n"/>
      <c r="L19" s="4">
        <f>IF(A19="","",IF(AND(K19="Scale",I19&lt;3),"Need ≥3 signals",IF(F19&gt;E19,"Over budget cap","OK")))</f>
        <v/>
      </c>
    </row>
    <row r="20">
      <c r="E20" s="7" t="n"/>
      <c r="F20" s="7" t="n"/>
      <c r="L20" s="4">
        <f>IF(A20="","",IF(AND(K20="Scale",I20&lt;3),"Need ≥3 signals",IF(F20&gt;E20,"Over budget cap","OK")))</f>
        <v/>
      </c>
    </row>
    <row r="21">
      <c r="E21" s="7" t="n"/>
      <c r="F21" s="7" t="n"/>
      <c r="L21" s="4">
        <f>IF(A21="","",IF(AND(K21="Scale",I21&lt;3),"Need ≥3 signals",IF(F21&gt;E21,"Over budget cap","OK")))</f>
        <v/>
      </c>
    </row>
    <row r="22">
      <c r="E22" s="7" t="n"/>
      <c r="F22" s="7" t="n"/>
      <c r="L22" s="4">
        <f>IF(A22="","",IF(AND(K22="Scale",I22&lt;3),"Need ≥3 signals",IF(F22&gt;E22,"Over budget cap","OK")))</f>
        <v/>
      </c>
    </row>
    <row r="23">
      <c r="E23" s="7" t="n"/>
      <c r="F23" s="7" t="n"/>
      <c r="L23" s="4">
        <f>IF(A23="","",IF(AND(K23="Scale",I23&lt;3),"Need ≥3 signals",IF(F23&gt;E23,"Over budget cap","OK")))</f>
        <v/>
      </c>
    </row>
    <row r="24">
      <c r="E24" s="7" t="n"/>
      <c r="F24" s="7" t="n"/>
      <c r="L24" s="4">
        <f>IF(A24="","",IF(AND(K24="Scale",I24&lt;3),"Need ≥3 signals",IF(F24&gt;E24,"Over budget cap","OK")))</f>
        <v/>
      </c>
    </row>
    <row r="25">
      <c r="E25" s="7" t="n"/>
      <c r="F25" s="7" t="n"/>
      <c r="L25" s="4">
        <f>IF(A25="","",IF(AND(K25="Scale",I25&lt;3),"Need ≥3 signals",IF(F25&gt;E25,"Over budget cap","OK")))</f>
        <v/>
      </c>
    </row>
    <row r="26">
      <c r="E26" s="7" t="n"/>
      <c r="F26" s="7" t="n"/>
      <c r="L26" s="4">
        <f>IF(A26="","",IF(AND(K26="Scale",I26&lt;3),"Need ≥3 signals",IF(F26&gt;E26,"Over budget cap","OK")))</f>
        <v/>
      </c>
    </row>
    <row r="27">
      <c r="E27" s="7" t="n"/>
      <c r="F27" s="7" t="n"/>
      <c r="L27" s="4">
        <f>IF(A27="","",IF(AND(K27="Scale",I27&lt;3),"Need ≥3 signals",IF(F27&gt;E27,"Over budget cap","OK")))</f>
        <v/>
      </c>
    </row>
    <row r="28">
      <c r="E28" s="7" t="n"/>
      <c r="F28" s="7" t="n"/>
      <c r="L28" s="4">
        <f>IF(A28="","",IF(AND(K28="Scale",I28&lt;3),"Need ≥3 signals",IF(F28&gt;E28,"Over budget cap","OK")))</f>
        <v/>
      </c>
    </row>
    <row r="29">
      <c r="E29" s="7" t="n"/>
      <c r="F29" s="7" t="n"/>
      <c r="L29" s="4">
        <f>IF(A29="","",IF(AND(K29="Scale",I29&lt;3),"Need ≥3 signals",IF(F29&gt;E29,"Over budget cap","OK")))</f>
        <v/>
      </c>
    </row>
    <row r="30">
      <c r="E30" s="7" t="n"/>
      <c r="F30" s="7" t="n"/>
      <c r="L30" s="4">
        <f>IF(A30="","",IF(AND(K30="Scale",I30&lt;3),"Need ≥3 signals",IF(F30&gt;E30,"Over budget cap","OK")))</f>
        <v/>
      </c>
    </row>
    <row r="31">
      <c r="E31" s="7" t="n"/>
      <c r="F31" s="7" t="n"/>
      <c r="L31" s="4">
        <f>IF(A31="","",IF(AND(K31="Scale",I31&lt;3),"Need ≥3 signals",IF(F31&gt;E31,"Over budget cap","OK")))</f>
        <v/>
      </c>
    </row>
    <row r="32">
      <c r="E32" s="7" t="n"/>
      <c r="F32" s="7" t="n"/>
      <c r="L32" s="4">
        <f>IF(A32="","",IF(AND(K32="Scale",I32&lt;3),"Need ≥3 signals",IF(F32&gt;E32,"Over budget cap","OK")))</f>
        <v/>
      </c>
    </row>
    <row r="33">
      <c r="E33" s="7" t="n"/>
      <c r="F33" s="7" t="n"/>
      <c r="L33" s="4">
        <f>IF(A33="","",IF(AND(K33="Scale",I33&lt;3),"Need ≥3 signals",IF(F33&gt;E33,"Over budget cap","OK")))</f>
        <v/>
      </c>
    </row>
    <row r="34">
      <c r="E34" s="7" t="n"/>
      <c r="F34" s="7" t="n"/>
      <c r="L34" s="4">
        <f>IF(A34="","",IF(AND(K34="Scale",I34&lt;3),"Need ≥3 signals",IF(F34&gt;E34,"Over budget cap","OK")))</f>
        <v/>
      </c>
    </row>
    <row r="35">
      <c r="E35" s="7" t="n"/>
      <c r="F35" s="7" t="n"/>
      <c r="L35" s="4">
        <f>IF(A35="","",IF(AND(K35="Scale",I35&lt;3),"Need ≥3 signals",IF(F35&gt;E35,"Over budget cap","OK")))</f>
        <v/>
      </c>
    </row>
    <row r="36">
      <c r="E36" s="7" t="n"/>
      <c r="F36" s="7" t="n"/>
      <c r="L36" s="4">
        <f>IF(A36="","",IF(AND(K36="Scale",I36&lt;3),"Need ≥3 signals",IF(F36&gt;E36,"Over budget cap","OK")))</f>
        <v/>
      </c>
    </row>
    <row r="37">
      <c r="E37" s="7" t="n"/>
      <c r="F37" s="7" t="n"/>
      <c r="L37" s="4">
        <f>IF(A37="","",IF(AND(K37="Scale",I37&lt;3),"Need ≥3 signals",IF(F37&gt;E37,"Over budget cap","OK")))</f>
        <v/>
      </c>
    </row>
    <row r="38">
      <c r="E38" s="7" t="n"/>
      <c r="F38" s="7" t="n"/>
      <c r="L38" s="4">
        <f>IF(A38="","",IF(AND(K38="Scale",I38&lt;3),"Need ≥3 signals",IF(F38&gt;E38,"Over budget cap","OK")))</f>
        <v/>
      </c>
    </row>
    <row r="39">
      <c r="E39" s="7" t="n"/>
      <c r="F39" s="7" t="n"/>
      <c r="L39" s="4">
        <f>IF(A39="","",IF(AND(K39="Scale",I39&lt;3),"Need ≥3 signals",IF(F39&gt;E39,"Over budget cap","OK")))</f>
        <v/>
      </c>
    </row>
    <row r="40">
      <c r="E40" s="7" t="n"/>
      <c r="F40" s="7" t="n"/>
      <c r="L40" s="4">
        <f>IF(A40="","",IF(AND(K40="Scale",I40&lt;3),"Need ≥3 signals",IF(F40&gt;E40,"Over budget cap","OK")))</f>
        <v/>
      </c>
    </row>
    <row r="41">
      <c r="E41" s="7" t="n"/>
      <c r="F41" s="7" t="n"/>
      <c r="L41" s="4">
        <f>IF(A41="","",IF(AND(K41="Scale",I41&lt;3),"Need ≥3 signals",IF(F41&gt;E41,"Over budget cap","OK")))</f>
        <v/>
      </c>
    </row>
    <row r="42">
      <c r="E42" s="7" t="n"/>
      <c r="F42" s="7" t="n"/>
      <c r="L42" s="4">
        <f>IF(A42="","",IF(AND(K42="Scale",I42&lt;3),"Need ≥3 signals",IF(F42&gt;E42,"Over budget cap","OK")))</f>
        <v/>
      </c>
    </row>
    <row r="43">
      <c r="E43" s="7" t="n"/>
      <c r="F43" s="7" t="n"/>
      <c r="L43" s="4">
        <f>IF(A43="","",IF(AND(K43="Scale",I43&lt;3),"Need ≥3 signals",IF(F43&gt;E43,"Over budget cap","OK")))</f>
        <v/>
      </c>
    </row>
    <row r="44">
      <c r="E44" s="7" t="n"/>
      <c r="F44" s="7" t="n"/>
      <c r="L44" s="4">
        <f>IF(A44="","",IF(AND(K44="Scale",I44&lt;3),"Need ≥3 signals",IF(F44&gt;E44,"Over budget cap","OK")))</f>
        <v/>
      </c>
    </row>
    <row r="45">
      <c r="E45" s="7" t="n"/>
      <c r="F45" s="7" t="n"/>
      <c r="L45" s="4">
        <f>IF(A45="","",IF(AND(K45="Scale",I45&lt;3),"Need ≥3 signals",IF(F45&gt;E45,"Over budget cap","OK")))</f>
        <v/>
      </c>
    </row>
    <row r="46">
      <c r="E46" s="7" t="n"/>
      <c r="F46" s="7" t="n"/>
      <c r="L46" s="4">
        <f>IF(A46="","",IF(AND(K46="Scale",I46&lt;3),"Need ≥3 signals",IF(F46&gt;E46,"Over budget cap","OK")))</f>
        <v/>
      </c>
    </row>
    <row r="47">
      <c r="E47" s="7" t="n"/>
      <c r="F47" s="7" t="n"/>
      <c r="L47" s="4">
        <f>IF(A47="","",IF(AND(K47="Scale",I47&lt;3),"Need ≥3 signals",IF(F47&gt;E47,"Over budget cap","OK")))</f>
        <v/>
      </c>
    </row>
    <row r="48">
      <c r="E48" s="7" t="n"/>
      <c r="F48" s="7" t="n"/>
      <c r="L48" s="4">
        <f>IF(A48="","",IF(AND(K48="Scale",I48&lt;3),"Need ≥3 signals",IF(F48&gt;E48,"Over budget cap","OK")))</f>
        <v/>
      </c>
    </row>
    <row r="49">
      <c r="E49" s="7" t="n"/>
      <c r="F49" s="7" t="n"/>
      <c r="L49" s="4">
        <f>IF(A49="","",IF(AND(K49="Scale",I49&lt;3),"Need ≥3 signals",IF(F49&gt;E49,"Over budget cap","OK")))</f>
        <v/>
      </c>
    </row>
    <row r="50">
      <c r="E50" s="7" t="n"/>
      <c r="F50" s="7" t="n"/>
      <c r="L50" s="4">
        <f>IF(A50="","",IF(AND(K50="Scale",I50&lt;3),"Need ≥3 signals",IF(F50&gt;E50,"Over budget cap","OK")))</f>
        <v/>
      </c>
    </row>
    <row r="51">
      <c r="E51" s="7" t="n"/>
      <c r="F51" s="7" t="n"/>
      <c r="L51" s="4">
        <f>IF(A51="","",IF(AND(K51="Scale",I51&lt;3),"Need ≥3 signals",IF(F51&gt;E51,"Over budget cap","OK")))</f>
        <v/>
      </c>
    </row>
    <row r="52">
      <c r="E52" s="7" t="n"/>
      <c r="F52" s="7" t="n"/>
      <c r="L52" s="4">
        <f>IF(A52="","",IF(AND(K52="Scale",I52&lt;3),"Need ≥3 signals",IF(F52&gt;E52,"Over budget cap","OK")))</f>
        <v/>
      </c>
    </row>
    <row r="53">
      <c r="E53" s="7" t="n"/>
      <c r="F53" s="7" t="n"/>
      <c r="L53" s="4">
        <f>IF(A53="","",IF(AND(K53="Scale",I53&lt;3),"Need ≥3 signals",IF(F53&gt;E53,"Over budget cap","OK")))</f>
        <v/>
      </c>
    </row>
    <row r="54">
      <c r="E54" s="7" t="n"/>
      <c r="F54" s="7" t="n"/>
      <c r="L54" s="4">
        <f>IF(A54="","",IF(AND(K54="Scale",I54&lt;3),"Need ≥3 signals",IF(F54&gt;E54,"Over budget cap","OK")))</f>
        <v/>
      </c>
    </row>
    <row r="55">
      <c r="E55" s="7" t="n"/>
      <c r="F55" s="7" t="n"/>
      <c r="L55" s="4">
        <f>IF(A55="","",IF(AND(K55="Scale",I55&lt;3),"Need ≥3 signals",IF(F55&gt;E55,"Over budget cap","OK")))</f>
        <v/>
      </c>
    </row>
    <row r="56">
      <c r="E56" s="7" t="n"/>
      <c r="F56" s="7" t="n"/>
      <c r="L56" s="4">
        <f>IF(A56="","",IF(AND(K56="Scale",I56&lt;3),"Need ≥3 signals",IF(F56&gt;E56,"Over budget cap","OK")))</f>
        <v/>
      </c>
    </row>
    <row r="57">
      <c r="E57" s="7" t="n"/>
      <c r="F57" s="7" t="n"/>
      <c r="L57" s="4">
        <f>IF(A57="","",IF(AND(K57="Scale",I57&lt;3),"Need ≥3 signals",IF(F57&gt;E57,"Over budget cap","OK")))</f>
        <v/>
      </c>
    </row>
    <row r="58">
      <c r="E58" s="7" t="n"/>
      <c r="F58" s="7" t="n"/>
      <c r="L58" s="4">
        <f>IF(A58="","",IF(AND(K58="Scale",I58&lt;3),"Need ≥3 signals",IF(F58&gt;E58,"Over budget cap","OK")))</f>
        <v/>
      </c>
    </row>
    <row r="59">
      <c r="E59" s="7" t="n"/>
      <c r="F59" s="7" t="n"/>
      <c r="L59" s="4">
        <f>IF(A59="","",IF(AND(K59="Scale",I59&lt;3),"Need ≥3 signals",IF(F59&gt;E59,"Over budget cap","OK")))</f>
        <v/>
      </c>
    </row>
    <row r="60">
      <c r="E60" s="7" t="n"/>
      <c r="F60" s="7" t="n"/>
      <c r="L60" s="4">
        <f>IF(A60="","",IF(AND(K60="Scale",I60&lt;3),"Need ≥3 signals",IF(F60&gt;E60,"Over budget cap","OK")))</f>
        <v/>
      </c>
    </row>
    <row r="61">
      <c r="E61" s="7" t="n"/>
      <c r="F61" s="7" t="n"/>
      <c r="L61" s="4">
        <f>IF(A61="","",IF(AND(K61="Scale",I61&lt;3),"Need ≥3 signals",IF(F61&gt;E61,"Over budget cap","OK")))</f>
        <v/>
      </c>
    </row>
    <row r="62">
      <c r="E62" s="7" t="n"/>
      <c r="F62" s="7" t="n"/>
      <c r="L62" s="4">
        <f>IF(A62="","",IF(AND(K62="Scale",I62&lt;3),"Need ≥3 signals",IF(F62&gt;E62,"Over budget cap","OK")))</f>
        <v/>
      </c>
    </row>
    <row r="63">
      <c r="E63" s="7" t="n"/>
      <c r="F63" s="7" t="n"/>
      <c r="L63" s="4">
        <f>IF(A63="","",IF(AND(K63="Scale",I63&lt;3),"Need ≥3 signals",IF(F63&gt;E63,"Over budget cap","OK")))</f>
        <v/>
      </c>
    </row>
    <row r="64">
      <c r="E64" s="7" t="n"/>
      <c r="F64" s="7" t="n"/>
      <c r="L64" s="4">
        <f>IF(A64="","",IF(AND(K64="Scale",I64&lt;3),"Need ≥3 signals",IF(F64&gt;E64,"Over budget cap","OK")))</f>
        <v/>
      </c>
    </row>
    <row r="65">
      <c r="E65" s="7" t="n"/>
      <c r="F65" s="7" t="n"/>
      <c r="L65" s="4">
        <f>IF(A65="","",IF(AND(K65="Scale",I65&lt;3),"Need ≥3 signals",IF(F65&gt;E65,"Over budget cap","OK")))</f>
        <v/>
      </c>
    </row>
    <row r="66">
      <c r="E66" s="7" t="n"/>
      <c r="F66" s="7" t="n"/>
      <c r="L66" s="4">
        <f>IF(A66="","",IF(AND(K66="Scale",I66&lt;3),"Need ≥3 signals",IF(F66&gt;E66,"Over budget cap","OK")))</f>
        <v/>
      </c>
    </row>
    <row r="67">
      <c r="E67" s="7" t="n"/>
      <c r="F67" s="7" t="n"/>
      <c r="L67" s="4">
        <f>IF(A67="","",IF(AND(K67="Scale",I67&lt;3),"Need ≥3 signals",IF(F67&gt;E67,"Over budget cap","OK")))</f>
        <v/>
      </c>
    </row>
    <row r="68">
      <c r="E68" s="7" t="n"/>
      <c r="F68" s="7" t="n"/>
      <c r="L68" s="4">
        <f>IF(A68="","",IF(AND(K68="Scale",I68&lt;3),"Need ≥3 signals",IF(F68&gt;E68,"Over budget cap","OK")))</f>
        <v/>
      </c>
    </row>
    <row r="69">
      <c r="E69" s="7" t="n"/>
      <c r="F69" s="7" t="n"/>
      <c r="L69" s="4">
        <f>IF(A69="","",IF(AND(K69="Scale",I69&lt;3),"Need ≥3 signals",IF(F69&gt;E69,"Over budget cap","OK")))</f>
        <v/>
      </c>
    </row>
    <row r="70">
      <c r="E70" s="7" t="n"/>
      <c r="F70" s="7" t="n"/>
      <c r="L70" s="4">
        <f>IF(A70="","",IF(AND(K70="Scale",I70&lt;3),"Need ≥3 signals",IF(F70&gt;E70,"Over budget cap","OK")))</f>
        <v/>
      </c>
    </row>
    <row r="71">
      <c r="E71" s="7" t="n"/>
      <c r="F71" s="7" t="n"/>
      <c r="L71" s="4">
        <f>IF(A71="","",IF(AND(K71="Scale",I71&lt;3),"Need ≥3 signals",IF(F71&gt;E71,"Over budget cap","OK")))</f>
        <v/>
      </c>
    </row>
    <row r="72">
      <c r="E72" s="7" t="n"/>
      <c r="F72" s="7" t="n"/>
      <c r="L72" s="4">
        <f>IF(A72="","",IF(AND(K72="Scale",I72&lt;3),"Need ≥3 signals",IF(F72&gt;E72,"Over budget cap","OK")))</f>
        <v/>
      </c>
    </row>
    <row r="73">
      <c r="E73" s="7" t="n"/>
      <c r="F73" s="7" t="n"/>
      <c r="L73" s="4">
        <f>IF(A73="","",IF(AND(K73="Scale",I73&lt;3),"Need ≥3 signals",IF(F73&gt;E73,"Over budget cap","OK")))</f>
        <v/>
      </c>
    </row>
    <row r="74">
      <c r="E74" s="7" t="n"/>
      <c r="F74" s="7" t="n"/>
      <c r="L74" s="4">
        <f>IF(A74="","",IF(AND(K74="Scale",I74&lt;3),"Need ≥3 signals",IF(F74&gt;E74,"Over budget cap","OK")))</f>
        <v/>
      </c>
    </row>
    <row r="75">
      <c r="E75" s="7" t="n"/>
      <c r="F75" s="7" t="n"/>
      <c r="L75" s="4">
        <f>IF(A75="","",IF(AND(K75="Scale",I75&lt;3),"Need ≥3 signals",IF(F75&gt;E75,"Over budget cap","OK")))</f>
        <v/>
      </c>
    </row>
    <row r="76">
      <c r="E76" s="7" t="n"/>
      <c r="F76" s="7" t="n"/>
      <c r="L76" s="4">
        <f>IF(A76="","",IF(AND(K76="Scale",I76&lt;3),"Need ≥3 signals",IF(F76&gt;E76,"Over budget cap","OK")))</f>
        <v/>
      </c>
    </row>
    <row r="77">
      <c r="E77" s="7" t="n"/>
      <c r="F77" s="7" t="n"/>
      <c r="L77" s="4">
        <f>IF(A77="","",IF(AND(K77="Scale",I77&lt;3),"Need ≥3 signals",IF(F77&gt;E77,"Over budget cap","OK")))</f>
        <v/>
      </c>
    </row>
    <row r="78">
      <c r="E78" s="7" t="n"/>
      <c r="F78" s="7" t="n"/>
      <c r="L78" s="4">
        <f>IF(A78="","",IF(AND(K78="Scale",I78&lt;3),"Need ≥3 signals",IF(F78&gt;E78,"Over budget cap","OK")))</f>
        <v/>
      </c>
    </row>
    <row r="79">
      <c r="E79" s="7" t="n"/>
      <c r="F79" s="7" t="n"/>
      <c r="L79" s="4">
        <f>IF(A79="","",IF(AND(K79="Scale",I79&lt;3),"Need ≥3 signals",IF(F79&gt;E79,"Over budget cap","OK")))</f>
        <v/>
      </c>
    </row>
    <row r="80">
      <c r="E80" s="7" t="n"/>
      <c r="F80" s="7" t="n"/>
      <c r="L80" s="4">
        <f>IF(A80="","",IF(AND(K80="Scale",I80&lt;3),"Need ≥3 signals",IF(F80&gt;E80,"Over budget cap","OK")))</f>
        <v/>
      </c>
    </row>
    <row r="81">
      <c r="E81" s="7" t="n"/>
      <c r="F81" s="7" t="n"/>
      <c r="L81" s="4">
        <f>IF(A81="","",IF(AND(K81="Scale",I81&lt;3),"Need ≥3 signals",IF(F81&gt;E81,"Over budget cap","OK")))</f>
        <v/>
      </c>
    </row>
    <row r="82">
      <c r="E82" s="7" t="n"/>
      <c r="F82" s="7" t="n"/>
      <c r="L82" s="4">
        <f>IF(A82="","",IF(AND(K82="Scale",I82&lt;3),"Need ≥3 signals",IF(F82&gt;E82,"Over budget cap","OK")))</f>
        <v/>
      </c>
    </row>
    <row r="83">
      <c r="E83" s="7" t="n"/>
      <c r="F83" s="7" t="n"/>
      <c r="L83" s="4">
        <f>IF(A83="","",IF(AND(K83="Scale",I83&lt;3),"Need ≥3 signals",IF(F83&gt;E83,"Over budget cap","OK")))</f>
        <v/>
      </c>
    </row>
    <row r="84">
      <c r="E84" s="7" t="n"/>
      <c r="F84" s="7" t="n"/>
      <c r="L84" s="4">
        <f>IF(A84="","",IF(AND(K84="Scale",I84&lt;3),"Need ≥3 signals",IF(F84&gt;E84,"Over budget cap","OK")))</f>
        <v/>
      </c>
    </row>
    <row r="85">
      <c r="E85" s="7" t="n"/>
      <c r="F85" s="7" t="n"/>
      <c r="L85" s="4">
        <f>IF(A85="","",IF(AND(K85="Scale",I85&lt;3),"Need ≥3 signals",IF(F85&gt;E85,"Over budget cap","OK")))</f>
        <v/>
      </c>
    </row>
    <row r="86">
      <c r="E86" s="7" t="n"/>
      <c r="F86" s="7" t="n"/>
      <c r="L86" s="4">
        <f>IF(A86="","",IF(AND(K86="Scale",I86&lt;3),"Need ≥3 signals",IF(F86&gt;E86,"Over budget cap","OK")))</f>
        <v/>
      </c>
    </row>
    <row r="87">
      <c r="E87" s="7" t="n"/>
      <c r="F87" s="7" t="n"/>
      <c r="L87" s="4">
        <f>IF(A87="","",IF(AND(K87="Scale",I87&lt;3),"Need ≥3 signals",IF(F87&gt;E87,"Over budget cap","OK")))</f>
        <v/>
      </c>
    </row>
    <row r="88">
      <c r="E88" s="7" t="n"/>
      <c r="F88" s="7" t="n"/>
      <c r="L88" s="4">
        <f>IF(A88="","",IF(AND(K88="Scale",I88&lt;3),"Need ≥3 signals",IF(F88&gt;E88,"Over budget cap","OK")))</f>
        <v/>
      </c>
    </row>
    <row r="89">
      <c r="E89" s="7" t="n"/>
      <c r="F89" s="7" t="n"/>
      <c r="L89" s="4">
        <f>IF(A89="","",IF(AND(K89="Scale",I89&lt;3),"Need ≥3 signals",IF(F89&gt;E89,"Over budget cap","OK")))</f>
        <v/>
      </c>
    </row>
    <row r="90">
      <c r="E90" s="7" t="n"/>
      <c r="F90" s="7" t="n"/>
      <c r="L90" s="4">
        <f>IF(A90="","",IF(AND(K90="Scale",I90&lt;3),"Need ≥3 signals",IF(F90&gt;E90,"Over budget cap","OK")))</f>
        <v/>
      </c>
    </row>
    <row r="91">
      <c r="E91" s="7" t="n"/>
      <c r="F91" s="7" t="n"/>
      <c r="L91" s="4">
        <f>IF(A91="","",IF(AND(K91="Scale",I91&lt;3),"Need ≥3 signals",IF(F91&gt;E91,"Over budget cap","OK")))</f>
        <v/>
      </c>
    </row>
    <row r="92">
      <c r="E92" s="7" t="n"/>
      <c r="F92" s="7" t="n"/>
      <c r="L92" s="4">
        <f>IF(A92="","",IF(AND(K92="Scale",I92&lt;3),"Need ≥3 signals",IF(F92&gt;E92,"Over budget cap","OK")))</f>
        <v/>
      </c>
    </row>
    <row r="93">
      <c r="E93" s="7" t="n"/>
      <c r="F93" s="7" t="n"/>
      <c r="L93" s="4">
        <f>IF(A93="","",IF(AND(K93="Scale",I93&lt;3),"Need ≥3 signals",IF(F93&gt;E93,"Over budget cap","OK")))</f>
        <v/>
      </c>
    </row>
    <row r="94">
      <c r="E94" s="7" t="n"/>
      <c r="F94" s="7" t="n"/>
      <c r="L94" s="4">
        <f>IF(A94="","",IF(AND(K94="Scale",I94&lt;3),"Need ≥3 signals",IF(F94&gt;E94,"Over budget cap","OK")))</f>
        <v/>
      </c>
    </row>
    <row r="95">
      <c r="E95" s="7" t="n"/>
      <c r="F95" s="7" t="n"/>
      <c r="L95" s="4">
        <f>IF(A95="","",IF(AND(K95="Scale",I95&lt;3),"Need ≥3 signals",IF(F95&gt;E95,"Over budget cap","OK")))</f>
        <v/>
      </c>
    </row>
    <row r="96">
      <c r="E96" s="7" t="n"/>
      <c r="F96" s="7" t="n"/>
      <c r="L96" s="4">
        <f>IF(A96="","",IF(AND(K96="Scale",I96&lt;3),"Need ≥3 signals",IF(F96&gt;E96,"Over budget cap","OK")))</f>
        <v/>
      </c>
    </row>
    <row r="97">
      <c r="E97" s="7" t="n"/>
      <c r="F97" s="7" t="n"/>
      <c r="L97" s="4">
        <f>IF(A97="","",IF(AND(K97="Scale",I97&lt;3),"Need ≥3 signals",IF(F97&gt;E97,"Over budget cap","OK")))</f>
        <v/>
      </c>
    </row>
    <row r="98">
      <c r="E98" s="7" t="n"/>
      <c r="F98" s="7" t="n"/>
      <c r="L98" s="4">
        <f>IF(A98="","",IF(AND(K98="Scale",I98&lt;3),"Need ≥3 signals",IF(F98&gt;E98,"Over budget cap","OK")))</f>
        <v/>
      </c>
    </row>
    <row r="99">
      <c r="E99" s="7" t="n"/>
      <c r="F99" s="7" t="n"/>
      <c r="L99" s="4">
        <f>IF(A99="","",IF(AND(K99="Scale",I99&lt;3),"Need ≥3 signals",IF(F99&gt;E99,"Over budget cap","OK")))</f>
        <v/>
      </c>
    </row>
    <row r="100">
      <c r="E100" s="7" t="n"/>
      <c r="F100" s="7" t="n"/>
      <c r="L100" s="4">
        <f>IF(A100="","",IF(AND(K100="Scale",I100&lt;3),"Need ≥3 signals",IF(F100&gt;E100,"Over budget cap","OK")))</f>
        <v/>
      </c>
    </row>
    <row r="101">
      <c r="E101" s="7" t="n"/>
      <c r="F101" s="7" t="n"/>
      <c r="L101" s="4">
        <f>IF(A101="","",IF(AND(K101="Scale",I101&lt;3),"Need ≥3 signals",IF(F101&gt;E101,"Over budget cap","OK")))</f>
        <v/>
      </c>
    </row>
    <row r="102">
      <c r="E102" s="7" t="n"/>
      <c r="F102" s="7" t="n"/>
      <c r="L102" s="4">
        <f>IF(A102="","",IF(AND(K102="Scale",I102&lt;3),"Need ≥3 signals",IF(F102&gt;E102,"Over budget cap","OK")))</f>
        <v/>
      </c>
    </row>
    <row r="103">
      <c r="E103" s="7" t="n"/>
      <c r="F103" s="7" t="n"/>
      <c r="L103" s="4">
        <f>IF(A103="","",IF(AND(K103="Scale",I103&lt;3),"Need ≥3 signals",IF(F103&gt;E103,"Over budget cap","OK")))</f>
        <v/>
      </c>
    </row>
    <row r="104">
      <c r="E104" s="7" t="n"/>
      <c r="F104" s="7" t="n"/>
      <c r="L104" s="4">
        <f>IF(A104="","",IF(AND(K104="Scale",I104&lt;3),"Need ≥3 signals",IF(F104&gt;E104,"Over budget cap","OK")))</f>
        <v/>
      </c>
    </row>
    <row r="105">
      <c r="E105" s="7" t="n"/>
      <c r="F105" s="7" t="n"/>
      <c r="L105" s="4">
        <f>IF(A105="","",IF(AND(K105="Scale",I105&lt;3),"Need ≥3 signals",IF(F105&gt;E105,"Over budget cap","OK")))</f>
        <v/>
      </c>
    </row>
    <row r="106">
      <c r="E106" s="7" t="n"/>
      <c r="F106" s="7" t="n"/>
      <c r="L106" s="4">
        <f>IF(A106="","",IF(AND(K106="Scale",I106&lt;3),"Need ≥3 signals",IF(F106&gt;E106,"Over budget cap","OK")))</f>
        <v/>
      </c>
    </row>
    <row r="107">
      <c r="E107" s="7" t="n"/>
      <c r="F107" s="7" t="n"/>
      <c r="L107" s="4">
        <f>IF(A107="","",IF(AND(K107="Scale",I107&lt;3),"Need ≥3 signals",IF(F107&gt;E107,"Over budget cap","OK")))</f>
        <v/>
      </c>
    </row>
    <row r="108">
      <c r="E108" s="7" t="n"/>
      <c r="F108" s="7" t="n"/>
      <c r="L108" s="4">
        <f>IF(A108="","",IF(AND(K108="Scale",I108&lt;3),"Need ≥3 signals",IF(F108&gt;E108,"Over budget cap","OK")))</f>
        <v/>
      </c>
    </row>
    <row r="109">
      <c r="E109" s="7" t="n"/>
      <c r="F109" s="7" t="n"/>
      <c r="L109" s="4">
        <f>IF(A109="","",IF(AND(K109="Scale",I109&lt;3),"Need ≥3 signals",IF(F109&gt;E109,"Over budget cap","OK")))</f>
        <v/>
      </c>
    </row>
    <row r="110">
      <c r="E110" s="7" t="n"/>
      <c r="F110" s="7" t="n"/>
      <c r="L110" s="4">
        <f>IF(A110="","",IF(AND(K110="Scale",I110&lt;3),"Need ≥3 signals",IF(F110&gt;E110,"Over budget cap","OK")))</f>
        <v/>
      </c>
    </row>
    <row r="111">
      <c r="E111" s="7" t="n"/>
      <c r="F111" s="7" t="n"/>
      <c r="L111" s="4">
        <f>IF(A111="","",IF(AND(K111="Scale",I111&lt;3),"Need ≥3 signals",IF(F111&gt;E111,"Over budget cap","OK")))</f>
        <v/>
      </c>
    </row>
    <row r="112">
      <c r="E112" s="7" t="n"/>
      <c r="F112" s="7" t="n"/>
      <c r="L112" s="4">
        <f>IF(A112="","",IF(AND(K112="Scale",I112&lt;3),"Need ≥3 signals",IF(F112&gt;E112,"Over budget cap","OK")))</f>
        <v/>
      </c>
    </row>
    <row r="113">
      <c r="E113" s="7" t="n"/>
      <c r="F113" s="7" t="n"/>
      <c r="L113" s="4">
        <f>IF(A113="","",IF(AND(K113="Scale",I113&lt;3),"Need ≥3 signals",IF(F113&gt;E113,"Over budget cap","OK")))</f>
        <v/>
      </c>
    </row>
    <row r="114">
      <c r="E114" s="7" t="n"/>
      <c r="F114" s="7" t="n"/>
      <c r="L114" s="4">
        <f>IF(A114="","",IF(AND(K114="Scale",I114&lt;3),"Need ≥3 signals",IF(F114&gt;E114,"Over budget cap","OK")))</f>
        <v/>
      </c>
    </row>
    <row r="115">
      <c r="E115" s="7" t="n"/>
      <c r="F115" s="7" t="n"/>
      <c r="L115" s="4">
        <f>IF(A115="","",IF(AND(K115="Scale",I115&lt;3),"Need ≥3 signals",IF(F115&gt;E115,"Over budget cap","OK")))</f>
        <v/>
      </c>
    </row>
    <row r="116">
      <c r="E116" s="7" t="n"/>
      <c r="F116" s="7" t="n"/>
      <c r="L116" s="4">
        <f>IF(A116="","",IF(AND(K116="Scale",I116&lt;3),"Need ≥3 signals",IF(F116&gt;E116,"Over budget cap","OK")))</f>
        <v/>
      </c>
    </row>
    <row r="117">
      <c r="E117" s="7" t="n"/>
      <c r="F117" s="7" t="n"/>
      <c r="L117" s="4">
        <f>IF(A117="","",IF(AND(K117="Scale",I117&lt;3),"Need ≥3 signals",IF(F117&gt;E117,"Over budget cap","OK")))</f>
        <v/>
      </c>
    </row>
    <row r="118">
      <c r="E118" s="7" t="n"/>
      <c r="F118" s="7" t="n"/>
      <c r="L118" s="4">
        <f>IF(A118="","",IF(AND(K118="Scale",I118&lt;3),"Need ≥3 signals",IF(F118&gt;E118,"Over budget cap","OK")))</f>
        <v/>
      </c>
    </row>
    <row r="119">
      <c r="E119" s="7" t="n"/>
      <c r="F119" s="7" t="n"/>
      <c r="L119" s="4">
        <f>IF(A119="","",IF(AND(K119="Scale",I119&lt;3),"Need ≥3 signals",IF(F119&gt;E119,"Over budget cap","OK")))</f>
        <v/>
      </c>
    </row>
    <row r="120">
      <c r="E120" s="7" t="n"/>
      <c r="F120" s="7" t="n"/>
      <c r="L120" s="4">
        <f>IF(A120="","",IF(AND(K120="Scale",I120&lt;3),"Need ≥3 signals",IF(F120&gt;E120,"Over budget cap","OK")))</f>
        <v/>
      </c>
    </row>
    <row r="121">
      <c r="E121" s="7" t="n"/>
      <c r="F121" s="7" t="n"/>
      <c r="L121" s="4">
        <f>IF(A121="","",IF(AND(K121="Scale",I121&lt;3),"Need ≥3 signals",IF(F121&gt;E121,"Over budget cap","OK")))</f>
        <v/>
      </c>
    </row>
    <row r="122">
      <c r="E122" s="7" t="n"/>
      <c r="F122" s="7" t="n"/>
      <c r="L122" s="4">
        <f>IF(A122="","",IF(AND(K122="Scale",I122&lt;3),"Need ≥3 signals",IF(F122&gt;E122,"Over budget cap","OK")))</f>
        <v/>
      </c>
    </row>
    <row r="123">
      <c r="E123" s="7" t="n"/>
      <c r="F123" s="7" t="n"/>
      <c r="L123" s="4">
        <f>IF(A123="","",IF(AND(K123="Scale",I123&lt;3),"Need ≥3 signals",IF(F123&gt;E123,"Over budget cap","OK")))</f>
        <v/>
      </c>
    </row>
    <row r="124">
      <c r="E124" s="7" t="n"/>
      <c r="F124" s="7" t="n"/>
      <c r="L124" s="4">
        <f>IF(A124="","",IF(AND(K124="Scale",I124&lt;3),"Need ≥3 signals",IF(F124&gt;E124,"Over budget cap","OK")))</f>
        <v/>
      </c>
    </row>
    <row r="125">
      <c r="E125" s="7" t="n"/>
      <c r="F125" s="7" t="n"/>
      <c r="L125" s="4">
        <f>IF(A125="","",IF(AND(K125="Scale",I125&lt;3),"Need ≥3 signals",IF(F125&gt;E125,"Over budget cap","OK")))</f>
        <v/>
      </c>
    </row>
    <row r="126">
      <c r="E126" s="7" t="n"/>
      <c r="F126" s="7" t="n"/>
      <c r="L126" s="4">
        <f>IF(A126="","",IF(AND(K126="Scale",I126&lt;3),"Need ≥3 signals",IF(F126&gt;E126,"Over budget cap","OK")))</f>
        <v/>
      </c>
    </row>
    <row r="127">
      <c r="E127" s="7" t="n"/>
      <c r="F127" s="7" t="n"/>
      <c r="L127" s="4">
        <f>IF(A127="","",IF(AND(K127="Scale",I127&lt;3),"Need ≥3 signals",IF(F127&gt;E127,"Over budget cap","OK")))</f>
        <v/>
      </c>
    </row>
    <row r="128">
      <c r="E128" s="7" t="n"/>
      <c r="F128" s="7" t="n"/>
      <c r="L128" s="4">
        <f>IF(A128="","",IF(AND(K128="Scale",I128&lt;3),"Need ≥3 signals",IF(F128&gt;E128,"Over budget cap","OK")))</f>
        <v/>
      </c>
    </row>
    <row r="129">
      <c r="E129" s="7" t="n"/>
      <c r="F129" s="7" t="n"/>
      <c r="L129" s="4">
        <f>IF(A129="","",IF(AND(K129="Scale",I129&lt;3),"Need ≥3 signals",IF(F129&gt;E129,"Over budget cap","OK")))</f>
        <v/>
      </c>
    </row>
    <row r="130">
      <c r="E130" s="7" t="n"/>
      <c r="F130" s="7" t="n"/>
      <c r="L130" s="4">
        <f>IF(A130="","",IF(AND(K130="Scale",I130&lt;3),"Need ≥3 signals",IF(F130&gt;E130,"Over budget cap","OK")))</f>
        <v/>
      </c>
    </row>
    <row r="131">
      <c r="E131" s="7" t="n"/>
      <c r="F131" s="7" t="n"/>
      <c r="L131" s="4">
        <f>IF(A131="","",IF(AND(K131="Scale",I131&lt;3),"Need ≥3 signals",IF(F131&gt;E131,"Over budget cap","OK")))</f>
        <v/>
      </c>
    </row>
    <row r="132">
      <c r="E132" s="7" t="n"/>
      <c r="F132" s="7" t="n"/>
      <c r="L132" s="4">
        <f>IF(A132="","",IF(AND(K132="Scale",I132&lt;3),"Need ≥3 signals",IF(F132&gt;E132,"Over budget cap","OK")))</f>
        <v/>
      </c>
    </row>
    <row r="133">
      <c r="E133" s="7" t="n"/>
      <c r="F133" s="7" t="n"/>
      <c r="L133" s="4">
        <f>IF(A133="","",IF(AND(K133="Scale",I133&lt;3),"Need ≥3 signals",IF(F133&gt;E133,"Over budget cap","OK")))</f>
        <v/>
      </c>
    </row>
    <row r="134">
      <c r="E134" s="7" t="n"/>
      <c r="F134" s="7" t="n"/>
      <c r="L134" s="4">
        <f>IF(A134="","",IF(AND(K134="Scale",I134&lt;3),"Need ≥3 signals",IF(F134&gt;E134,"Over budget cap","OK")))</f>
        <v/>
      </c>
    </row>
    <row r="135">
      <c r="E135" s="7" t="n"/>
      <c r="F135" s="7" t="n"/>
      <c r="L135" s="4">
        <f>IF(A135="","",IF(AND(K135="Scale",I135&lt;3),"Need ≥3 signals",IF(F135&gt;E135,"Over budget cap","OK")))</f>
        <v/>
      </c>
    </row>
    <row r="136">
      <c r="E136" s="7" t="n"/>
      <c r="F136" s="7" t="n"/>
      <c r="L136" s="4">
        <f>IF(A136="","",IF(AND(K136="Scale",I136&lt;3),"Need ≥3 signals",IF(F136&gt;E136,"Over budget cap","OK")))</f>
        <v/>
      </c>
    </row>
    <row r="137">
      <c r="E137" s="7" t="n"/>
      <c r="F137" s="7" t="n"/>
      <c r="L137" s="4">
        <f>IF(A137="","",IF(AND(K137="Scale",I137&lt;3),"Need ≥3 signals",IF(F137&gt;E137,"Over budget cap","OK")))</f>
        <v/>
      </c>
    </row>
    <row r="138">
      <c r="E138" s="7" t="n"/>
      <c r="F138" s="7" t="n"/>
      <c r="L138" s="4">
        <f>IF(A138="","",IF(AND(K138="Scale",I138&lt;3),"Need ≥3 signals",IF(F138&gt;E138,"Over budget cap","OK")))</f>
        <v/>
      </c>
    </row>
    <row r="139">
      <c r="E139" s="7" t="n"/>
      <c r="F139" s="7" t="n"/>
      <c r="L139" s="4">
        <f>IF(A139="","",IF(AND(K139="Scale",I139&lt;3),"Need ≥3 signals",IF(F139&gt;E139,"Over budget cap","OK")))</f>
        <v/>
      </c>
    </row>
    <row r="140">
      <c r="E140" s="7" t="n"/>
      <c r="F140" s="7" t="n"/>
      <c r="L140" s="4">
        <f>IF(A140="","",IF(AND(K140="Scale",I140&lt;3),"Need ≥3 signals",IF(F140&gt;E140,"Over budget cap","OK")))</f>
        <v/>
      </c>
    </row>
    <row r="141">
      <c r="E141" s="7" t="n"/>
      <c r="F141" s="7" t="n"/>
      <c r="L141" s="4">
        <f>IF(A141="","",IF(AND(K141="Scale",I141&lt;3),"Need ≥3 signals",IF(F141&gt;E141,"Over budget cap","OK")))</f>
        <v/>
      </c>
    </row>
    <row r="142">
      <c r="E142" s="7" t="n"/>
      <c r="F142" s="7" t="n"/>
      <c r="L142" s="4">
        <f>IF(A142="","",IF(AND(K142="Scale",I142&lt;3),"Need ≥3 signals",IF(F142&gt;E142,"Over budget cap","OK")))</f>
        <v/>
      </c>
    </row>
    <row r="143">
      <c r="E143" s="7" t="n"/>
      <c r="F143" s="7" t="n"/>
      <c r="L143" s="4">
        <f>IF(A143="","",IF(AND(K143="Scale",I143&lt;3),"Need ≥3 signals",IF(F143&gt;E143,"Over budget cap","OK")))</f>
        <v/>
      </c>
    </row>
    <row r="144">
      <c r="E144" s="7" t="n"/>
      <c r="F144" s="7" t="n"/>
      <c r="L144" s="4">
        <f>IF(A144="","",IF(AND(K144="Scale",I144&lt;3),"Need ≥3 signals",IF(F144&gt;E144,"Over budget cap","OK")))</f>
        <v/>
      </c>
    </row>
    <row r="145">
      <c r="E145" s="7" t="n"/>
      <c r="F145" s="7" t="n"/>
      <c r="L145" s="4">
        <f>IF(A145="","",IF(AND(K145="Scale",I145&lt;3),"Need ≥3 signals",IF(F145&gt;E145,"Over budget cap","OK")))</f>
        <v/>
      </c>
    </row>
    <row r="146">
      <c r="E146" s="7" t="n"/>
      <c r="F146" s="7" t="n"/>
      <c r="L146" s="4">
        <f>IF(A146="","",IF(AND(K146="Scale",I146&lt;3),"Need ≥3 signals",IF(F146&gt;E146,"Over budget cap","OK")))</f>
        <v/>
      </c>
    </row>
    <row r="147">
      <c r="E147" s="7" t="n"/>
      <c r="F147" s="7" t="n"/>
      <c r="L147" s="4">
        <f>IF(A147="","",IF(AND(K147="Scale",I147&lt;3),"Need ≥3 signals",IF(F147&gt;E147,"Over budget cap","OK")))</f>
        <v/>
      </c>
    </row>
    <row r="148">
      <c r="E148" s="7" t="n"/>
      <c r="F148" s="7" t="n"/>
      <c r="L148" s="4">
        <f>IF(A148="","",IF(AND(K148="Scale",I148&lt;3),"Need ≥3 signals",IF(F148&gt;E148,"Over budget cap","OK")))</f>
        <v/>
      </c>
    </row>
    <row r="149">
      <c r="E149" s="7" t="n"/>
      <c r="F149" s="7" t="n"/>
      <c r="L149" s="4">
        <f>IF(A149="","",IF(AND(K149="Scale",I149&lt;3),"Need ≥3 signals",IF(F149&gt;E149,"Over budget cap","OK")))</f>
        <v/>
      </c>
    </row>
    <row r="150">
      <c r="E150" s="7" t="n"/>
      <c r="F150" s="7" t="n"/>
      <c r="L150" s="4">
        <f>IF(A150="","",IF(AND(K150="Scale",I150&lt;3),"Need ≥3 signals",IF(F150&gt;E150,"Over budget cap","OK")))</f>
        <v/>
      </c>
    </row>
    <row r="151">
      <c r="E151" s="7" t="n"/>
      <c r="F151" s="7" t="n"/>
      <c r="L151" s="4">
        <f>IF(A151="","",IF(AND(K151="Scale",I151&lt;3),"Need ≥3 signals",IF(F151&gt;E151,"Over budget cap","OK")))</f>
        <v/>
      </c>
    </row>
    <row r="152">
      <c r="E152" s="7" t="n"/>
      <c r="F152" s="7" t="n"/>
      <c r="L152" s="4">
        <f>IF(A152="","",IF(AND(K152="Scale",I152&lt;3),"Need ≥3 signals",IF(F152&gt;E152,"Over budget cap","OK")))</f>
        <v/>
      </c>
    </row>
    <row r="153">
      <c r="E153" s="7" t="n"/>
      <c r="F153" s="7" t="n"/>
      <c r="L153" s="4">
        <f>IF(A153="","",IF(AND(K153="Scale",I153&lt;3),"Need ≥3 signals",IF(F153&gt;E153,"Over budget cap","OK")))</f>
        <v/>
      </c>
    </row>
    <row r="154">
      <c r="E154" s="7" t="n"/>
      <c r="F154" s="7" t="n"/>
      <c r="L154" s="4">
        <f>IF(A154="","",IF(AND(K154="Scale",I154&lt;3),"Need ≥3 signals",IF(F154&gt;E154,"Over budget cap","OK")))</f>
        <v/>
      </c>
    </row>
    <row r="155">
      <c r="E155" s="7" t="n"/>
      <c r="F155" s="7" t="n"/>
      <c r="L155" s="4">
        <f>IF(A155="","",IF(AND(K155="Scale",I155&lt;3),"Need ≥3 signals",IF(F155&gt;E155,"Over budget cap","OK")))</f>
        <v/>
      </c>
    </row>
    <row r="156">
      <c r="E156" s="7" t="n"/>
      <c r="F156" s="7" t="n"/>
      <c r="L156" s="4">
        <f>IF(A156="","",IF(AND(K156="Scale",I156&lt;3),"Need ≥3 signals",IF(F156&gt;E156,"Over budget cap","OK")))</f>
        <v/>
      </c>
    </row>
    <row r="157">
      <c r="E157" s="7" t="n"/>
      <c r="F157" s="7" t="n"/>
      <c r="L157" s="4">
        <f>IF(A157="","",IF(AND(K157="Scale",I157&lt;3),"Need ≥3 signals",IF(F157&gt;E157,"Over budget cap","OK")))</f>
        <v/>
      </c>
    </row>
    <row r="158">
      <c r="E158" s="7" t="n"/>
      <c r="F158" s="7" t="n"/>
      <c r="L158" s="4">
        <f>IF(A158="","",IF(AND(K158="Scale",I158&lt;3),"Need ≥3 signals",IF(F158&gt;E158,"Over budget cap","OK")))</f>
        <v/>
      </c>
    </row>
    <row r="159">
      <c r="E159" s="7" t="n"/>
      <c r="F159" s="7" t="n"/>
      <c r="L159" s="4">
        <f>IF(A159="","",IF(AND(K159="Scale",I159&lt;3),"Need ≥3 signals",IF(F159&gt;E159,"Over budget cap","OK")))</f>
        <v/>
      </c>
    </row>
    <row r="160">
      <c r="E160" s="7" t="n"/>
      <c r="F160" s="7" t="n"/>
      <c r="L160" s="4">
        <f>IF(A160="","",IF(AND(K160="Scale",I160&lt;3),"Need ≥3 signals",IF(F160&gt;E160,"Over budget cap","OK")))</f>
        <v/>
      </c>
    </row>
    <row r="161">
      <c r="E161" s="7" t="n"/>
      <c r="F161" s="7" t="n"/>
      <c r="L161" s="4">
        <f>IF(A161="","",IF(AND(K161="Scale",I161&lt;3),"Need ≥3 signals",IF(F161&gt;E161,"Over budget cap","OK")))</f>
        <v/>
      </c>
    </row>
    <row r="162">
      <c r="E162" s="7" t="n"/>
      <c r="F162" s="7" t="n"/>
      <c r="L162" s="4">
        <f>IF(A162="","",IF(AND(K162="Scale",I162&lt;3),"Need ≥3 signals",IF(F162&gt;E162,"Over budget cap","OK")))</f>
        <v/>
      </c>
    </row>
    <row r="163">
      <c r="E163" s="7" t="n"/>
      <c r="F163" s="7" t="n"/>
      <c r="L163" s="4">
        <f>IF(A163="","",IF(AND(K163="Scale",I163&lt;3),"Need ≥3 signals",IF(F163&gt;E163,"Over budget cap","OK")))</f>
        <v/>
      </c>
    </row>
    <row r="164">
      <c r="E164" s="7" t="n"/>
      <c r="F164" s="7" t="n"/>
      <c r="L164" s="4">
        <f>IF(A164="","",IF(AND(K164="Scale",I164&lt;3),"Need ≥3 signals",IF(F164&gt;E164,"Over budget cap","OK")))</f>
        <v/>
      </c>
    </row>
    <row r="165">
      <c r="E165" s="7" t="n"/>
      <c r="F165" s="7" t="n"/>
      <c r="L165" s="4">
        <f>IF(A165="","",IF(AND(K165="Scale",I165&lt;3),"Need ≥3 signals",IF(F165&gt;E165,"Over budget cap","OK")))</f>
        <v/>
      </c>
    </row>
    <row r="166">
      <c r="E166" s="7" t="n"/>
      <c r="F166" s="7" t="n"/>
      <c r="L166" s="4">
        <f>IF(A166="","",IF(AND(K166="Scale",I166&lt;3),"Need ≥3 signals",IF(F166&gt;E166,"Over budget cap","OK")))</f>
        <v/>
      </c>
    </row>
    <row r="167">
      <c r="E167" s="7" t="n"/>
      <c r="F167" s="7" t="n"/>
      <c r="L167" s="4">
        <f>IF(A167="","",IF(AND(K167="Scale",I167&lt;3),"Need ≥3 signals",IF(F167&gt;E167,"Over budget cap","OK")))</f>
        <v/>
      </c>
    </row>
    <row r="168">
      <c r="E168" s="7" t="n"/>
      <c r="F168" s="7" t="n"/>
      <c r="L168" s="4">
        <f>IF(A168="","",IF(AND(K168="Scale",I168&lt;3),"Need ≥3 signals",IF(F168&gt;E168,"Over budget cap","OK")))</f>
        <v/>
      </c>
    </row>
    <row r="169">
      <c r="E169" s="7" t="n"/>
      <c r="F169" s="7" t="n"/>
      <c r="L169" s="4">
        <f>IF(A169="","",IF(AND(K169="Scale",I169&lt;3),"Need ≥3 signals",IF(F169&gt;E169,"Over budget cap","OK")))</f>
        <v/>
      </c>
    </row>
    <row r="170">
      <c r="E170" s="7" t="n"/>
      <c r="F170" s="7" t="n"/>
      <c r="L170" s="4">
        <f>IF(A170="","",IF(AND(K170="Scale",I170&lt;3),"Need ≥3 signals",IF(F170&gt;E170,"Over budget cap","OK")))</f>
        <v/>
      </c>
    </row>
    <row r="171">
      <c r="E171" s="7" t="n"/>
      <c r="F171" s="7" t="n"/>
      <c r="L171" s="4">
        <f>IF(A171="","",IF(AND(K171="Scale",I171&lt;3),"Need ≥3 signals",IF(F171&gt;E171,"Over budget cap","OK")))</f>
        <v/>
      </c>
    </row>
    <row r="172">
      <c r="E172" s="7" t="n"/>
      <c r="F172" s="7" t="n"/>
      <c r="L172" s="4">
        <f>IF(A172="","",IF(AND(K172="Scale",I172&lt;3),"Need ≥3 signals",IF(F172&gt;E172,"Over budget cap","OK")))</f>
        <v/>
      </c>
    </row>
    <row r="173">
      <c r="E173" s="7" t="n"/>
      <c r="F173" s="7" t="n"/>
      <c r="L173" s="4">
        <f>IF(A173="","",IF(AND(K173="Scale",I173&lt;3),"Need ≥3 signals",IF(F173&gt;E173,"Over budget cap","OK")))</f>
        <v/>
      </c>
    </row>
    <row r="174">
      <c r="E174" s="7" t="n"/>
      <c r="F174" s="7" t="n"/>
      <c r="L174" s="4">
        <f>IF(A174="","",IF(AND(K174="Scale",I174&lt;3),"Need ≥3 signals",IF(F174&gt;E174,"Over budget cap","OK")))</f>
        <v/>
      </c>
    </row>
    <row r="175">
      <c r="E175" s="7" t="n"/>
      <c r="F175" s="7" t="n"/>
      <c r="L175" s="4">
        <f>IF(A175="","",IF(AND(K175="Scale",I175&lt;3),"Need ≥3 signals",IF(F175&gt;E175,"Over budget cap","OK")))</f>
        <v/>
      </c>
    </row>
    <row r="176">
      <c r="E176" s="7" t="n"/>
      <c r="F176" s="7" t="n"/>
      <c r="L176" s="4">
        <f>IF(A176="","",IF(AND(K176="Scale",I176&lt;3),"Need ≥3 signals",IF(F176&gt;E176,"Over budget cap","OK")))</f>
        <v/>
      </c>
    </row>
    <row r="177">
      <c r="E177" s="7" t="n"/>
      <c r="F177" s="7" t="n"/>
      <c r="L177" s="4">
        <f>IF(A177="","",IF(AND(K177="Scale",I177&lt;3),"Need ≥3 signals",IF(F177&gt;E177,"Over budget cap","OK")))</f>
        <v/>
      </c>
    </row>
    <row r="178">
      <c r="E178" s="7" t="n"/>
      <c r="F178" s="7" t="n"/>
      <c r="L178" s="4">
        <f>IF(A178="","",IF(AND(K178="Scale",I178&lt;3),"Need ≥3 signals",IF(F178&gt;E178,"Over budget cap","OK")))</f>
        <v/>
      </c>
    </row>
    <row r="179">
      <c r="E179" s="7" t="n"/>
      <c r="F179" s="7" t="n"/>
      <c r="L179" s="4">
        <f>IF(A179="","",IF(AND(K179="Scale",I179&lt;3),"Need ≥3 signals",IF(F179&gt;E179,"Over budget cap","OK")))</f>
        <v/>
      </c>
    </row>
    <row r="180">
      <c r="E180" s="7" t="n"/>
      <c r="F180" s="7" t="n"/>
      <c r="L180" s="4">
        <f>IF(A180="","",IF(AND(K180="Scale",I180&lt;3),"Need ≥3 signals",IF(F180&gt;E180,"Over budget cap","OK")))</f>
        <v/>
      </c>
    </row>
    <row r="181">
      <c r="E181" s="7" t="n"/>
      <c r="F181" s="7" t="n"/>
      <c r="L181" s="4">
        <f>IF(A181="","",IF(AND(K181="Scale",I181&lt;3),"Need ≥3 signals",IF(F181&gt;E181,"Over budget cap","OK")))</f>
        <v/>
      </c>
    </row>
    <row r="182">
      <c r="E182" s="7" t="n"/>
      <c r="F182" s="7" t="n"/>
      <c r="L182" s="4">
        <f>IF(A182="","",IF(AND(K182="Scale",I182&lt;3),"Need ≥3 signals",IF(F182&gt;E182,"Over budget cap","OK")))</f>
        <v/>
      </c>
    </row>
    <row r="183">
      <c r="E183" s="7" t="n"/>
      <c r="F183" s="7" t="n"/>
      <c r="L183" s="4">
        <f>IF(A183="","",IF(AND(K183="Scale",I183&lt;3),"Need ≥3 signals",IF(F183&gt;E183,"Over budget cap","OK")))</f>
        <v/>
      </c>
    </row>
    <row r="184">
      <c r="E184" s="7" t="n"/>
      <c r="F184" s="7" t="n"/>
      <c r="L184" s="4">
        <f>IF(A184="","",IF(AND(K184="Scale",I184&lt;3),"Need ≥3 signals",IF(F184&gt;E184,"Over budget cap","OK")))</f>
        <v/>
      </c>
    </row>
    <row r="185">
      <c r="E185" s="7" t="n"/>
      <c r="F185" s="7" t="n"/>
      <c r="L185" s="4">
        <f>IF(A185="","",IF(AND(K185="Scale",I185&lt;3),"Need ≥3 signals",IF(F185&gt;E185,"Over budget cap","OK")))</f>
        <v/>
      </c>
    </row>
    <row r="186">
      <c r="E186" s="7" t="n"/>
      <c r="F186" s="7" t="n"/>
      <c r="L186" s="4">
        <f>IF(A186="","",IF(AND(K186="Scale",I186&lt;3),"Need ≥3 signals",IF(F186&gt;E186,"Over budget cap","OK")))</f>
        <v/>
      </c>
    </row>
    <row r="187">
      <c r="E187" s="7" t="n"/>
      <c r="F187" s="7" t="n"/>
      <c r="L187" s="4">
        <f>IF(A187="","",IF(AND(K187="Scale",I187&lt;3),"Need ≥3 signals",IF(F187&gt;E187,"Over budget cap","OK")))</f>
        <v/>
      </c>
    </row>
    <row r="188">
      <c r="E188" s="7" t="n"/>
      <c r="F188" s="7" t="n"/>
      <c r="L188" s="4">
        <f>IF(A188="","",IF(AND(K188="Scale",I188&lt;3),"Need ≥3 signals",IF(F188&gt;E188,"Over budget cap","OK")))</f>
        <v/>
      </c>
    </row>
    <row r="189">
      <c r="E189" s="7" t="n"/>
      <c r="F189" s="7" t="n"/>
      <c r="L189" s="4">
        <f>IF(A189="","",IF(AND(K189="Scale",I189&lt;3),"Need ≥3 signals",IF(F189&gt;E189,"Over budget cap","OK")))</f>
        <v/>
      </c>
    </row>
    <row r="190">
      <c r="E190" s="7" t="n"/>
      <c r="F190" s="7" t="n"/>
      <c r="L190" s="4">
        <f>IF(A190="","",IF(AND(K190="Scale",I190&lt;3),"Need ≥3 signals",IF(F190&gt;E190,"Over budget cap","OK")))</f>
        <v/>
      </c>
    </row>
    <row r="191">
      <c r="E191" s="7" t="n"/>
      <c r="F191" s="7" t="n"/>
      <c r="L191" s="4">
        <f>IF(A191="","",IF(AND(K191="Scale",I191&lt;3),"Need ≥3 signals",IF(F191&gt;E191,"Over budget cap","OK")))</f>
        <v/>
      </c>
    </row>
    <row r="192">
      <c r="E192" s="7" t="n"/>
      <c r="F192" s="7" t="n"/>
      <c r="L192" s="4">
        <f>IF(A192="","",IF(AND(K192="Scale",I192&lt;3),"Need ≥3 signals",IF(F192&gt;E192,"Over budget cap","OK")))</f>
        <v/>
      </c>
    </row>
    <row r="193">
      <c r="E193" s="7" t="n"/>
      <c r="F193" s="7" t="n"/>
      <c r="L193" s="4">
        <f>IF(A193="","",IF(AND(K193="Scale",I193&lt;3),"Need ≥3 signals",IF(F193&gt;E193,"Over budget cap","OK")))</f>
        <v/>
      </c>
    </row>
    <row r="194">
      <c r="E194" s="7" t="n"/>
      <c r="F194" s="7" t="n"/>
      <c r="L194" s="4">
        <f>IF(A194="","",IF(AND(K194="Scale",I194&lt;3),"Need ≥3 signals",IF(F194&gt;E194,"Over budget cap","OK")))</f>
        <v/>
      </c>
    </row>
    <row r="195">
      <c r="E195" s="7" t="n"/>
      <c r="F195" s="7" t="n"/>
      <c r="L195" s="4">
        <f>IF(A195="","",IF(AND(K195="Scale",I195&lt;3),"Need ≥3 signals",IF(F195&gt;E195,"Over budget cap","OK")))</f>
        <v/>
      </c>
    </row>
    <row r="196">
      <c r="E196" s="7" t="n"/>
      <c r="F196" s="7" t="n"/>
      <c r="L196" s="4">
        <f>IF(A196="","",IF(AND(K196="Scale",I196&lt;3),"Need ≥3 signals",IF(F196&gt;E196,"Over budget cap","OK")))</f>
        <v/>
      </c>
    </row>
    <row r="197">
      <c r="E197" s="7" t="n"/>
      <c r="F197" s="7" t="n"/>
      <c r="L197" s="4">
        <f>IF(A197="","",IF(AND(K197="Scale",I197&lt;3),"Need ≥3 signals",IF(F197&gt;E197,"Over budget cap","OK")))</f>
        <v/>
      </c>
    </row>
    <row r="198">
      <c r="E198" s="7" t="n"/>
      <c r="F198" s="7" t="n"/>
      <c r="L198" s="4">
        <f>IF(A198="","",IF(AND(K198="Scale",I198&lt;3),"Need ≥3 signals",IF(F198&gt;E198,"Over budget cap","OK")))</f>
        <v/>
      </c>
    </row>
    <row r="199">
      <c r="E199" s="7" t="n"/>
      <c r="F199" s="7" t="n"/>
      <c r="L199" s="4">
        <f>IF(A199="","",IF(AND(K199="Scale",I199&lt;3),"Need ≥3 signals",IF(F199&gt;E199,"Over budget cap","OK")))</f>
        <v/>
      </c>
    </row>
    <row r="200">
      <c r="E200" s="7" t="n"/>
      <c r="F200" s="7" t="n"/>
      <c r="L200" s="4">
        <f>IF(A200="","",IF(AND(K200="Scale",I200&lt;3),"Need ≥3 signals",IF(F200&gt;E200,"Over budget cap","OK")))</f>
        <v/>
      </c>
    </row>
    <row r="201">
      <c r="E201" s="7" t="n"/>
      <c r="F201" s="7" t="n"/>
      <c r="L201" s="4">
        <f>IF(A201="","",IF(AND(K201="Scale",I201&lt;3),"Need ≥3 signals",IF(F201&gt;E201,"Over budget cap","OK")))</f>
        <v/>
      </c>
    </row>
  </sheetData>
  <dataValidations count="1">
    <dataValidation sqref="K2:K201" showDropDown="0" showInputMessage="0" showErrorMessage="0" allowBlank="1" type="list">
      <formula1>"Open,Keep,Kill,Scale,Retest"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.28571428571428" customWidth="1" min="2" max="2"/>
    <col width="15.71428571428571" customWidth="1" min="3" max="3"/>
    <col width="15.71428571428571" customWidth="1" min="4" max="4"/>
    <col width="34.28571428571428" customWidth="1" min="5" max="5"/>
  </cols>
  <sheetData>
    <row r="1" ht="48" customHeight="1">
      <c r="A1" s="1" t="inlineStr">
        <is>
          <t>Day</t>
        </is>
      </c>
      <c r="B1" s="1" t="inlineStr">
        <is>
          <t>Milestone</t>
        </is>
      </c>
      <c r="C1" s="1" t="inlineStr">
        <is>
          <t>Owner / agent</t>
        </is>
      </c>
      <c r="D1" s="1" t="inlineStr">
        <is>
          <t>Done (1/0)</t>
        </is>
      </c>
      <c r="E1" s="1" t="inlineStr">
        <is>
          <t>Evidence / numbers</t>
        </is>
      </c>
    </row>
    <row r="2">
      <c r="A2" t="inlineStr">
        <is>
          <t>0 (optional)</t>
        </is>
      </c>
      <c r="B2" t="inlineStr">
        <is>
          <t>Prove the loop with an existing product first: run the account selling someone else's proven offer (affiliate/partner) before investing in your own SKU</t>
        </is>
      </c>
      <c r="C2" t="inlineStr">
        <is>
          <t>Owner</t>
        </is>
      </c>
      <c r="D2" t="n">
        <v>0</v>
      </c>
      <c r="E2" t="inlineStr">
        <is>
          <t>Orders, best hook, best creator type</t>
        </is>
      </c>
    </row>
    <row r="3">
      <c r="A3" t="inlineStr">
        <is>
          <t>1-3</t>
        </is>
      </c>
      <c r="B3" t="inlineStr">
        <is>
          <t>Launch plan approved; small batch in place; 20+ reference hooks; creator wave 1 out</t>
        </is>
      </c>
    </row>
    <row r="4">
      <c r="A4" t="inlineStr">
        <is>
          <t>4-10</t>
        </is>
      </c>
      <c r="B4" t="inlineStr">
        <is>
          <t>Selling point A tested via own content + creators (one point this week); daily stand-ups</t>
        </is>
      </c>
    </row>
    <row r="5">
      <c r="A5" t="inlineStr">
        <is>
          <t>11-17</t>
        </is>
      </c>
      <c r="B5" t="inlineStr">
        <is>
          <t>Selling point B; paid 0→1 tests aiming ~50 conversions with break-even and stop-loss lines set</t>
        </is>
      </c>
    </row>
    <row r="6">
      <c r="A6" t="inlineStr">
        <is>
          <t>18-24</t>
        </is>
      </c>
      <c r="B6" t="inlineStr">
        <is>
          <t>Selling point C, or double down on the leader; remake heroes; creator wave 2</t>
        </is>
      </c>
    </row>
    <row r="7">
      <c r="A7" t="inlineStr">
        <is>
          <t>25-30</t>
        </is>
      </c>
      <c r="B7" t="inlineStr">
        <is>
          <t>Read-out: engagement · creator feedback · conversion → scale / iterate / stop</t>
        </is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s="5" t="inlineStr">
        <is>
          <t>TOTAL</t>
        </is>
      </c>
      <c r="D203" s="5">
        <f>SUM(D2:D201)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45.71428571428572" customWidth="1" min="2" max="2"/>
    <col width="37.14285714285715" customWidth="1" min="3" max="3"/>
    <col width="15.71428571428571" customWidth="1" min="4" max="4"/>
    <col width="15.71428571428571" customWidth="1" min="5" max="5"/>
    <col width="15.71428571428571" customWidth="1" min="6" max="6"/>
  </cols>
  <sheetData>
    <row r="1" ht="48" customHeight="1">
      <c r="A1" s="1" t="inlineStr">
        <is>
          <t>Section</t>
        </is>
      </c>
      <c r="B1" s="1" t="inlineStr">
        <is>
          <t>Plan</t>
        </is>
      </c>
      <c r="C1" s="1" t="inlineStr">
        <is>
          <t>Why (evidence)</t>
        </is>
      </c>
      <c r="D1" s="1" t="inlineStr">
        <is>
          <t>Budget ($)</t>
        </is>
      </c>
      <c r="E1" s="1" t="inlineStr">
        <is>
          <t>Owner</t>
        </is>
      </c>
      <c r="F1" s="1" t="inlineStr">
        <is>
          <t>Status</t>
        </is>
      </c>
    </row>
    <row r="2">
      <c r="A2" t="inlineStr">
        <is>
          <t>Market insight</t>
        </is>
      </c>
      <c r="D2" s="7" t="n"/>
    </row>
    <row r="3">
      <c r="A3" t="inlineStr">
        <is>
          <t>Offer &amp; differentiator</t>
        </is>
      </c>
      <c r="D3" s="7" t="n"/>
    </row>
    <row r="4">
      <c r="A4" t="inlineStr">
        <is>
          <t>Inventory (small batch)</t>
        </is>
      </c>
      <c r="D4" s="7" t="n"/>
    </row>
    <row r="5">
      <c r="A5" t="inlineStr">
        <is>
          <t>People &amp; agents</t>
        </is>
      </c>
      <c r="D5" s="7" t="n"/>
    </row>
    <row r="6">
      <c r="A6" t="inlineStr">
        <is>
          <t>Sales strategy (creators / content / paid)</t>
        </is>
      </c>
      <c r="D6" s="7" t="n"/>
    </row>
    <row r="7">
      <c r="A7" t="inlineStr">
        <is>
          <t>Financial budget</t>
        </is>
      </c>
      <c r="D7" s="7" t="n"/>
    </row>
    <row r="8">
      <c r="A8" t="inlineStr">
        <is>
          <t>External support</t>
        </is>
      </c>
      <c r="D8" s="7" t="n"/>
    </row>
    <row r="9">
      <c r="A9" t="inlineStr">
        <is>
          <t>Plan B (main selling point fails)</t>
        </is>
      </c>
      <c r="D9" s="7" t="n"/>
    </row>
    <row r="10">
      <c r="A10" t="inlineStr">
        <is>
          <t>Plan C (offer fails here)</t>
        </is>
      </c>
      <c r="D10" s="7" t="n"/>
    </row>
    <row r="11">
      <c r="D11" s="7" t="n"/>
    </row>
    <row r="12">
      <c r="D12" s="7" t="n"/>
    </row>
    <row r="13">
      <c r="D13" s="7" t="n"/>
    </row>
    <row r="14">
      <c r="D14" s="7" t="n"/>
    </row>
    <row r="15">
      <c r="D15" s="7" t="n"/>
    </row>
    <row r="16">
      <c r="D16" s="7" t="n"/>
    </row>
    <row r="17">
      <c r="D17" s="7" t="n"/>
    </row>
    <row r="18">
      <c r="D18" s="7" t="n"/>
    </row>
    <row r="19">
      <c r="D19" s="7" t="n"/>
    </row>
    <row r="20">
      <c r="D20" s="7" t="n"/>
    </row>
    <row r="21">
      <c r="D21" s="7" t="n"/>
    </row>
    <row r="22">
      <c r="D22" s="7" t="n"/>
    </row>
    <row r="23">
      <c r="D23" s="7" t="n"/>
    </row>
    <row r="24">
      <c r="D24" s="7" t="n"/>
    </row>
    <row r="25">
      <c r="D25" s="7" t="n"/>
    </row>
    <row r="26">
      <c r="D26" s="7" t="n"/>
    </row>
    <row r="27">
      <c r="D27" s="7" t="n"/>
    </row>
    <row r="28">
      <c r="D28" s="7" t="n"/>
    </row>
    <row r="29">
      <c r="D29" s="7" t="n"/>
    </row>
    <row r="30">
      <c r="D30" s="7" t="n"/>
    </row>
    <row r="31">
      <c r="D31" s="7" t="n"/>
    </row>
    <row r="32">
      <c r="D32" s="7" t="n"/>
    </row>
    <row r="33">
      <c r="D33" s="7" t="n"/>
    </row>
    <row r="34">
      <c r="D34" s="7" t="n"/>
    </row>
    <row r="35">
      <c r="D35" s="7" t="n"/>
    </row>
    <row r="36">
      <c r="D36" s="7" t="n"/>
    </row>
    <row r="37">
      <c r="D37" s="7" t="n"/>
    </row>
    <row r="38">
      <c r="D38" s="7" t="n"/>
    </row>
    <row r="39">
      <c r="D39" s="7" t="n"/>
    </row>
    <row r="40">
      <c r="D40" s="7" t="n"/>
    </row>
    <row r="41">
      <c r="D41" s="7" t="n"/>
    </row>
    <row r="42">
      <c r="D42" s="7" t="n"/>
    </row>
    <row r="43">
      <c r="D43" s="7" t="n"/>
    </row>
    <row r="44">
      <c r="D44" s="7" t="n"/>
    </row>
    <row r="45">
      <c r="D45" s="7" t="n"/>
    </row>
    <row r="46">
      <c r="D46" s="7" t="n"/>
    </row>
    <row r="47">
      <c r="D47" s="7" t="n"/>
    </row>
    <row r="48">
      <c r="D48" s="7" t="n"/>
    </row>
    <row r="49">
      <c r="D49" s="7" t="n"/>
    </row>
    <row r="50">
      <c r="D50" s="7" t="n"/>
    </row>
    <row r="51">
      <c r="D51" s="7" t="n"/>
    </row>
    <row r="52">
      <c r="D52" s="7" t="n"/>
    </row>
    <row r="53">
      <c r="D53" s="7" t="n"/>
    </row>
    <row r="54">
      <c r="D54" s="7" t="n"/>
    </row>
    <row r="55">
      <c r="D55" s="7" t="n"/>
    </row>
    <row r="56">
      <c r="D56" s="7" t="n"/>
    </row>
    <row r="57">
      <c r="D57" s="7" t="n"/>
    </row>
    <row r="58">
      <c r="D58" s="7" t="n"/>
    </row>
    <row r="59">
      <c r="D59" s="7" t="n"/>
    </row>
    <row r="60">
      <c r="D60" s="7" t="n"/>
    </row>
    <row r="61">
      <c r="D61" s="7" t="n"/>
    </row>
    <row r="62">
      <c r="D62" s="7" t="n"/>
    </row>
    <row r="63">
      <c r="D63" s="7" t="n"/>
    </row>
    <row r="64">
      <c r="D64" s="7" t="n"/>
    </row>
    <row r="65">
      <c r="D65" s="7" t="n"/>
    </row>
    <row r="66">
      <c r="D66" s="7" t="n"/>
    </row>
    <row r="67">
      <c r="D67" s="7" t="n"/>
    </row>
    <row r="68">
      <c r="D68" s="7" t="n"/>
    </row>
    <row r="69">
      <c r="D69" s="7" t="n"/>
    </row>
    <row r="70">
      <c r="D70" s="7" t="n"/>
    </row>
    <row r="71">
      <c r="D71" s="7" t="n"/>
    </row>
    <row r="72">
      <c r="D72" s="7" t="n"/>
    </row>
    <row r="73">
      <c r="D73" s="7" t="n"/>
    </row>
    <row r="74">
      <c r="D74" s="7" t="n"/>
    </row>
    <row r="75">
      <c r="D75" s="7" t="n"/>
    </row>
    <row r="76">
      <c r="D76" s="7" t="n"/>
    </row>
    <row r="77">
      <c r="D77" s="7" t="n"/>
    </row>
    <row r="78">
      <c r="D78" s="7" t="n"/>
    </row>
    <row r="79">
      <c r="D79" s="7" t="n"/>
    </row>
    <row r="80">
      <c r="D80" s="7" t="n"/>
    </row>
    <row r="81">
      <c r="D81" s="7" t="n"/>
    </row>
    <row r="82">
      <c r="D82" s="7" t="n"/>
    </row>
    <row r="83">
      <c r="D83" s="7" t="n"/>
    </row>
    <row r="84">
      <c r="D84" s="7" t="n"/>
    </row>
    <row r="85">
      <c r="D85" s="7" t="n"/>
    </row>
    <row r="86">
      <c r="D86" s="7" t="n"/>
    </row>
    <row r="87">
      <c r="D87" s="7" t="n"/>
    </row>
    <row r="88">
      <c r="D88" s="7" t="n"/>
    </row>
    <row r="89">
      <c r="D89" s="7" t="n"/>
    </row>
    <row r="90">
      <c r="D90" s="7" t="n"/>
    </row>
    <row r="91">
      <c r="D91" s="7" t="n"/>
    </row>
    <row r="92">
      <c r="D92" s="7" t="n"/>
    </row>
    <row r="93">
      <c r="D93" s="7" t="n"/>
    </row>
    <row r="94">
      <c r="D94" s="7" t="n"/>
    </row>
    <row r="95">
      <c r="D95" s="7" t="n"/>
    </row>
    <row r="96">
      <c r="D96" s="7" t="n"/>
    </row>
    <row r="97">
      <c r="D97" s="7" t="n"/>
    </row>
    <row r="98">
      <c r="D98" s="7" t="n"/>
    </row>
    <row r="99">
      <c r="D99" s="7" t="n"/>
    </row>
    <row r="100">
      <c r="D100" s="7" t="n"/>
    </row>
    <row r="101">
      <c r="D101" s="7" t="n"/>
    </row>
    <row r="102">
      <c r="D102" s="7" t="n"/>
    </row>
    <row r="103">
      <c r="D103" s="7" t="n"/>
    </row>
    <row r="104">
      <c r="D104" s="7" t="n"/>
    </row>
    <row r="105">
      <c r="D105" s="7" t="n"/>
    </row>
    <row r="106">
      <c r="D106" s="7" t="n"/>
    </row>
    <row r="107">
      <c r="D107" s="7" t="n"/>
    </row>
    <row r="108">
      <c r="D108" s="7" t="n"/>
    </row>
    <row r="109">
      <c r="D109" s="7" t="n"/>
    </row>
    <row r="110">
      <c r="D110" s="7" t="n"/>
    </row>
    <row r="111">
      <c r="D111" s="7" t="n"/>
    </row>
    <row r="112">
      <c r="D112" s="7" t="n"/>
    </row>
    <row r="113">
      <c r="D113" s="7" t="n"/>
    </row>
    <row r="114">
      <c r="D114" s="7" t="n"/>
    </row>
    <row r="115">
      <c r="D115" s="7" t="n"/>
    </row>
    <row r="116">
      <c r="D116" s="7" t="n"/>
    </row>
    <row r="117">
      <c r="D117" s="7" t="n"/>
    </row>
    <row r="118">
      <c r="D118" s="7" t="n"/>
    </row>
    <row r="119">
      <c r="D119" s="7" t="n"/>
    </row>
    <row r="120">
      <c r="D120" s="7" t="n"/>
    </row>
    <row r="121">
      <c r="D121" s="7" t="n"/>
    </row>
    <row r="122">
      <c r="D122" s="7" t="n"/>
    </row>
    <row r="123">
      <c r="D123" s="7" t="n"/>
    </row>
    <row r="124">
      <c r="D124" s="7" t="n"/>
    </row>
    <row r="125">
      <c r="D125" s="7" t="n"/>
    </row>
    <row r="126">
      <c r="D126" s="7" t="n"/>
    </row>
    <row r="127">
      <c r="D127" s="7" t="n"/>
    </row>
    <row r="128">
      <c r="D128" s="7" t="n"/>
    </row>
    <row r="129">
      <c r="D129" s="7" t="n"/>
    </row>
    <row r="130">
      <c r="D130" s="7" t="n"/>
    </row>
    <row r="131">
      <c r="D131" s="7" t="n"/>
    </row>
    <row r="132">
      <c r="D132" s="7" t="n"/>
    </row>
    <row r="133">
      <c r="D133" s="7" t="n"/>
    </row>
    <row r="134">
      <c r="D134" s="7" t="n"/>
    </row>
    <row r="135">
      <c r="D135" s="7" t="n"/>
    </row>
    <row r="136">
      <c r="D136" s="7" t="n"/>
    </row>
    <row r="137">
      <c r="D137" s="7" t="n"/>
    </row>
    <row r="138">
      <c r="D138" s="7" t="n"/>
    </row>
    <row r="139">
      <c r="D139" s="7" t="n"/>
    </row>
    <row r="140">
      <c r="D140" s="7" t="n"/>
    </row>
    <row r="141">
      <c r="D141" s="7" t="n"/>
    </row>
    <row r="142">
      <c r="D142" s="7" t="n"/>
    </row>
    <row r="143">
      <c r="D143" s="7" t="n"/>
    </row>
    <row r="144">
      <c r="D144" s="7" t="n"/>
    </row>
    <row r="145">
      <c r="D145" s="7" t="n"/>
    </row>
    <row r="146">
      <c r="D146" s="7" t="n"/>
    </row>
    <row r="147">
      <c r="D147" s="7" t="n"/>
    </row>
    <row r="148">
      <c r="D148" s="7" t="n"/>
    </row>
    <row r="149">
      <c r="D149" s="7" t="n"/>
    </row>
    <row r="150">
      <c r="D150" s="7" t="n"/>
    </row>
    <row r="151">
      <c r="D151" s="7" t="n"/>
    </row>
    <row r="152">
      <c r="D152" s="7" t="n"/>
    </row>
    <row r="153">
      <c r="D153" s="7" t="n"/>
    </row>
    <row r="154">
      <c r="D154" s="7" t="n"/>
    </row>
    <row r="155">
      <c r="D155" s="7" t="n"/>
    </row>
    <row r="156">
      <c r="D156" s="7" t="n"/>
    </row>
    <row r="157">
      <c r="D157" s="7" t="n"/>
    </row>
    <row r="158">
      <c r="D158" s="7" t="n"/>
    </row>
    <row r="159">
      <c r="D159" s="7" t="n"/>
    </row>
    <row r="160">
      <c r="D160" s="7" t="n"/>
    </row>
    <row r="161">
      <c r="D161" s="7" t="n"/>
    </row>
    <row r="162">
      <c r="D162" s="7" t="n"/>
    </row>
    <row r="163">
      <c r="D163" s="7" t="n"/>
    </row>
    <row r="164">
      <c r="D164" s="7" t="n"/>
    </row>
    <row r="165">
      <c r="D165" s="7" t="n"/>
    </row>
    <row r="166">
      <c r="D166" s="7" t="n"/>
    </row>
    <row r="167">
      <c r="D167" s="7" t="n"/>
    </row>
    <row r="168">
      <c r="D168" s="7" t="n"/>
    </row>
    <row r="169">
      <c r="D169" s="7" t="n"/>
    </row>
    <row r="170">
      <c r="D170" s="7" t="n"/>
    </row>
    <row r="171">
      <c r="D171" s="7" t="n"/>
    </row>
    <row r="172">
      <c r="D172" s="7" t="n"/>
    </row>
    <row r="173">
      <c r="D173" s="7" t="n"/>
    </row>
    <row r="174">
      <c r="D174" s="7" t="n"/>
    </row>
    <row r="175">
      <c r="D175" s="7" t="n"/>
    </row>
    <row r="176">
      <c r="D176" s="7" t="n"/>
    </row>
    <row r="177">
      <c r="D177" s="7" t="n"/>
    </row>
    <row r="178">
      <c r="D178" s="7" t="n"/>
    </row>
    <row r="179">
      <c r="D179" s="7" t="n"/>
    </row>
    <row r="180">
      <c r="D180" s="7" t="n"/>
    </row>
    <row r="181">
      <c r="D181" s="7" t="n"/>
    </row>
    <row r="182">
      <c r="D182" s="7" t="n"/>
    </row>
    <row r="183">
      <c r="D183" s="7" t="n"/>
    </row>
    <row r="184">
      <c r="D184" s="7" t="n"/>
    </row>
    <row r="185">
      <c r="D185" s="7" t="n"/>
    </row>
    <row r="186">
      <c r="D186" s="7" t="n"/>
    </row>
    <row r="187">
      <c r="D187" s="7" t="n"/>
    </row>
    <row r="188">
      <c r="D188" s="7" t="n"/>
    </row>
    <row r="189">
      <c r="D189" s="7" t="n"/>
    </row>
    <row r="190">
      <c r="D190" s="7" t="n"/>
    </row>
    <row r="191">
      <c r="D191" s="7" t="n"/>
    </row>
    <row r="192">
      <c r="D192" s="7" t="n"/>
    </row>
    <row r="193">
      <c r="D193" s="7" t="n"/>
    </row>
    <row r="194">
      <c r="D194" s="7" t="n"/>
    </row>
    <row r="195">
      <c r="D195" s="7" t="n"/>
    </row>
    <row r="196">
      <c r="D196" s="7" t="n"/>
    </row>
    <row r="197">
      <c r="D197" s="7" t="n"/>
    </row>
    <row r="198">
      <c r="D198" s="7" t="n"/>
    </row>
    <row r="199">
      <c r="D199" s="7" t="n"/>
    </row>
    <row r="200">
      <c r="D200" s="7" t="n"/>
    </row>
    <row r="201">
      <c r="D201" s="7" t="n"/>
    </row>
    <row r="203">
      <c r="A203" s="5" t="inlineStr">
        <is>
          <t>TOTAL</t>
        </is>
      </c>
      <c r="D203" s="12">
        <f>SUM(D2:D201)</f>
        <v/>
      </c>
    </row>
  </sheetData>
  <dataValidations count="1">
    <dataValidation sqref="F2:F201" showDropDown="0" showInputMessage="0" showErrorMessage="0" allowBlank="1" type="list">
      <formula1>"Draft,Ready,Approved"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.71428571428571" customWidth="1" min="1" max="1"/>
    <col width="15.71428571428571" customWidth="1" min="2" max="2"/>
    <col width="28.57142857142857" customWidth="1" min="3" max="3"/>
    <col width="22.85714285714286" customWidth="1" min="4" max="4"/>
    <col width="28.57142857142857" customWidth="1" min="5" max="5"/>
    <col width="28.57142857142857" customWidth="1" min="6" max="6"/>
    <col width="28.57142857142857" customWidth="1" min="7" max="7"/>
    <col width="25.71428571428572" customWidth="1" min="8" max="8"/>
    <col width="15.71428571428571" customWidth="1" min="9" max="9"/>
  </cols>
  <sheetData>
    <row r="1" ht="48" customHeight="1">
      <c r="A1" s="1" t="inlineStr">
        <is>
          <t>Week of</t>
        </is>
      </c>
      <c r="B1" s="1" t="inlineStr">
        <is>
          <t>Area</t>
        </is>
      </c>
      <c r="C1" s="1" t="inlineStr">
        <is>
          <t>What we believed</t>
        </is>
      </c>
      <c r="D1" s="1" t="inlineStr">
        <is>
          <t>What we tested (ledger IDs)</t>
        </is>
      </c>
      <c r="E1" s="1" t="inlineStr">
        <is>
          <t>What happened (numbers)</t>
        </is>
      </c>
      <c r="F1" s="1" t="inlineStr">
        <is>
          <t>Learning</t>
        </is>
      </c>
      <c r="G1" s="1" t="inlineStr">
        <is>
          <t>SOP / agent prompt change</t>
        </is>
      </c>
      <c r="H1" s="1" t="inlineStr">
        <is>
          <t>Next week</t>
        </is>
      </c>
      <c r="I1" s="2" t="inlineStr">
        <is>
          <t>Complete? ƒ</t>
        </is>
      </c>
    </row>
    <row r="2">
      <c r="A2" t="inlineStr">
        <is>
          <t>2026-11-06</t>
        </is>
      </c>
      <c r="B2" t="inlineStr">
        <is>
          <t>Creators</t>
        </is>
      </c>
      <c r="C2" t="inlineStr">
        <is>
          <t>Parents segment replies more</t>
        </is>
      </c>
      <c r="D2" t="inlineStr">
        <is>
          <t>H-004</t>
        </is>
      </c>
      <c r="E2" t="inlineStr">
        <is>
          <t>Reply 18% vs 9% general</t>
        </is>
      </c>
      <c r="F2" t="inlineStr">
        <is>
          <t>Lead with child-safety pain</t>
        </is>
      </c>
      <c r="G2" t="inlineStr">
        <is>
          <t>Update outreach P-A first line</t>
        </is>
      </c>
      <c r="H2" t="inlineStr">
        <is>
          <t>Wave 2: 20 parent creators</t>
        </is>
      </c>
      <c r="I2" s="4">
        <f>IF(A2="","",IF(H2="","Add next step",IF(G2="","Record SOP change (or none)","OK")))</f>
        <v/>
      </c>
    </row>
    <row r="3">
      <c r="I3" s="4">
        <f>IF(A3="","",IF(H3="","Add next step",IF(G3="","Record SOP change (or none)","OK")))</f>
        <v/>
      </c>
    </row>
    <row r="4">
      <c r="I4" s="4">
        <f>IF(A4="","",IF(H4="","Add next step",IF(G4="","Record SOP change (or none)","OK")))</f>
        <v/>
      </c>
    </row>
    <row r="5">
      <c r="I5" s="4">
        <f>IF(A5="","",IF(H5="","Add next step",IF(G5="","Record SOP change (or none)","OK")))</f>
        <v/>
      </c>
    </row>
    <row r="6">
      <c r="I6" s="4">
        <f>IF(A6="","",IF(H6="","Add next step",IF(G6="","Record SOP change (or none)","OK")))</f>
        <v/>
      </c>
    </row>
    <row r="7">
      <c r="I7" s="4">
        <f>IF(A7="","",IF(H7="","Add next step",IF(G7="","Record SOP change (or none)","OK")))</f>
        <v/>
      </c>
    </row>
    <row r="8">
      <c r="I8" s="4">
        <f>IF(A8="","",IF(H8="","Add next step",IF(G8="","Record SOP change (or none)","OK")))</f>
        <v/>
      </c>
    </row>
    <row r="9">
      <c r="I9" s="4">
        <f>IF(A9="","",IF(H9="","Add next step",IF(G9="","Record SOP change (or none)","OK")))</f>
        <v/>
      </c>
    </row>
    <row r="10">
      <c r="I10" s="4">
        <f>IF(A10="","",IF(H10="","Add next step",IF(G10="","Record SOP change (or none)","OK")))</f>
        <v/>
      </c>
    </row>
    <row r="11">
      <c r="I11" s="4">
        <f>IF(A11="","",IF(H11="","Add next step",IF(G11="","Record SOP change (or none)","OK")))</f>
        <v/>
      </c>
    </row>
    <row r="12">
      <c r="I12" s="4">
        <f>IF(A12="","",IF(H12="","Add next step",IF(G12="","Record SOP change (or none)","OK")))</f>
        <v/>
      </c>
    </row>
    <row r="13">
      <c r="I13" s="4">
        <f>IF(A13="","",IF(H13="","Add next step",IF(G13="","Record SOP change (or none)","OK")))</f>
        <v/>
      </c>
    </row>
    <row r="14">
      <c r="I14" s="4">
        <f>IF(A14="","",IF(H14="","Add next step",IF(G14="","Record SOP change (or none)","OK")))</f>
        <v/>
      </c>
    </row>
    <row r="15">
      <c r="I15" s="4">
        <f>IF(A15="","",IF(H15="","Add next step",IF(G15="","Record SOP change (or none)","OK")))</f>
        <v/>
      </c>
    </row>
    <row r="16">
      <c r="I16" s="4">
        <f>IF(A16="","",IF(H16="","Add next step",IF(G16="","Record SOP change (or none)","OK")))</f>
        <v/>
      </c>
    </row>
    <row r="17">
      <c r="I17" s="4">
        <f>IF(A17="","",IF(H17="","Add next step",IF(G17="","Record SOP change (or none)","OK")))</f>
        <v/>
      </c>
    </row>
    <row r="18">
      <c r="I18" s="4">
        <f>IF(A18="","",IF(H18="","Add next step",IF(G18="","Record SOP change (or none)","OK")))</f>
        <v/>
      </c>
    </row>
    <row r="19">
      <c r="I19" s="4">
        <f>IF(A19="","",IF(H19="","Add next step",IF(G19="","Record SOP change (or none)","OK")))</f>
        <v/>
      </c>
    </row>
    <row r="20">
      <c r="I20" s="4">
        <f>IF(A20="","",IF(H20="","Add next step",IF(G20="","Record SOP change (or none)","OK")))</f>
        <v/>
      </c>
    </row>
    <row r="21">
      <c r="I21" s="4">
        <f>IF(A21="","",IF(H21="","Add next step",IF(G21="","Record SOP change (or none)","OK")))</f>
        <v/>
      </c>
    </row>
    <row r="22">
      <c r="I22" s="4">
        <f>IF(A22="","",IF(H22="","Add next step",IF(G22="","Record SOP change (or none)","OK")))</f>
        <v/>
      </c>
    </row>
    <row r="23">
      <c r="I23" s="4">
        <f>IF(A23="","",IF(H23="","Add next step",IF(G23="","Record SOP change (or none)","OK")))</f>
        <v/>
      </c>
    </row>
    <row r="24">
      <c r="I24" s="4">
        <f>IF(A24="","",IF(H24="","Add next step",IF(G24="","Record SOP change (or none)","OK")))</f>
        <v/>
      </c>
    </row>
    <row r="25">
      <c r="I25" s="4">
        <f>IF(A25="","",IF(H25="","Add next step",IF(G25="","Record SOP change (or none)","OK")))</f>
        <v/>
      </c>
    </row>
    <row r="26">
      <c r="I26" s="4">
        <f>IF(A26="","",IF(H26="","Add next step",IF(G26="","Record SOP change (or none)","OK")))</f>
        <v/>
      </c>
    </row>
    <row r="27">
      <c r="I27" s="4">
        <f>IF(A27="","",IF(H27="","Add next step",IF(G27="","Record SOP change (or none)","OK")))</f>
        <v/>
      </c>
    </row>
    <row r="28">
      <c r="I28" s="4">
        <f>IF(A28="","",IF(H28="","Add next step",IF(G28="","Record SOP change (or none)","OK")))</f>
        <v/>
      </c>
    </row>
    <row r="29">
      <c r="I29" s="4">
        <f>IF(A29="","",IF(H29="","Add next step",IF(G29="","Record SOP change (or none)","OK")))</f>
        <v/>
      </c>
    </row>
    <row r="30">
      <c r="I30" s="4">
        <f>IF(A30="","",IF(H30="","Add next step",IF(G30="","Record SOP change (or none)","OK")))</f>
        <v/>
      </c>
    </row>
    <row r="31">
      <c r="I31" s="4">
        <f>IF(A31="","",IF(H31="","Add next step",IF(G31="","Record SOP change (or none)","OK")))</f>
        <v/>
      </c>
    </row>
    <row r="32">
      <c r="I32" s="4">
        <f>IF(A32="","",IF(H32="","Add next step",IF(G32="","Record SOP change (or none)","OK")))</f>
        <v/>
      </c>
    </row>
    <row r="33">
      <c r="I33" s="4">
        <f>IF(A33="","",IF(H33="","Add next step",IF(G33="","Record SOP change (or none)","OK")))</f>
        <v/>
      </c>
    </row>
    <row r="34">
      <c r="I34" s="4">
        <f>IF(A34="","",IF(H34="","Add next step",IF(G34="","Record SOP change (or none)","OK")))</f>
        <v/>
      </c>
    </row>
    <row r="35">
      <c r="I35" s="4">
        <f>IF(A35="","",IF(H35="","Add next step",IF(G35="","Record SOP change (or none)","OK")))</f>
        <v/>
      </c>
    </row>
    <row r="36">
      <c r="I36" s="4">
        <f>IF(A36="","",IF(H36="","Add next step",IF(G36="","Record SOP change (or none)","OK")))</f>
        <v/>
      </c>
    </row>
    <row r="37">
      <c r="I37" s="4">
        <f>IF(A37="","",IF(H37="","Add next step",IF(G37="","Record SOP change (or none)","OK")))</f>
        <v/>
      </c>
    </row>
    <row r="38">
      <c r="I38" s="4">
        <f>IF(A38="","",IF(H38="","Add next step",IF(G38="","Record SOP change (or none)","OK")))</f>
        <v/>
      </c>
    </row>
    <row r="39">
      <c r="I39" s="4">
        <f>IF(A39="","",IF(H39="","Add next step",IF(G39="","Record SOP change (or none)","OK")))</f>
        <v/>
      </c>
    </row>
    <row r="40">
      <c r="I40" s="4">
        <f>IF(A40="","",IF(H40="","Add next step",IF(G40="","Record SOP change (or none)","OK")))</f>
        <v/>
      </c>
    </row>
    <row r="41">
      <c r="I41" s="4">
        <f>IF(A41="","",IF(H41="","Add next step",IF(G41="","Record SOP change (or none)","OK")))</f>
        <v/>
      </c>
    </row>
    <row r="42">
      <c r="I42" s="4">
        <f>IF(A42="","",IF(H42="","Add next step",IF(G42="","Record SOP change (or none)","OK")))</f>
        <v/>
      </c>
    </row>
    <row r="43">
      <c r="I43" s="4">
        <f>IF(A43="","",IF(H43="","Add next step",IF(G43="","Record SOP change (or none)","OK")))</f>
        <v/>
      </c>
    </row>
    <row r="44">
      <c r="I44" s="4">
        <f>IF(A44="","",IF(H44="","Add next step",IF(G44="","Record SOP change (or none)","OK")))</f>
        <v/>
      </c>
    </row>
    <row r="45">
      <c r="I45" s="4">
        <f>IF(A45="","",IF(H45="","Add next step",IF(G45="","Record SOP change (or none)","OK")))</f>
        <v/>
      </c>
    </row>
    <row r="46">
      <c r="I46" s="4">
        <f>IF(A46="","",IF(H46="","Add next step",IF(G46="","Record SOP change (or none)","OK")))</f>
        <v/>
      </c>
    </row>
    <row r="47">
      <c r="I47" s="4">
        <f>IF(A47="","",IF(H47="","Add next step",IF(G47="","Record SOP change (or none)","OK")))</f>
        <v/>
      </c>
    </row>
    <row r="48">
      <c r="I48" s="4">
        <f>IF(A48="","",IF(H48="","Add next step",IF(G48="","Record SOP change (or none)","OK")))</f>
        <v/>
      </c>
    </row>
    <row r="49">
      <c r="I49" s="4">
        <f>IF(A49="","",IF(H49="","Add next step",IF(G49="","Record SOP change (or none)","OK")))</f>
        <v/>
      </c>
    </row>
    <row r="50">
      <c r="I50" s="4">
        <f>IF(A50="","",IF(H50="","Add next step",IF(G50="","Record SOP change (or none)","OK")))</f>
        <v/>
      </c>
    </row>
    <row r="51">
      <c r="I51" s="4">
        <f>IF(A51="","",IF(H51="","Add next step",IF(G51="","Record SOP change (or none)","OK")))</f>
        <v/>
      </c>
    </row>
    <row r="52">
      <c r="I52" s="4">
        <f>IF(A52="","",IF(H52="","Add next step",IF(G52="","Record SOP change (or none)","OK")))</f>
        <v/>
      </c>
    </row>
    <row r="53">
      <c r="I53" s="4">
        <f>IF(A53="","",IF(H53="","Add next step",IF(G53="","Record SOP change (or none)","OK")))</f>
        <v/>
      </c>
    </row>
    <row r="54">
      <c r="I54" s="4">
        <f>IF(A54="","",IF(H54="","Add next step",IF(G54="","Record SOP change (or none)","OK")))</f>
        <v/>
      </c>
    </row>
    <row r="55">
      <c r="I55" s="4">
        <f>IF(A55="","",IF(H55="","Add next step",IF(G55="","Record SOP change (or none)","OK")))</f>
        <v/>
      </c>
    </row>
    <row r="56">
      <c r="I56" s="4">
        <f>IF(A56="","",IF(H56="","Add next step",IF(G56="","Record SOP change (or none)","OK")))</f>
        <v/>
      </c>
    </row>
    <row r="57">
      <c r="I57" s="4">
        <f>IF(A57="","",IF(H57="","Add next step",IF(G57="","Record SOP change (or none)","OK")))</f>
        <v/>
      </c>
    </row>
    <row r="58">
      <c r="I58" s="4">
        <f>IF(A58="","",IF(H58="","Add next step",IF(G58="","Record SOP change (or none)","OK")))</f>
        <v/>
      </c>
    </row>
    <row r="59">
      <c r="I59" s="4">
        <f>IF(A59="","",IF(H59="","Add next step",IF(G59="","Record SOP change (or none)","OK")))</f>
        <v/>
      </c>
    </row>
    <row r="60">
      <c r="I60" s="4">
        <f>IF(A60="","",IF(H60="","Add next step",IF(G60="","Record SOP change (or none)","OK")))</f>
        <v/>
      </c>
    </row>
    <row r="61">
      <c r="I61" s="4">
        <f>IF(A61="","",IF(H61="","Add next step",IF(G61="","Record SOP change (or none)","OK")))</f>
        <v/>
      </c>
    </row>
    <row r="62">
      <c r="I62" s="4">
        <f>IF(A62="","",IF(H62="","Add next step",IF(G62="","Record SOP change (or none)","OK")))</f>
        <v/>
      </c>
    </row>
    <row r="63">
      <c r="I63" s="4">
        <f>IF(A63="","",IF(H63="","Add next step",IF(G63="","Record SOP change (or none)","OK")))</f>
        <v/>
      </c>
    </row>
    <row r="64">
      <c r="I64" s="4">
        <f>IF(A64="","",IF(H64="","Add next step",IF(G64="","Record SOP change (or none)","OK")))</f>
        <v/>
      </c>
    </row>
    <row r="65">
      <c r="I65" s="4">
        <f>IF(A65="","",IF(H65="","Add next step",IF(G65="","Record SOP change (or none)","OK")))</f>
        <v/>
      </c>
    </row>
    <row r="66">
      <c r="I66" s="4">
        <f>IF(A66="","",IF(H66="","Add next step",IF(G66="","Record SOP change (or none)","OK")))</f>
        <v/>
      </c>
    </row>
    <row r="67">
      <c r="I67" s="4">
        <f>IF(A67="","",IF(H67="","Add next step",IF(G67="","Record SOP change (or none)","OK")))</f>
        <v/>
      </c>
    </row>
    <row r="68">
      <c r="I68" s="4">
        <f>IF(A68="","",IF(H68="","Add next step",IF(G68="","Record SOP change (or none)","OK")))</f>
        <v/>
      </c>
    </row>
    <row r="69">
      <c r="I69" s="4">
        <f>IF(A69="","",IF(H69="","Add next step",IF(G69="","Record SOP change (or none)","OK")))</f>
        <v/>
      </c>
    </row>
    <row r="70">
      <c r="I70" s="4">
        <f>IF(A70="","",IF(H70="","Add next step",IF(G70="","Record SOP change (or none)","OK")))</f>
        <v/>
      </c>
    </row>
    <row r="71">
      <c r="I71" s="4">
        <f>IF(A71="","",IF(H71="","Add next step",IF(G71="","Record SOP change (or none)","OK")))</f>
        <v/>
      </c>
    </row>
    <row r="72">
      <c r="I72" s="4">
        <f>IF(A72="","",IF(H72="","Add next step",IF(G72="","Record SOP change (or none)","OK")))</f>
        <v/>
      </c>
    </row>
    <row r="73">
      <c r="I73" s="4">
        <f>IF(A73="","",IF(H73="","Add next step",IF(G73="","Record SOP change (or none)","OK")))</f>
        <v/>
      </c>
    </row>
    <row r="74">
      <c r="I74" s="4">
        <f>IF(A74="","",IF(H74="","Add next step",IF(G74="","Record SOP change (or none)","OK")))</f>
        <v/>
      </c>
    </row>
    <row r="75">
      <c r="I75" s="4">
        <f>IF(A75="","",IF(H75="","Add next step",IF(G75="","Record SOP change (or none)","OK")))</f>
        <v/>
      </c>
    </row>
    <row r="76">
      <c r="I76" s="4">
        <f>IF(A76="","",IF(H76="","Add next step",IF(G76="","Record SOP change (or none)","OK")))</f>
        <v/>
      </c>
    </row>
    <row r="77">
      <c r="I77" s="4">
        <f>IF(A77="","",IF(H77="","Add next step",IF(G77="","Record SOP change (or none)","OK")))</f>
        <v/>
      </c>
    </row>
    <row r="78">
      <c r="I78" s="4">
        <f>IF(A78="","",IF(H78="","Add next step",IF(G78="","Record SOP change (or none)","OK")))</f>
        <v/>
      </c>
    </row>
    <row r="79">
      <c r="I79" s="4">
        <f>IF(A79="","",IF(H79="","Add next step",IF(G79="","Record SOP change (or none)","OK")))</f>
        <v/>
      </c>
    </row>
    <row r="80">
      <c r="I80" s="4">
        <f>IF(A80="","",IF(H80="","Add next step",IF(G80="","Record SOP change (or none)","OK")))</f>
        <v/>
      </c>
    </row>
    <row r="81">
      <c r="I81" s="4">
        <f>IF(A81="","",IF(H81="","Add next step",IF(G81="","Record SOP change (or none)","OK")))</f>
        <v/>
      </c>
    </row>
    <row r="82">
      <c r="I82" s="4">
        <f>IF(A82="","",IF(H82="","Add next step",IF(G82="","Record SOP change (or none)","OK")))</f>
        <v/>
      </c>
    </row>
    <row r="83">
      <c r="I83" s="4">
        <f>IF(A83="","",IF(H83="","Add next step",IF(G83="","Record SOP change (or none)","OK")))</f>
        <v/>
      </c>
    </row>
    <row r="84">
      <c r="I84" s="4">
        <f>IF(A84="","",IF(H84="","Add next step",IF(G84="","Record SOP change (or none)","OK")))</f>
        <v/>
      </c>
    </row>
    <row r="85">
      <c r="I85" s="4">
        <f>IF(A85="","",IF(H85="","Add next step",IF(G85="","Record SOP change (or none)","OK")))</f>
        <v/>
      </c>
    </row>
    <row r="86">
      <c r="I86" s="4">
        <f>IF(A86="","",IF(H86="","Add next step",IF(G86="","Record SOP change (or none)","OK")))</f>
        <v/>
      </c>
    </row>
    <row r="87">
      <c r="I87" s="4">
        <f>IF(A87="","",IF(H87="","Add next step",IF(G87="","Record SOP change (or none)","OK")))</f>
        <v/>
      </c>
    </row>
    <row r="88">
      <c r="I88" s="4">
        <f>IF(A88="","",IF(H88="","Add next step",IF(G88="","Record SOP change (or none)","OK")))</f>
        <v/>
      </c>
    </row>
    <row r="89">
      <c r="I89" s="4">
        <f>IF(A89="","",IF(H89="","Add next step",IF(G89="","Record SOP change (or none)","OK")))</f>
        <v/>
      </c>
    </row>
    <row r="90">
      <c r="I90" s="4">
        <f>IF(A90="","",IF(H90="","Add next step",IF(G90="","Record SOP change (or none)","OK")))</f>
        <v/>
      </c>
    </row>
    <row r="91">
      <c r="I91" s="4">
        <f>IF(A91="","",IF(H91="","Add next step",IF(G91="","Record SOP change (or none)","OK")))</f>
        <v/>
      </c>
    </row>
    <row r="92">
      <c r="I92" s="4">
        <f>IF(A92="","",IF(H92="","Add next step",IF(G92="","Record SOP change (or none)","OK")))</f>
        <v/>
      </c>
    </row>
    <row r="93">
      <c r="I93" s="4">
        <f>IF(A93="","",IF(H93="","Add next step",IF(G93="","Record SOP change (or none)","OK")))</f>
        <v/>
      </c>
    </row>
    <row r="94">
      <c r="I94" s="4">
        <f>IF(A94="","",IF(H94="","Add next step",IF(G94="","Record SOP change (or none)","OK")))</f>
        <v/>
      </c>
    </row>
    <row r="95">
      <c r="I95" s="4">
        <f>IF(A95="","",IF(H95="","Add next step",IF(G95="","Record SOP change (or none)","OK")))</f>
        <v/>
      </c>
    </row>
    <row r="96">
      <c r="I96" s="4">
        <f>IF(A96="","",IF(H96="","Add next step",IF(G96="","Record SOP change (or none)","OK")))</f>
        <v/>
      </c>
    </row>
    <row r="97">
      <c r="I97" s="4">
        <f>IF(A97="","",IF(H97="","Add next step",IF(G97="","Record SOP change (or none)","OK")))</f>
        <v/>
      </c>
    </row>
    <row r="98">
      <c r="I98" s="4">
        <f>IF(A98="","",IF(H98="","Add next step",IF(G98="","Record SOP change (or none)","OK")))</f>
        <v/>
      </c>
    </row>
    <row r="99">
      <c r="I99" s="4">
        <f>IF(A99="","",IF(H99="","Add next step",IF(G99="","Record SOP change (or none)","OK")))</f>
        <v/>
      </c>
    </row>
    <row r="100">
      <c r="I100" s="4">
        <f>IF(A100="","",IF(H100="","Add next step",IF(G100="","Record SOP change (or none)","OK")))</f>
        <v/>
      </c>
    </row>
    <row r="101">
      <c r="I101" s="4">
        <f>IF(A101="","",IF(H101="","Add next step",IF(G101="","Record SOP change (or none)","OK")))</f>
        <v/>
      </c>
    </row>
    <row r="102">
      <c r="I102" s="4">
        <f>IF(A102="","",IF(H102="","Add next step",IF(G102="","Record SOP change (or none)","OK")))</f>
        <v/>
      </c>
    </row>
    <row r="103">
      <c r="I103" s="4">
        <f>IF(A103="","",IF(H103="","Add next step",IF(G103="","Record SOP change (or none)","OK")))</f>
        <v/>
      </c>
    </row>
    <row r="104">
      <c r="I104" s="4">
        <f>IF(A104="","",IF(H104="","Add next step",IF(G104="","Record SOP change (or none)","OK")))</f>
        <v/>
      </c>
    </row>
    <row r="105">
      <c r="I105" s="4">
        <f>IF(A105="","",IF(H105="","Add next step",IF(G105="","Record SOP change (or none)","OK")))</f>
        <v/>
      </c>
    </row>
    <row r="106">
      <c r="I106" s="4">
        <f>IF(A106="","",IF(H106="","Add next step",IF(G106="","Record SOP change (or none)","OK")))</f>
        <v/>
      </c>
    </row>
    <row r="107">
      <c r="I107" s="4">
        <f>IF(A107="","",IF(H107="","Add next step",IF(G107="","Record SOP change (or none)","OK")))</f>
        <v/>
      </c>
    </row>
    <row r="108">
      <c r="I108" s="4">
        <f>IF(A108="","",IF(H108="","Add next step",IF(G108="","Record SOP change (or none)","OK")))</f>
        <v/>
      </c>
    </row>
    <row r="109">
      <c r="I109" s="4">
        <f>IF(A109="","",IF(H109="","Add next step",IF(G109="","Record SOP change (or none)","OK")))</f>
        <v/>
      </c>
    </row>
    <row r="110">
      <c r="I110" s="4">
        <f>IF(A110="","",IF(H110="","Add next step",IF(G110="","Record SOP change (or none)","OK")))</f>
        <v/>
      </c>
    </row>
    <row r="111">
      <c r="I111" s="4">
        <f>IF(A111="","",IF(H111="","Add next step",IF(G111="","Record SOP change (or none)","OK")))</f>
        <v/>
      </c>
    </row>
    <row r="112">
      <c r="I112" s="4">
        <f>IF(A112="","",IF(H112="","Add next step",IF(G112="","Record SOP change (or none)","OK")))</f>
        <v/>
      </c>
    </row>
    <row r="113">
      <c r="I113" s="4">
        <f>IF(A113="","",IF(H113="","Add next step",IF(G113="","Record SOP change (or none)","OK")))</f>
        <v/>
      </c>
    </row>
    <row r="114">
      <c r="I114" s="4">
        <f>IF(A114="","",IF(H114="","Add next step",IF(G114="","Record SOP change (or none)","OK")))</f>
        <v/>
      </c>
    </row>
    <row r="115">
      <c r="I115" s="4">
        <f>IF(A115="","",IF(H115="","Add next step",IF(G115="","Record SOP change (or none)","OK")))</f>
        <v/>
      </c>
    </row>
    <row r="116">
      <c r="I116" s="4">
        <f>IF(A116="","",IF(H116="","Add next step",IF(G116="","Record SOP change (or none)","OK")))</f>
        <v/>
      </c>
    </row>
    <row r="117">
      <c r="I117" s="4">
        <f>IF(A117="","",IF(H117="","Add next step",IF(G117="","Record SOP change (or none)","OK")))</f>
        <v/>
      </c>
    </row>
    <row r="118">
      <c r="I118" s="4">
        <f>IF(A118="","",IF(H118="","Add next step",IF(G118="","Record SOP change (or none)","OK")))</f>
        <v/>
      </c>
    </row>
    <row r="119">
      <c r="I119" s="4">
        <f>IF(A119="","",IF(H119="","Add next step",IF(G119="","Record SOP change (or none)","OK")))</f>
        <v/>
      </c>
    </row>
    <row r="120">
      <c r="I120" s="4">
        <f>IF(A120="","",IF(H120="","Add next step",IF(G120="","Record SOP change (or none)","OK")))</f>
        <v/>
      </c>
    </row>
    <row r="121">
      <c r="I121" s="4">
        <f>IF(A121="","",IF(H121="","Add next step",IF(G121="","Record SOP change (or none)","OK")))</f>
        <v/>
      </c>
    </row>
    <row r="122">
      <c r="I122" s="4">
        <f>IF(A122="","",IF(H122="","Add next step",IF(G122="","Record SOP change (or none)","OK")))</f>
        <v/>
      </c>
    </row>
    <row r="123">
      <c r="I123" s="4">
        <f>IF(A123="","",IF(H123="","Add next step",IF(G123="","Record SOP change (or none)","OK")))</f>
        <v/>
      </c>
    </row>
    <row r="124">
      <c r="I124" s="4">
        <f>IF(A124="","",IF(H124="","Add next step",IF(G124="","Record SOP change (or none)","OK")))</f>
        <v/>
      </c>
    </row>
    <row r="125">
      <c r="I125" s="4">
        <f>IF(A125="","",IF(H125="","Add next step",IF(G125="","Record SOP change (or none)","OK")))</f>
        <v/>
      </c>
    </row>
    <row r="126">
      <c r="I126" s="4">
        <f>IF(A126="","",IF(H126="","Add next step",IF(G126="","Record SOP change (or none)","OK")))</f>
        <v/>
      </c>
    </row>
    <row r="127">
      <c r="I127" s="4">
        <f>IF(A127="","",IF(H127="","Add next step",IF(G127="","Record SOP change (or none)","OK")))</f>
        <v/>
      </c>
    </row>
    <row r="128">
      <c r="I128" s="4">
        <f>IF(A128="","",IF(H128="","Add next step",IF(G128="","Record SOP change (or none)","OK")))</f>
        <v/>
      </c>
    </row>
    <row r="129">
      <c r="I129" s="4">
        <f>IF(A129="","",IF(H129="","Add next step",IF(G129="","Record SOP change (or none)","OK")))</f>
        <v/>
      </c>
    </row>
    <row r="130">
      <c r="I130" s="4">
        <f>IF(A130="","",IF(H130="","Add next step",IF(G130="","Record SOP change (or none)","OK")))</f>
        <v/>
      </c>
    </row>
    <row r="131">
      <c r="I131" s="4">
        <f>IF(A131="","",IF(H131="","Add next step",IF(G131="","Record SOP change (or none)","OK")))</f>
        <v/>
      </c>
    </row>
    <row r="132">
      <c r="I132" s="4">
        <f>IF(A132="","",IF(H132="","Add next step",IF(G132="","Record SOP change (or none)","OK")))</f>
        <v/>
      </c>
    </row>
    <row r="133">
      <c r="I133" s="4">
        <f>IF(A133="","",IF(H133="","Add next step",IF(G133="","Record SOP change (or none)","OK")))</f>
        <v/>
      </c>
    </row>
    <row r="134">
      <c r="I134" s="4">
        <f>IF(A134="","",IF(H134="","Add next step",IF(G134="","Record SOP change (or none)","OK")))</f>
        <v/>
      </c>
    </row>
    <row r="135">
      <c r="I135" s="4">
        <f>IF(A135="","",IF(H135="","Add next step",IF(G135="","Record SOP change (or none)","OK")))</f>
        <v/>
      </c>
    </row>
    <row r="136">
      <c r="I136" s="4">
        <f>IF(A136="","",IF(H136="","Add next step",IF(G136="","Record SOP change (or none)","OK")))</f>
        <v/>
      </c>
    </row>
    <row r="137">
      <c r="I137" s="4">
        <f>IF(A137="","",IF(H137="","Add next step",IF(G137="","Record SOP change (or none)","OK")))</f>
        <v/>
      </c>
    </row>
    <row r="138">
      <c r="I138" s="4">
        <f>IF(A138="","",IF(H138="","Add next step",IF(G138="","Record SOP change (or none)","OK")))</f>
        <v/>
      </c>
    </row>
    <row r="139">
      <c r="I139" s="4">
        <f>IF(A139="","",IF(H139="","Add next step",IF(G139="","Record SOP change (or none)","OK")))</f>
        <v/>
      </c>
    </row>
    <row r="140">
      <c r="I140" s="4">
        <f>IF(A140="","",IF(H140="","Add next step",IF(G140="","Record SOP change (or none)","OK")))</f>
        <v/>
      </c>
    </row>
    <row r="141">
      <c r="I141" s="4">
        <f>IF(A141="","",IF(H141="","Add next step",IF(G141="","Record SOP change (or none)","OK")))</f>
        <v/>
      </c>
    </row>
    <row r="142">
      <c r="I142" s="4">
        <f>IF(A142="","",IF(H142="","Add next step",IF(G142="","Record SOP change (or none)","OK")))</f>
        <v/>
      </c>
    </row>
    <row r="143">
      <c r="I143" s="4">
        <f>IF(A143="","",IF(H143="","Add next step",IF(G143="","Record SOP change (or none)","OK")))</f>
        <v/>
      </c>
    </row>
    <row r="144">
      <c r="I144" s="4">
        <f>IF(A144="","",IF(H144="","Add next step",IF(G144="","Record SOP change (or none)","OK")))</f>
        <v/>
      </c>
    </row>
    <row r="145">
      <c r="I145" s="4">
        <f>IF(A145="","",IF(H145="","Add next step",IF(G145="","Record SOP change (or none)","OK")))</f>
        <v/>
      </c>
    </row>
    <row r="146">
      <c r="I146" s="4">
        <f>IF(A146="","",IF(H146="","Add next step",IF(G146="","Record SOP change (or none)","OK")))</f>
        <v/>
      </c>
    </row>
    <row r="147">
      <c r="I147" s="4">
        <f>IF(A147="","",IF(H147="","Add next step",IF(G147="","Record SOP change (or none)","OK")))</f>
        <v/>
      </c>
    </row>
    <row r="148">
      <c r="I148" s="4">
        <f>IF(A148="","",IF(H148="","Add next step",IF(G148="","Record SOP change (or none)","OK")))</f>
        <v/>
      </c>
    </row>
    <row r="149">
      <c r="I149" s="4">
        <f>IF(A149="","",IF(H149="","Add next step",IF(G149="","Record SOP change (or none)","OK")))</f>
        <v/>
      </c>
    </row>
    <row r="150">
      <c r="I150" s="4">
        <f>IF(A150="","",IF(H150="","Add next step",IF(G150="","Record SOP change (or none)","OK")))</f>
        <v/>
      </c>
    </row>
    <row r="151">
      <c r="I151" s="4">
        <f>IF(A151="","",IF(H151="","Add next step",IF(G151="","Record SOP change (or none)","OK")))</f>
        <v/>
      </c>
    </row>
    <row r="152">
      <c r="I152" s="4">
        <f>IF(A152="","",IF(H152="","Add next step",IF(G152="","Record SOP change (or none)","OK")))</f>
        <v/>
      </c>
    </row>
    <row r="153">
      <c r="I153" s="4">
        <f>IF(A153="","",IF(H153="","Add next step",IF(G153="","Record SOP change (or none)","OK")))</f>
        <v/>
      </c>
    </row>
    <row r="154">
      <c r="I154" s="4">
        <f>IF(A154="","",IF(H154="","Add next step",IF(G154="","Record SOP change (or none)","OK")))</f>
        <v/>
      </c>
    </row>
    <row r="155">
      <c r="I155" s="4">
        <f>IF(A155="","",IF(H155="","Add next step",IF(G155="","Record SOP change (or none)","OK")))</f>
        <v/>
      </c>
    </row>
    <row r="156">
      <c r="I156" s="4">
        <f>IF(A156="","",IF(H156="","Add next step",IF(G156="","Record SOP change (or none)","OK")))</f>
        <v/>
      </c>
    </row>
    <row r="157">
      <c r="I157" s="4">
        <f>IF(A157="","",IF(H157="","Add next step",IF(G157="","Record SOP change (or none)","OK")))</f>
        <v/>
      </c>
    </row>
    <row r="158">
      <c r="I158" s="4">
        <f>IF(A158="","",IF(H158="","Add next step",IF(G158="","Record SOP change (or none)","OK")))</f>
        <v/>
      </c>
    </row>
    <row r="159">
      <c r="I159" s="4">
        <f>IF(A159="","",IF(H159="","Add next step",IF(G159="","Record SOP change (or none)","OK")))</f>
        <v/>
      </c>
    </row>
    <row r="160">
      <c r="I160" s="4">
        <f>IF(A160="","",IF(H160="","Add next step",IF(G160="","Record SOP change (or none)","OK")))</f>
        <v/>
      </c>
    </row>
    <row r="161">
      <c r="I161" s="4">
        <f>IF(A161="","",IF(H161="","Add next step",IF(G161="","Record SOP change (or none)","OK")))</f>
        <v/>
      </c>
    </row>
    <row r="162">
      <c r="I162" s="4">
        <f>IF(A162="","",IF(H162="","Add next step",IF(G162="","Record SOP change (or none)","OK")))</f>
        <v/>
      </c>
    </row>
    <row r="163">
      <c r="I163" s="4">
        <f>IF(A163="","",IF(H163="","Add next step",IF(G163="","Record SOP change (or none)","OK")))</f>
        <v/>
      </c>
    </row>
    <row r="164">
      <c r="I164" s="4">
        <f>IF(A164="","",IF(H164="","Add next step",IF(G164="","Record SOP change (or none)","OK")))</f>
        <v/>
      </c>
    </row>
    <row r="165">
      <c r="I165" s="4">
        <f>IF(A165="","",IF(H165="","Add next step",IF(G165="","Record SOP change (or none)","OK")))</f>
        <v/>
      </c>
    </row>
    <row r="166">
      <c r="I166" s="4">
        <f>IF(A166="","",IF(H166="","Add next step",IF(G166="","Record SOP change (or none)","OK")))</f>
        <v/>
      </c>
    </row>
    <row r="167">
      <c r="I167" s="4">
        <f>IF(A167="","",IF(H167="","Add next step",IF(G167="","Record SOP change (or none)","OK")))</f>
        <v/>
      </c>
    </row>
    <row r="168">
      <c r="I168" s="4">
        <f>IF(A168="","",IF(H168="","Add next step",IF(G168="","Record SOP change (or none)","OK")))</f>
        <v/>
      </c>
    </row>
    <row r="169">
      <c r="I169" s="4">
        <f>IF(A169="","",IF(H169="","Add next step",IF(G169="","Record SOP change (or none)","OK")))</f>
        <v/>
      </c>
    </row>
    <row r="170">
      <c r="I170" s="4">
        <f>IF(A170="","",IF(H170="","Add next step",IF(G170="","Record SOP change (or none)","OK")))</f>
        <v/>
      </c>
    </row>
    <row r="171">
      <c r="I171" s="4">
        <f>IF(A171="","",IF(H171="","Add next step",IF(G171="","Record SOP change (or none)","OK")))</f>
        <v/>
      </c>
    </row>
    <row r="172">
      <c r="I172" s="4">
        <f>IF(A172="","",IF(H172="","Add next step",IF(G172="","Record SOP change (or none)","OK")))</f>
        <v/>
      </c>
    </row>
    <row r="173">
      <c r="I173" s="4">
        <f>IF(A173="","",IF(H173="","Add next step",IF(G173="","Record SOP change (or none)","OK")))</f>
        <v/>
      </c>
    </row>
    <row r="174">
      <c r="I174" s="4">
        <f>IF(A174="","",IF(H174="","Add next step",IF(G174="","Record SOP change (or none)","OK")))</f>
        <v/>
      </c>
    </row>
    <row r="175">
      <c r="I175" s="4">
        <f>IF(A175="","",IF(H175="","Add next step",IF(G175="","Record SOP change (or none)","OK")))</f>
        <v/>
      </c>
    </row>
    <row r="176">
      <c r="I176" s="4">
        <f>IF(A176="","",IF(H176="","Add next step",IF(G176="","Record SOP change (or none)","OK")))</f>
        <v/>
      </c>
    </row>
    <row r="177">
      <c r="I177" s="4">
        <f>IF(A177="","",IF(H177="","Add next step",IF(G177="","Record SOP change (or none)","OK")))</f>
        <v/>
      </c>
    </row>
    <row r="178">
      <c r="I178" s="4">
        <f>IF(A178="","",IF(H178="","Add next step",IF(G178="","Record SOP change (or none)","OK")))</f>
        <v/>
      </c>
    </row>
    <row r="179">
      <c r="I179" s="4">
        <f>IF(A179="","",IF(H179="","Add next step",IF(G179="","Record SOP change (or none)","OK")))</f>
        <v/>
      </c>
    </row>
    <row r="180">
      <c r="I180" s="4">
        <f>IF(A180="","",IF(H180="","Add next step",IF(G180="","Record SOP change (or none)","OK")))</f>
        <v/>
      </c>
    </row>
    <row r="181">
      <c r="I181" s="4">
        <f>IF(A181="","",IF(H181="","Add next step",IF(G181="","Record SOP change (or none)","OK")))</f>
        <v/>
      </c>
    </row>
    <row r="182">
      <c r="I182" s="4">
        <f>IF(A182="","",IF(H182="","Add next step",IF(G182="","Record SOP change (or none)","OK")))</f>
        <v/>
      </c>
    </row>
    <row r="183">
      <c r="I183" s="4">
        <f>IF(A183="","",IF(H183="","Add next step",IF(G183="","Record SOP change (or none)","OK")))</f>
        <v/>
      </c>
    </row>
    <row r="184">
      <c r="I184" s="4">
        <f>IF(A184="","",IF(H184="","Add next step",IF(G184="","Record SOP change (or none)","OK")))</f>
        <v/>
      </c>
    </row>
    <row r="185">
      <c r="I185" s="4">
        <f>IF(A185="","",IF(H185="","Add next step",IF(G185="","Record SOP change (or none)","OK")))</f>
        <v/>
      </c>
    </row>
    <row r="186">
      <c r="I186" s="4">
        <f>IF(A186="","",IF(H186="","Add next step",IF(G186="","Record SOP change (or none)","OK")))</f>
        <v/>
      </c>
    </row>
    <row r="187">
      <c r="I187" s="4">
        <f>IF(A187="","",IF(H187="","Add next step",IF(G187="","Record SOP change (or none)","OK")))</f>
        <v/>
      </c>
    </row>
    <row r="188">
      <c r="I188" s="4">
        <f>IF(A188="","",IF(H188="","Add next step",IF(G188="","Record SOP change (or none)","OK")))</f>
        <v/>
      </c>
    </row>
    <row r="189">
      <c r="I189" s="4">
        <f>IF(A189="","",IF(H189="","Add next step",IF(G189="","Record SOP change (or none)","OK")))</f>
        <v/>
      </c>
    </row>
    <row r="190">
      <c r="I190" s="4">
        <f>IF(A190="","",IF(H190="","Add next step",IF(G190="","Record SOP change (or none)","OK")))</f>
        <v/>
      </c>
    </row>
    <row r="191">
      <c r="I191" s="4">
        <f>IF(A191="","",IF(H191="","Add next step",IF(G191="","Record SOP change (or none)","OK")))</f>
        <v/>
      </c>
    </row>
    <row r="192">
      <c r="I192" s="4">
        <f>IF(A192="","",IF(H192="","Add next step",IF(G192="","Record SOP change (or none)","OK")))</f>
        <v/>
      </c>
    </row>
    <row r="193">
      <c r="I193" s="4">
        <f>IF(A193="","",IF(H193="","Add next step",IF(G193="","Record SOP change (or none)","OK")))</f>
        <v/>
      </c>
    </row>
    <row r="194">
      <c r="I194" s="4">
        <f>IF(A194="","",IF(H194="","Add next step",IF(G194="","Record SOP change (or none)","OK")))</f>
        <v/>
      </c>
    </row>
    <row r="195">
      <c r="I195" s="4">
        <f>IF(A195="","",IF(H195="","Add next step",IF(G195="","Record SOP change (or none)","OK")))</f>
        <v/>
      </c>
    </row>
    <row r="196">
      <c r="I196" s="4">
        <f>IF(A196="","",IF(H196="","Add next step",IF(G196="","Record SOP change (or none)","OK")))</f>
        <v/>
      </c>
    </row>
    <row r="197">
      <c r="I197" s="4">
        <f>IF(A197="","",IF(H197="","Add next step",IF(G197="","Record SOP change (or none)","OK")))</f>
        <v/>
      </c>
    </row>
    <row r="198">
      <c r="I198" s="4">
        <f>IF(A198="","",IF(H198="","Add next step",IF(G198="","Record SOP change (or none)","OK")))</f>
        <v/>
      </c>
    </row>
    <row r="199">
      <c r="I199" s="4">
        <f>IF(A199="","",IF(H199="","Add next step",IF(G199="","Record SOP change (or none)","OK")))</f>
        <v/>
      </c>
    </row>
    <row r="200">
      <c r="I200" s="4">
        <f>IF(A200="","",IF(H200="","Add next step",IF(G200="","Record SOP change (or none)","OK")))</f>
        <v/>
      </c>
    </row>
    <row r="201">
      <c r="I201" s="4">
        <f>IF(A201="","",IF(H201="","Add next step",IF(G201="","Record SOP change (or none)","OK")))</f>
        <v/>
      </c>
    </row>
  </sheetData>
  <dataValidations count="1">
    <dataValidation sqref="B2:B201" showDropDown="0" showInputMessage="0" showErrorMessage="0" allowBlank="1" type="list">
      <formula1>"Offer,Creators,Content,Paid,Team/AI,Channel"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42857142857143" customWidth="1" min="1" max="1"/>
    <col width="15.71428571428571" customWidth="1" min="2" max="2"/>
    <col width="22.85714285714286" customWidth="1" min="3" max="3"/>
    <col width="25.71428571428572" customWidth="1" min="4" max="4"/>
    <col width="15.71428571428571" customWidth="1" min="5" max="5"/>
    <col width="15.71428571428571" customWidth="1" min="6" max="6"/>
    <col width="15.71428571428571" customWidth="1" min="7" max="7"/>
    <col width="28.57142857142857" customWidth="1" min="8" max="8"/>
  </cols>
  <sheetData>
    <row r="1" ht="48" customHeight="1">
      <c r="A1" s="1" t="inlineStr">
        <is>
          <t>Role</t>
        </is>
      </c>
      <c r="B1" s="1" t="inlineStr">
        <is>
          <t>Agent / human</t>
        </is>
      </c>
      <c r="C1" s="1" t="inlineStr">
        <is>
          <t>SOP link</t>
        </is>
      </c>
      <c r="D1" s="1" t="inlineStr">
        <is>
          <t>Outcome KPI</t>
        </is>
      </c>
      <c r="E1" s="1" t="inlineStr">
        <is>
          <t>Target</t>
        </is>
      </c>
      <c r="F1" s="1" t="inlineStr">
        <is>
          <t>Actual</t>
        </is>
      </c>
      <c r="G1" s="2" t="inlineStr">
        <is>
          <t>Attainment ƒ</t>
        </is>
      </c>
      <c r="H1" s="1" t="inlineStr">
        <is>
          <t>Needs human approval for</t>
        </is>
      </c>
    </row>
    <row r="2">
      <c r="A2" t="inlineStr">
        <is>
          <t>Creator partnerships</t>
        </is>
      </c>
      <c r="B2" t="inlineStr">
        <is>
          <t>Human + agent</t>
        </is>
      </c>
      <c r="D2" t="inlineStr">
        <is>
          <t>Content return rate %</t>
        </is>
      </c>
      <c r="E2" t="n">
        <v>90</v>
      </c>
      <c r="F2" t="n">
        <v>82</v>
      </c>
      <c r="G2" s="9">
        <f>IF(A2="","",IFERROR(F2/E2,0))</f>
        <v/>
      </c>
      <c r="H2" t="inlineStr">
        <is>
          <t>Messages sent under owner name; sample budget</t>
        </is>
      </c>
    </row>
    <row r="3">
      <c r="A3" t="inlineStr">
        <is>
          <t>Paid media</t>
        </is>
      </c>
      <c r="B3" t="inlineStr">
        <is>
          <t>Agent</t>
        </is>
      </c>
      <c r="D3" t="inlineStr">
        <is>
          <t>Blended ROAS</t>
        </is>
      </c>
      <c r="E3" t="n">
        <v>2.6</v>
      </c>
      <c r="F3" t="n">
        <v>2.2</v>
      </c>
      <c r="G3" s="9">
        <f>IF(A3="","",IFERROR(F3/E3,0))</f>
        <v/>
      </c>
      <c r="H3" t="inlineStr">
        <is>
          <t>Budget increases &gt; cap</t>
        </is>
      </c>
    </row>
    <row r="4">
      <c r="G4" s="9">
        <f>IF(A4="","",IFERROR(F4/E4,0))</f>
        <v/>
      </c>
    </row>
    <row r="5">
      <c r="G5" s="9">
        <f>IF(A5="","",IFERROR(F5/E5,0))</f>
        <v/>
      </c>
    </row>
    <row r="6">
      <c r="G6" s="9">
        <f>IF(A6="","",IFERROR(F6/E6,0))</f>
        <v/>
      </c>
    </row>
    <row r="7">
      <c r="G7" s="9">
        <f>IF(A7="","",IFERROR(F7/E7,0))</f>
        <v/>
      </c>
    </row>
    <row r="8">
      <c r="G8" s="9">
        <f>IF(A8="","",IFERROR(F8/E8,0))</f>
        <v/>
      </c>
    </row>
    <row r="9">
      <c r="G9" s="9">
        <f>IF(A9="","",IFERROR(F9/E9,0))</f>
        <v/>
      </c>
    </row>
    <row r="10">
      <c r="G10" s="9">
        <f>IF(A10="","",IFERROR(F10/E10,0))</f>
        <v/>
      </c>
    </row>
    <row r="11">
      <c r="G11" s="9">
        <f>IF(A11="","",IFERROR(F11/E11,0))</f>
        <v/>
      </c>
    </row>
    <row r="12">
      <c r="G12" s="9">
        <f>IF(A12="","",IFERROR(F12/E12,0))</f>
        <v/>
      </c>
    </row>
    <row r="13">
      <c r="G13" s="9">
        <f>IF(A13="","",IFERROR(F13/E13,0))</f>
        <v/>
      </c>
    </row>
    <row r="14">
      <c r="G14" s="9">
        <f>IF(A14="","",IFERROR(F14/E14,0))</f>
        <v/>
      </c>
    </row>
    <row r="15">
      <c r="G15" s="9">
        <f>IF(A15="","",IFERROR(F15/E15,0))</f>
        <v/>
      </c>
    </row>
    <row r="16">
      <c r="G16" s="9">
        <f>IF(A16="","",IFERROR(F16/E16,0))</f>
        <v/>
      </c>
    </row>
    <row r="17">
      <c r="G17" s="9">
        <f>IF(A17="","",IFERROR(F17/E17,0))</f>
        <v/>
      </c>
    </row>
    <row r="18">
      <c r="G18" s="9">
        <f>IF(A18="","",IFERROR(F18/E18,0))</f>
        <v/>
      </c>
    </row>
    <row r="19">
      <c r="G19" s="9">
        <f>IF(A19="","",IFERROR(F19/E19,0))</f>
        <v/>
      </c>
    </row>
    <row r="20">
      <c r="G20" s="9">
        <f>IF(A20="","",IFERROR(F20/E20,0))</f>
        <v/>
      </c>
    </row>
    <row r="21">
      <c r="G21" s="9">
        <f>IF(A21="","",IFERROR(F21/E21,0))</f>
        <v/>
      </c>
    </row>
    <row r="22">
      <c r="G22" s="9">
        <f>IF(A22="","",IFERROR(F22/E22,0))</f>
        <v/>
      </c>
    </row>
    <row r="23">
      <c r="G23" s="9">
        <f>IF(A23="","",IFERROR(F23/E23,0))</f>
        <v/>
      </c>
    </row>
    <row r="24">
      <c r="G24" s="9">
        <f>IF(A24="","",IFERROR(F24/E24,0))</f>
        <v/>
      </c>
    </row>
    <row r="25">
      <c r="G25" s="9">
        <f>IF(A25="","",IFERROR(F25/E25,0))</f>
        <v/>
      </c>
    </row>
    <row r="26">
      <c r="G26" s="9">
        <f>IF(A26="","",IFERROR(F26/E26,0))</f>
        <v/>
      </c>
    </row>
    <row r="27">
      <c r="G27" s="9">
        <f>IF(A27="","",IFERROR(F27/E27,0))</f>
        <v/>
      </c>
    </row>
    <row r="28">
      <c r="G28" s="9">
        <f>IF(A28="","",IFERROR(F28/E28,0))</f>
        <v/>
      </c>
    </row>
    <row r="29">
      <c r="G29" s="9">
        <f>IF(A29="","",IFERROR(F29/E29,0))</f>
        <v/>
      </c>
    </row>
    <row r="30">
      <c r="G30" s="9">
        <f>IF(A30="","",IFERROR(F30/E30,0))</f>
        <v/>
      </c>
    </row>
    <row r="31">
      <c r="G31" s="9">
        <f>IF(A31="","",IFERROR(F31/E31,0))</f>
        <v/>
      </c>
    </row>
    <row r="32">
      <c r="G32" s="9">
        <f>IF(A32="","",IFERROR(F32/E32,0))</f>
        <v/>
      </c>
    </row>
    <row r="33">
      <c r="G33" s="9">
        <f>IF(A33="","",IFERROR(F33/E33,0))</f>
        <v/>
      </c>
    </row>
    <row r="34">
      <c r="G34" s="9">
        <f>IF(A34="","",IFERROR(F34/E34,0))</f>
        <v/>
      </c>
    </row>
    <row r="35">
      <c r="G35" s="9">
        <f>IF(A35="","",IFERROR(F35/E35,0))</f>
        <v/>
      </c>
    </row>
    <row r="36">
      <c r="G36" s="9">
        <f>IF(A36="","",IFERROR(F36/E36,0))</f>
        <v/>
      </c>
    </row>
    <row r="37">
      <c r="G37" s="9">
        <f>IF(A37="","",IFERROR(F37/E37,0))</f>
        <v/>
      </c>
    </row>
    <row r="38">
      <c r="G38" s="9">
        <f>IF(A38="","",IFERROR(F38/E38,0))</f>
        <v/>
      </c>
    </row>
    <row r="39">
      <c r="G39" s="9">
        <f>IF(A39="","",IFERROR(F39/E39,0))</f>
        <v/>
      </c>
    </row>
    <row r="40">
      <c r="G40" s="9">
        <f>IF(A40="","",IFERROR(F40/E40,0))</f>
        <v/>
      </c>
    </row>
    <row r="41">
      <c r="G41" s="9">
        <f>IF(A41="","",IFERROR(F41/E41,0))</f>
        <v/>
      </c>
    </row>
    <row r="42">
      <c r="G42" s="9">
        <f>IF(A42="","",IFERROR(F42/E42,0))</f>
        <v/>
      </c>
    </row>
    <row r="43">
      <c r="G43" s="9">
        <f>IF(A43="","",IFERROR(F43/E43,0))</f>
        <v/>
      </c>
    </row>
    <row r="44">
      <c r="G44" s="9">
        <f>IF(A44="","",IFERROR(F44/E44,0))</f>
        <v/>
      </c>
    </row>
    <row r="45">
      <c r="G45" s="9">
        <f>IF(A45="","",IFERROR(F45/E45,0))</f>
        <v/>
      </c>
    </row>
    <row r="46">
      <c r="G46" s="9">
        <f>IF(A46="","",IFERROR(F46/E46,0))</f>
        <v/>
      </c>
    </row>
    <row r="47">
      <c r="G47" s="9">
        <f>IF(A47="","",IFERROR(F47/E47,0))</f>
        <v/>
      </c>
    </row>
    <row r="48">
      <c r="G48" s="9">
        <f>IF(A48="","",IFERROR(F48/E48,0))</f>
        <v/>
      </c>
    </row>
    <row r="49">
      <c r="G49" s="9">
        <f>IF(A49="","",IFERROR(F49/E49,0))</f>
        <v/>
      </c>
    </row>
    <row r="50">
      <c r="G50" s="9">
        <f>IF(A50="","",IFERROR(F50/E50,0))</f>
        <v/>
      </c>
    </row>
    <row r="51">
      <c r="G51" s="9">
        <f>IF(A51="","",IFERROR(F51/E51,0))</f>
        <v/>
      </c>
    </row>
    <row r="52">
      <c r="G52" s="9">
        <f>IF(A52="","",IFERROR(F52/E52,0))</f>
        <v/>
      </c>
    </row>
    <row r="53">
      <c r="G53" s="9">
        <f>IF(A53="","",IFERROR(F53/E53,0))</f>
        <v/>
      </c>
    </row>
    <row r="54">
      <c r="G54" s="9">
        <f>IF(A54="","",IFERROR(F54/E54,0))</f>
        <v/>
      </c>
    </row>
    <row r="55">
      <c r="G55" s="9">
        <f>IF(A55="","",IFERROR(F55/E55,0))</f>
        <v/>
      </c>
    </row>
    <row r="56">
      <c r="G56" s="9">
        <f>IF(A56="","",IFERROR(F56/E56,0))</f>
        <v/>
      </c>
    </row>
    <row r="57">
      <c r="G57" s="9">
        <f>IF(A57="","",IFERROR(F57/E57,0))</f>
        <v/>
      </c>
    </row>
    <row r="58">
      <c r="G58" s="9">
        <f>IF(A58="","",IFERROR(F58/E58,0))</f>
        <v/>
      </c>
    </row>
    <row r="59">
      <c r="G59" s="9">
        <f>IF(A59="","",IFERROR(F59/E59,0))</f>
        <v/>
      </c>
    </row>
    <row r="60">
      <c r="G60" s="9">
        <f>IF(A60="","",IFERROR(F60/E60,0))</f>
        <v/>
      </c>
    </row>
    <row r="61">
      <c r="G61" s="9">
        <f>IF(A61="","",IFERROR(F61/E61,0))</f>
        <v/>
      </c>
    </row>
    <row r="62">
      <c r="G62" s="9">
        <f>IF(A62="","",IFERROR(F62/E62,0))</f>
        <v/>
      </c>
    </row>
    <row r="63">
      <c r="G63" s="9">
        <f>IF(A63="","",IFERROR(F63/E63,0))</f>
        <v/>
      </c>
    </row>
    <row r="64">
      <c r="G64" s="9">
        <f>IF(A64="","",IFERROR(F64/E64,0))</f>
        <v/>
      </c>
    </row>
    <row r="65">
      <c r="G65" s="9">
        <f>IF(A65="","",IFERROR(F65/E65,0))</f>
        <v/>
      </c>
    </row>
    <row r="66">
      <c r="G66" s="9">
        <f>IF(A66="","",IFERROR(F66/E66,0))</f>
        <v/>
      </c>
    </row>
    <row r="67">
      <c r="G67" s="9">
        <f>IF(A67="","",IFERROR(F67/E67,0))</f>
        <v/>
      </c>
    </row>
    <row r="68">
      <c r="G68" s="9">
        <f>IF(A68="","",IFERROR(F68/E68,0))</f>
        <v/>
      </c>
    </row>
    <row r="69">
      <c r="G69" s="9">
        <f>IF(A69="","",IFERROR(F69/E69,0))</f>
        <v/>
      </c>
    </row>
    <row r="70">
      <c r="G70" s="9">
        <f>IF(A70="","",IFERROR(F70/E70,0))</f>
        <v/>
      </c>
    </row>
    <row r="71">
      <c r="G71" s="9">
        <f>IF(A71="","",IFERROR(F71/E71,0))</f>
        <v/>
      </c>
    </row>
    <row r="72">
      <c r="G72" s="9">
        <f>IF(A72="","",IFERROR(F72/E72,0))</f>
        <v/>
      </c>
    </row>
    <row r="73">
      <c r="G73" s="9">
        <f>IF(A73="","",IFERROR(F73/E73,0))</f>
        <v/>
      </c>
    </row>
    <row r="74">
      <c r="G74" s="9">
        <f>IF(A74="","",IFERROR(F74/E74,0))</f>
        <v/>
      </c>
    </row>
    <row r="75">
      <c r="G75" s="9">
        <f>IF(A75="","",IFERROR(F75/E75,0))</f>
        <v/>
      </c>
    </row>
    <row r="76">
      <c r="G76" s="9">
        <f>IF(A76="","",IFERROR(F76/E76,0))</f>
        <v/>
      </c>
    </row>
    <row r="77">
      <c r="G77" s="9">
        <f>IF(A77="","",IFERROR(F77/E77,0))</f>
        <v/>
      </c>
    </row>
    <row r="78">
      <c r="G78" s="9">
        <f>IF(A78="","",IFERROR(F78/E78,0))</f>
        <v/>
      </c>
    </row>
    <row r="79">
      <c r="G79" s="9">
        <f>IF(A79="","",IFERROR(F79/E79,0))</f>
        <v/>
      </c>
    </row>
    <row r="80">
      <c r="G80" s="9">
        <f>IF(A80="","",IFERROR(F80/E80,0))</f>
        <v/>
      </c>
    </row>
    <row r="81">
      <c r="G81" s="9">
        <f>IF(A81="","",IFERROR(F81/E81,0))</f>
        <v/>
      </c>
    </row>
    <row r="82">
      <c r="G82" s="9">
        <f>IF(A82="","",IFERROR(F82/E82,0))</f>
        <v/>
      </c>
    </row>
    <row r="83">
      <c r="G83" s="9">
        <f>IF(A83="","",IFERROR(F83/E83,0))</f>
        <v/>
      </c>
    </row>
    <row r="84">
      <c r="G84" s="9">
        <f>IF(A84="","",IFERROR(F84/E84,0))</f>
        <v/>
      </c>
    </row>
    <row r="85">
      <c r="G85" s="9">
        <f>IF(A85="","",IFERROR(F85/E85,0))</f>
        <v/>
      </c>
    </row>
    <row r="86">
      <c r="G86" s="9">
        <f>IF(A86="","",IFERROR(F86/E86,0))</f>
        <v/>
      </c>
    </row>
    <row r="87">
      <c r="G87" s="9">
        <f>IF(A87="","",IFERROR(F87/E87,0))</f>
        <v/>
      </c>
    </row>
    <row r="88">
      <c r="G88" s="9">
        <f>IF(A88="","",IFERROR(F88/E88,0))</f>
        <v/>
      </c>
    </row>
    <row r="89">
      <c r="G89" s="9">
        <f>IF(A89="","",IFERROR(F89/E89,0))</f>
        <v/>
      </c>
    </row>
    <row r="90">
      <c r="G90" s="9">
        <f>IF(A90="","",IFERROR(F90/E90,0))</f>
        <v/>
      </c>
    </row>
    <row r="91">
      <c r="G91" s="9">
        <f>IF(A91="","",IFERROR(F91/E91,0))</f>
        <v/>
      </c>
    </row>
    <row r="92">
      <c r="G92" s="9">
        <f>IF(A92="","",IFERROR(F92/E92,0))</f>
        <v/>
      </c>
    </row>
    <row r="93">
      <c r="G93" s="9">
        <f>IF(A93="","",IFERROR(F93/E93,0))</f>
        <v/>
      </c>
    </row>
    <row r="94">
      <c r="G94" s="9">
        <f>IF(A94="","",IFERROR(F94/E94,0))</f>
        <v/>
      </c>
    </row>
    <row r="95">
      <c r="G95" s="9">
        <f>IF(A95="","",IFERROR(F95/E95,0))</f>
        <v/>
      </c>
    </row>
    <row r="96">
      <c r="G96" s="9">
        <f>IF(A96="","",IFERROR(F96/E96,0))</f>
        <v/>
      </c>
    </row>
    <row r="97">
      <c r="G97" s="9">
        <f>IF(A97="","",IFERROR(F97/E97,0))</f>
        <v/>
      </c>
    </row>
    <row r="98">
      <c r="G98" s="9">
        <f>IF(A98="","",IFERROR(F98/E98,0))</f>
        <v/>
      </c>
    </row>
    <row r="99">
      <c r="G99" s="9">
        <f>IF(A99="","",IFERROR(F99/E99,0))</f>
        <v/>
      </c>
    </row>
    <row r="100">
      <c r="G100" s="9">
        <f>IF(A100="","",IFERROR(F100/E100,0))</f>
        <v/>
      </c>
    </row>
    <row r="101">
      <c r="G101" s="9">
        <f>IF(A101="","",IFERROR(F101/E101,0))</f>
        <v/>
      </c>
    </row>
    <row r="102">
      <c r="G102" s="9">
        <f>IF(A102="","",IFERROR(F102/E102,0))</f>
        <v/>
      </c>
    </row>
    <row r="103">
      <c r="G103" s="9">
        <f>IF(A103="","",IFERROR(F103/E103,0))</f>
        <v/>
      </c>
    </row>
    <row r="104">
      <c r="G104" s="9">
        <f>IF(A104="","",IFERROR(F104/E104,0))</f>
        <v/>
      </c>
    </row>
    <row r="105">
      <c r="G105" s="9">
        <f>IF(A105="","",IFERROR(F105/E105,0))</f>
        <v/>
      </c>
    </row>
    <row r="106">
      <c r="G106" s="9">
        <f>IF(A106="","",IFERROR(F106/E106,0))</f>
        <v/>
      </c>
    </row>
    <row r="107">
      <c r="G107" s="9">
        <f>IF(A107="","",IFERROR(F107/E107,0))</f>
        <v/>
      </c>
    </row>
    <row r="108">
      <c r="G108" s="9">
        <f>IF(A108="","",IFERROR(F108/E108,0))</f>
        <v/>
      </c>
    </row>
    <row r="109">
      <c r="G109" s="9">
        <f>IF(A109="","",IFERROR(F109/E109,0))</f>
        <v/>
      </c>
    </row>
    <row r="110">
      <c r="G110" s="9">
        <f>IF(A110="","",IFERROR(F110/E110,0))</f>
        <v/>
      </c>
    </row>
    <row r="111">
      <c r="G111" s="9">
        <f>IF(A111="","",IFERROR(F111/E111,0))</f>
        <v/>
      </c>
    </row>
    <row r="112">
      <c r="G112" s="9">
        <f>IF(A112="","",IFERROR(F112/E112,0))</f>
        <v/>
      </c>
    </row>
    <row r="113">
      <c r="G113" s="9">
        <f>IF(A113="","",IFERROR(F113/E113,0))</f>
        <v/>
      </c>
    </row>
    <row r="114">
      <c r="G114" s="9">
        <f>IF(A114="","",IFERROR(F114/E114,0))</f>
        <v/>
      </c>
    </row>
    <row r="115">
      <c r="G115" s="9">
        <f>IF(A115="","",IFERROR(F115/E115,0))</f>
        <v/>
      </c>
    </row>
    <row r="116">
      <c r="G116" s="9">
        <f>IF(A116="","",IFERROR(F116/E116,0))</f>
        <v/>
      </c>
    </row>
    <row r="117">
      <c r="G117" s="9">
        <f>IF(A117="","",IFERROR(F117/E117,0))</f>
        <v/>
      </c>
    </row>
    <row r="118">
      <c r="G118" s="9">
        <f>IF(A118="","",IFERROR(F118/E118,0))</f>
        <v/>
      </c>
    </row>
    <row r="119">
      <c r="G119" s="9">
        <f>IF(A119="","",IFERROR(F119/E119,0))</f>
        <v/>
      </c>
    </row>
    <row r="120">
      <c r="G120" s="9">
        <f>IF(A120="","",IFERROR(F120/E120,0))</f>
        <v/>
      </c>
    </row>
    <row r="121">
      <c r="G121" s="9">
        <f>IF(A121="","",IFERROR(F121/E121,0))</f>
        <v/>
      </c>
    </row>
    <row r="122">
      <c r="G122" s="9">
        <f>IF(A122="","",IFERROR(F122/E122,0))</f>
        <v/>
      </c>
    </row>
    <row r="123">
      <c r="G123" s="9">
        <f>IF(A123="","",IFERROR(F123/E123,0))</f>
        <v/>
      </c>
    </row>
    <row r="124">
      <c r="G124" s="9">
        <f>IF(A124="","",IFERROR(F124/E124,0))</f>
        <v/>
      </c>
    </row>
    <row r="125">
      <c r="G125" s="9">
        <f>IF(A125="","",IFERROR(F125/E125,0))</f>
        <v/>
      </c>
    </row>
    <row r="126">
      <c r="G126" s="9">
        <f>IF(A126="","",IFERROR(F126/E126,0))</f>
        <v/>
      </c>
    </row>
    <row r="127">
      <c r="G127" s="9">
        <f>IF(A127="","",IFERROR(F127/E127,0))</f>
        <v/>
      </c>
    </row>
    <row r="128">
      <c r="G128" s="9">
        <f>IF(A128="","",IFERROR(F128/E128,0))</f>
        <v/>
      </c>
    </row>
    <row r="129">
      <c r="G129" s="9">
        <f>IF(A129="","",IFERROR(F129/E129,0))</f>
        <v/>
      </c>
    </row>
    <row r="130">
      <c r="G130" s="9">
        <f>IF(A130="","",IFERROR(F130/E130,0))</f>
        <v/>
      </c>
    </row>
    <row r="131">
      <c r="G131" s="9">
        <f>IF(A131="","",IFERROR(F131/E131,0))</f>
        <v/>
      </c>
    </row>
    <row r="132">
      <c r="G132" s="9">
        <f>IF(A132="","",IFERROR(F132/E132,0))</f>
        <v/>
      </c>
    </row>
    <row r="133">
      <c r="G133" s="9">
        <f>IF(A133="","",IFERROR(F133/E133,0))</f>
        <v/>
      </c>
    </row>
    <row r="134">
      <c r="G134" s="9">
        <f>IF(A134="","",IFERROR(F134/E134,0))</f>
        <v/>
      </c>
    </row>
    <row r="135">
      <c r="G135" s="9">
        <f>IF(A135="","",IFERROR(F135/E135,0))</f>
        <v/>
      </c>
    </row>
    <row r="136">
      <c r="G136" s="9">
        <f>IF(A136="","",IFERROR(F136/E136,0))</f>
        <v/>
      </c>
    </row>
    <row r="137">
      <c r="G137" s="9">
        <f>IF(A137="","",IFERROR(F137/E137,0))</f>
        <v/>
      </c>
    </row>
    <row r="138">
      <c r="G138" s="9">
        <f>IF(A138="","",IFERROR(F138/E138,0))</f>
        <v/>
      </c>
    </row>
    <row r="139">
      <c r="G139" s="9">
        <f>IF(A139="","",IFERROR(F139/E139,0))</f>
        <v/>
      </c>
    </row>
    <row r="140">
      <c r="G140" s="9">
        <f>IF(A140="","",IFERROR(F140/E140,0))</f>
        <v/>
      </c>
    </row>
    <row r="141">
      <c r="G141" s="9">
        <f>IF(A141="","",IFERROR(F141/E141,0))</f>
        <v/>
      </c>
    </row>
    <row r="142">
      <c r="G142" s="9">
        <f>IF(A142="","",IFERROR(F142/E142,0))</f>
        <v/>
      </c>
    </row>
    <row r="143">
      <c r="G143" s="9">
        <f>IF(A143="","",IFERROR(F143/E143,0))</f>
        <v/>
      </c>
    </row>
    <row r="144">
      <c r="G144" s="9">
        <f>IF(A144="","",IFERROR(F144/E144,0))</f>
        <v/>
      </c>
    </row>
    <row r="145">
      <c r="G145" s="9">
        <f>IF(A145="","",IFERROR(F145/E145,0))</f>
        <v/>
      </c>
    </row>
    <row r="146">
      <c r="G146" s="9">
        <f>IF(A146="","",IFERROR(F146/E146,0))</f>
        <v/>
      </c>
    </row>
    <row r="147">
      <c r="G147" s="9">
        <f>IF(A147="","",IFERROR(F147/E147,0))</f>
        <v/>
      </c>
    </row>
    <row r="148">
      <c r="G148" s="9">
        <f>IF(A148="","",IFERROR(F148/E148,0))</f>
        <v/>
      </c>
    </row>
    <row r="149">
      <c r="G149" s="9">
        <f>IF(A149="","",IFERROR(F149/E149,0))</f>
        <v/>
      </c>
    </row>
    <row r="150">
      <c r="G150" s="9">
        <f>IF(A150="","",IFERROR(F150/E150,0))</f>
        <v/>
      </c>
    </row>
    <row r="151">
      <c r="G151" s="9">
        <f>IF(A151="","",IFERROR(F151/E151,0))</f>
        <v/>
      </c>
    </row>
    <row r="152">
      <c r="G152" s="9">
        <f>IF(A152="","",IFERROR(F152/E152,0))</f>
        <v/>
      </c>
    </row>
    <row r="153">
      <c r="G153" s="9">
        <f>IF(A153="","",IFERROR(F153/E153,0))</f>
        <v/>
      </c>
    </row>
    <row r="154">
      <c r="G154" s="9">
        <f>IF(A154="","",IFERROR(F154/E154,0))</f>
        <v/>
      </c>
    </row>
    <row r="155">
      <c r="G155" s="9">
        <f>IF(A155="","",IFERROR(F155/E155,0))</f>
        <v/>
      </c>
    </row>
    <row r="156">
      <c r="G156" s="9">
        <f>IF(A156="","",IFERROR(F156/E156,0))</f>
        <v/>
      </c>
    </row>
    <row r="157">
      <c r="G157" s="9">
        <f>IF(A157="","",IFERROR(F157/E157,0))</f>
        <v/>
      </c>
    </row>
    <row r="158">
      <c r="G158" s="9">
        <f>IF(A158="","",IFERROR(F158/E158,0))</f>
        <v/>
      </c>
    </row>
    <row r="159">
      <c r="G159" s="9">
        <f>IF(A159="","",IFERROR(F159/E159,0))</f>
        <v/>
      </c>
    </row>
    <row r="160">
      <c r="G160" s="9">
        <f>IF(A160="","",IFERROR(F160/E160,0))</f>
        <v/>
      </c>
    </row>
    <row r="161">
      <c r="G161" s="9">
        <f>IF(A161="","",IFERROR(F161/E161,0))</f>
        <v/>
      </c>
    </row>
    <row r="162">
      <c r="G162" s="9">
        <f>IF(A162="","",IFERROR(F162/E162,0))</f>
        <v/>
      </c>
    </row>
    <row r="163">
      <c r="G163" s="9">
        <f>IF(A163="","",IFERROR(F163/E163,0))</f>
        <v/>
      </c>
    </row>
    <row r="164">
      <c r="G164" s="9">
        <f>IF(A164="","",IFERROR(F164/E164,0))</f>
        <v/>
      </c>
    </row>
    <row r="165">
      <c r="G165" s="9">
        <f>IF(A165="","",IFERROR(F165/E165,0))</f>
        <v/>
      </c>
    </row>
    <row r="166">
      <c r="G166" s="9">
        <f>IF(A166="","",IFERROR(F166/E166,0))</f>
        <v/>
      </c>
    </row>
    <row r="167">
      <c r="G167" s="9">
        <f>IF(A167="","",IFERROR(F167/E167,0))</f>
        <v/>
      </c>
    </row>
    <row r="168">
      <c r="G168" s="9">
        <f>IF(A168="","",IFERROR(F168/E168,0))</f>
        <v/>
      </c>
    </row>
    <row r="169">
      <c r="G169" s="9">
        <f>IF(A169="","",IFERROR(F169/E169,0))</f>
        <v/>
      </c>
    </row>
    <row r="170">
      <c r="G170" s="9">
        <f>IF(A170="","",IFERROR(F170/E170,0))</f>
        <v/>
      </c>
    </row>
    <row r="171">
      <c r="G171" s="9">
        <f>IF(A171="","",IFERROR(F171/E171,0))</f>
        <v/>
      </c>
    </row>
    <row r="172">
      <c r="G172" s="9">
        <f>IF(A172="","",IFERROR(F172/E172,0))</f>
        <v/>
      </c>
    </row>
    <row r="173">
      <c r="G173" s="9">
        <f>IF(A173="","",IFERROR(F173/E173,0))</f>
        <v/>
      </c>
    </row>
    <row r="174">
      <c r="G174" s="9">
        <f>IF(A174="","",IFERROR(F174/E174,0))</f>
        <v/>
      </c>
    </row>
    <row r="175">
      <c r="G175" s="9">
        <f>IF(A175="","",IFERROR(F175/E175,0))</f>
        <v/>
      </c>
    </row>
    <row r="176">
      <c r="G176" s="9">
        <f>IF(A176="","",IFERROR(F176/E176,0))</f>
        <v/>
      </c>
    </row>
    <row r="177">
      <c r="G177" s="9">
        <f>IF(A177="","",IFERROR(F177/E177,0))</f>
        <v/>
      </c>
    </row>
    <row r="178">
      <c r="G178" s="9">
        <f>IF(A178="","",IFERROR(F178/E178,0))</f>
        <v/>
      </c>
    </row>
    <row r="179">
      <c r="G179" s="9">
        <f>IF(A179="","",IFERROR(F179/E179,0))</f>
        <v/>
      </c>
    </row>
    <row r="180">
      <c r="G180" s="9">
        <f>IF(A180="","",IFERROR(F180/E180,0))</f>
        <v/>
      </c>
    </row>
    <row r="181">
      <c r="G181" s="9">
        <f>IF(A181="","",IFERROR(F181/E181,0))</f>
        <v/>
      </c>
    </row>
    <row r="182">
      <c r="G182" s="9">
        <f>IF(A182="","",IFERROR(F182/E182,0))</f>
        <v/>
      </c>
    </row>
    <row r="183">
      <c r="G183" s="9">
        <f>IF(A183="","",IFERROR(F183/E183,0))</f>
        <v/>
      </c>
    </row>
    <row r="184">
      <c r="G184" s="9">
        <f>IF(A184="","",IFERROR(F184/E184,0))</f>
        <v/>
      </c>
    </row>
    <row r="185">
      <c r="G185" s="9">
        <f>IF(A185="","",IFERROR(F185/E185,0))</f>
        <v/>
      </c>
    </row>
    <row r="186">
      <c r="G186" s="9">
        <f>IF(A186="","",IFERROR(F186/E186,0))</f>
        <v/>
      </c>
    </row>
    <row r="187">
      <c r="G187" s="9">
        <f>IF(A187="","",IFERROR(F187/E187,0))</f>
        <v/>
      </c>
    </row>
    <row r="188">
      <c r="G188" s="9">
        <f>IF(A188="","",IFERROR(F188/E188,0))</f>
        <v/>
      </c>
    </row>
    <row r="189">
      <c r="G189" s="9">
        <f>IF(A189="","",IFERROR(F189/E189,0))</f>
        <v/>
      </c>
    </row>
    <row r="190">
      <c r="G190" s="9">
        <f>IF(A190="","",IFERROR(F190/E190,0))</f>
        <v/>
      </c>
    </row>
    <row r="191">
      <c r="G191" s="9">
        <f>IF(A191="","",IFERROR(F191/E191,0))</f>
        <v/>
      </c>
    </row>
    <row r="192">
      <c r="G192" s="9">
        <f>IF(A192="","",IFERROR(F192/E192,0))</f>
        <v/>
      </c>
    </row>
    <row r="193">
      <c r="G193" s="9">
        <f>IF(A193="","",IFERROR(F193/E193,0))</f>
        <v/>
      </c>
    </row>
    <row r="194">
      <c r="G194" s="9">
        <f>IF(A194="","",IFERROR(F194/E194,0))</f>
        <v/>
      </c>
    </row>
    <row r="195">
      <c r="G195" s="9">
        <f>IF(A195="","",IFERROR(F195/E195,0))</f>
        <v/>
      </c>
    </row>
    <row r="196">
      <c r="G196" s="9">
        <f>IF(A196="","",IFERROR(F196/E196,0))</f>
        <v/>
      </c>
    </row>
    <row r="197">
      <c r="G197" s="9">
        <f>IF(A197="","",IFERROR(F197/E197,0))</f>
        <v/>
      </c>
    </row>
    <row r="198">
      <c r="G198" s="9">
        <f>IF(A198="","",IFERROR(F198/E198,0))</f>
        <v/>
      </c>
    </row>
    <row r="199">
      <c r="G199" s="9">
        <f>IF(A199="","",IFERROR(F199/E199,0))</f>
        <v/>
      </c>
    </row>
    <row r="200">
      <c r="G200" s="9">
        <f>IF(A200="","",IFERROR(F200/E200,0))</f>
        <v/>
      </c>
    </row>
    <row r="201">
      <c r="G201" s="9">
        <f>IF(A201="","",IFERROR(F201/E201,0))</f>
        <v/>
      </c>
    </row>
  </sheetData>
  <dataValidations count="1">
    <dataValidation sqref="B2:B201" showDropDown="0" showInputMessage="0" showErrorMessage="0" allowBlank="1" type="list">
      <formula1>"Human,Agent,Human + agent"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2026-10-17T05:24:02Z</dcterms:created>
  <dcterms:modified xmlns:dcterms="http://purl.org/dc/terms/" xmlns:xsi="http://www.w3.org/2001/XMLSchema-instance" xsi:type="dcterms:W3CDTF">2026-10-17T05:24:03Z</dcterms:modified>
</cp:coreProperties>
</file>