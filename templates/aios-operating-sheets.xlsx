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tage &amp; Fit" sheetId="1" state="visible" r:id="rId1"/>
    <sheet xmlns:r="http://schemas.openxmlformats.org/officeDocument/2006/relationships" name="Offer Scorecard (Product Select" sheetId="2" state="visible" r:id="rId2"/>
    <sheet xmlns:r="http://schemas.openxmlformats.org/officeDocument/2006/relationships" name="Unit Economics (price → margin)" sheetId="3" state="visible" r:id="rId3"/>
    <sheet xmlns:r="http://schemas.openxmlformats.org/officeDocument/2006/relationships" name="Selling-Point Sprint (S-A-B-C)" sheetId="4" state="visible" r:id="rId4"/>
    <sheet xmlns:r="http://schemas.openxmlformats.org/officeDocument/2006/relationships" name="Hook Library" sheetId="5" state="visible" r:id="rId5"/>
    <sheet xmlns:r="http://schemas.openxmlformats.org/officeDocument/2006/relationships" name="Content Positioning Board" sheetId="6" state="visible" r:id="rId6"/>
    <sheet xmlns:r="http://schemas.openxmlformats.org/officeDocument/2006/relationships" name="Asset Log &amp; Triage" sheetId="7" state="visible" r:id="rId7"/>
    <sheet xmlns:r="http://schemas.openxmlformats.org/officeDocument/2006/relationships" name="Creator Pipeline" sheetId="8" state="visible" r:id="rId8"/>
    <sheet xmlns:r="http://schemas.openxmlformats.org/officeDocument/2006/relationships" name="Paid Ads Diagnosis" sheetId="9" state="visible" r:id="rId9"/>
    <sheet xmlns:r="http://schemas.openxmlformats.org/officeDocument/2006/relationships" name="Hypothesis Ledger" sheetId="10" state="visible" r:id="rId10"/>
    <sheet xmlns:r="http://schemas.openxmlformats.org/officeDocument/2006/relationships" name="30-Day Test Sprint" sheetId="11" state="visible" r:id="rId11"/>
    <sheet xmlns:r="http://schemas.openxmlformats.org/officeDocument/2006/relationships" name="Launch Plan (project kickoff)" sheetId="12" state="visible" r:id="rId12"/>
    <sheet xmlns:r="http://schemas.openxmlformats.org/officeDocument/2006/relationships" name="Weekly Review - Retrospective" sheetId="13" state="visible" r:id="rId13"/>
    <sheet xmlns:r="http://schemas.openxmlformats.org/officeDocument/2006/relationships" name="Role Manual &amp; KPI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pivotButton="0" quotePrefix="0" xfId="0"/>
    <xf numFmtId="164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2" fillId="0" borderId="0" pivotButton="0" quotePrefix="0" xfId="0"/>
    <xf numFmtId="165" fontId="0" fillId="0" borderId="0" pivotButton="0" quotePrefix="0" xfId="0"/>
    <xf numFmtId="2" fontId="0" fillId="4" borderId="0" pivotButton="0" quotePrefix="0" xfId="0"/>
    <xf numFmtId="164" fontId="2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37.14285714285715" customWidth="1" min="9" max="9"/>
    <col width="34.28571428571428" customWidth="1" min="10" max="10"/>
  </cols>
  <sheetData>
    <row r="1" ht="48" customHeight="1">
      <c r="A1" s="1" t="inlineStr">
        <is>
          <t>Market / channel</t>
        </is>
      </c>
      <c r="B1" s="1" t="inlineStr">
        <is>
          <t>Stage (1 creator-led · 2 content+paid · 3 live/community/brand · 4 relationships)</t>
        </is>
      </c>
      <c r="C1" s="1" t="inlineStr">
        <is>
          <t>Demand size (1-5)</t>
        </is>
      </c>
      <c r="D1" s="1" t="inlineStr">
        <is>
          <t>Avg order value (1-5)</t>
        </is>
      </c>
      <c r="E1" s="1" t="inlineStr">
        <is>
          <t>Competition (1-5, 5=crowded)</t>
        </is>
      </c>
      <c r="F1" s="1" t="inlineStr">
        <is>
          <t>Our capability fit (1-5)</t>
        </is>
      </c>
      <c r="G1" s="1" t="inlineStr">
        <is>
          <t>Barriers: customs/tax/standards (1-5, 5=hard)</t>
        </is>
      </c>
      <c r="H1" s="2" t="inlineStr">
        <is>
          <t>Fit score ƒ</t>
        </is>
      </c>
      <c r="I1" s="2" t="inlineStr">
        <is>
          <t>Implied play ƒ</t>
        </is>
      </c>
      <c r="J1" s="1" t="inlineStr">
        <is>
          <t>Tacit knowledge / local norms to learn</t>
        </is>
      </c>
    </row>
    <row r="2">
      <c r="A2" t="inlineStr">
        <is>
          <t>Example: new region on a short-video shop</t>
        </is>
      </c>
      <c r="B2" t="inlineStr">
        <is>
          <t>1</t>
        </is>
      </c>
      <c r="C2" t="n">
        <v>3</v>
      </c>
      <c r="D2" t="n">
        <v>4</v>
      </c>
      <c r="E2" t="n">
        <v>2</v>
      </c>
      <c r="F2" t="n">
        <v>3</v>
      </c>
      <c r="G2" t="n">
        <v>3</v>
      </c>
      <c r="H2" s="3">
        <f>IF(A2="","",ROUND((C2+D2+2*F2)-(E2+G2)/2,1))</f>
        <v/>
      </c>
      <c r="I2" s="3">
        <f>IF(A2="","",IF(B2="1","Creator seeding; hire partnerships",IF(B2="2","Own short video + paid; hire shoot/edit + media buyer",IF(B2="3","Live, community, brand, multi-channel",IF(B2="4","Manage creator network as distributors","")))))</f>
        <v/>
      </c>
      <c r="J2" t="inlineStr">
        <is>
          <t>Plug/size standards, returns norms</t>
        </is>
      </c>
    </row>
    <row r="3">
      <c r="H3" s="3">
        <f>IF(A3="","",ROUND((C3+D3+2*F3)-(E3+G3)/2,1))</f>
        <v/>
      </c>
      <c r="I3" s="3">
        <f>IF(A3="","",IF(B3="1","Creator seeding; hire partnerships",IF(B3="2","Own short video + paid; hire shoot/edit + media buyer",IF(B3="3","Live, community, brand, multi-channel",IF(B3="4","Manage creator network as distributors","")))))</f>
        <v/>
      </c>
    </row>
    <row r="4">
      <c r="H4" s="3">
        <f>IF(A4="","",ROUND((C4+D4+2*F4)-(E4+G4)/2,1))</f>
        <v/>
      </c>
      <c r="I4" s="3">
        <f>IF(A4="","",IF(B4="1","Creator seeding; hire partnerships",IF(B4="2","Own short video + paid; hire shoot/edit + media buyer",IF(B4="3","Live, community, brand, multi-channel",IF(B4="4","Manage creator network as distributors","")))))</f>
        <v/>
      </c>
    </row>
    <row r="5">
      <c r="H5" s="3">
        <f>IF(A5="","",ROUND((C5+D5+2*F5)-(E5+G5)/2,1))</f>
        <v/>
      </c>
      <c r="I5" s="3">
        <f>IF(A5="","",IF(B5="1","Creator seeding; hire partnerships",IF(B5="2","Own short video + paid; hire shoot/edit + media buyer",IF(B5="3","Live, community, brand, multi-channel",IF(B5="4","Manage creator network as distributors","")))))</f>
        <v/>
      </c>
    </row>
    <row r="6">
      <c r="H6" s="3">
        <f>IF(A6="","",ROUND((C6+D6+2*F6)-(E6+G6)/2,1))</f>
        <v/>
      </c>
      <c r="I6" s="3">
        <f>IF(A6="","",IF(B6="1","Creator seeding; hire partnerships",IF(B6="2","Own short video + paid; hire shoot/edit + media buyer",IF(B6="3","Live, community, brand, multi-channel",IF(B6="4","Manage creator network as distributors","")))))</f>
        <v/>
      </c>
    </row>
    <row r="7">
      <c r="H7" s="3">
        <f>IF(A7="","",ROUND((C7+D7+2*F7)-(E7+G7)/2,1))</f>
        <v/>
      </c>
      <c r="I7" s="3">
        <f>IF(A7="","",IF(B7="1","Creator seeding; hire partnerships",IF(B7="2","Own short video + paid; hire shoot/edit + media buyer",IF(B7="3","Live, community, brand, multi-channel",IF(B7="4","Manage creator network as distributors","")))))</f>
        <v/>
      </c>
    </row>
    <row r="8">
      <c r="H8" s="3">
        <f>IF(A8="","",ROUND((C8+D8+2*F8)-(E8+G8)/2,1))</f>
        <v/>
      </c>
      <c r="I8" s="3">
        <f>IF(A8="","",IF(B8="1","Creator seeding; hire partnerships",IF(B8="2","Own short video + paid; hire shoot/edit + media buyer",IF(B8="3","Live, community, brand, multi-channel",IF(B8="4","Manage creator network as distributors","")))))</f>
        <v/>
      </c>
    </row>
    <row r="9">
      <c r="H9" s="3">
        <f>IF(A9="","",ROUND((C9+D9+2*F9)-(E9+G9)/2,1))</f>
        <v/>
      </c>
      <c r="I9" s="3">
        <f>IF(A9="","",IF(B9="1","Creator seeding; hire partnerships",IF(B9="2","Own short video + paid; hire shoot/edit + media buyer",IF(B9="3","Live, community, brand, multi-channel",IF(B9="4","Manage creator network as distributors","")))))</f>
        <v/>
      </c>
    </row>
    <row r="10">
      <c r="H10" s="3">
        <f>IF(A10="","",ROUND((C10+D10+2*F10)-(E10+G10)/2,1))</f>
        <v/>
      </c>
      <c r="I10" s="3">
        <f>IF(A10="","",IF(B10="1","Creator seeding; hire partnerships",IF(B10="2","Own short video + paid; hire shoot/edit + media buyer",IF(B10="3","Live, community, brand, multi-channel",IF(B10="4","Manage creator network as distributors","")))))</f>
        <v/>
      </c>
    </row>
    <row r="11">
      <c r="H11" s="3">
        <f>IF(A11="","",ROUND((C11+D11+2*F11)-(E11+G11)/2,1))</f>
        <v/>
      </c>
      <c r="I11" s="3">
        <f>IF(A11="","",IF(B11="1","Creator seeding; hire partnerships",IF(B11="2","Own short video + paid; hire shoot/edit + media buyer",IF(B11="3","Live, community, brand, multi-channel",IF(B11="4","Manage creator network as distributors","")))))</f>
        <v/>
      </c>
    </row>
    <row r="12">
      <c r="H12" s="3">
        <f>IF(A12="","",ROUND((C12+D12+2*F12)-(E12+G12)/2,1))</f>
        <v/>
      </c>
      <c r="I12" s="3">
        <f>IF(A12="","",IF(B12="1","Creator seeding; hire partnerships",IF(B12="2","Own short video + paid; hire shoot/edit + media buyer",IF(B12="3","Live, community, brand, multi-channel",IF(B12="4","Manage creator network as distributors","")))))</f>
        <v/>
      </c>
    </row>
    <row r="13">
      <c r="H13" s="3">
        <f>IF(A13="","",ROUND((C13+D13+2*F13)-(E13+G13)/2,1))</f>
        <v/>
      </c>
      <c r="I13" s="3">
        <f>IF(A13="","",IF(B13="1","Creator seeding; hire partnerships",IF(B13="2","Own short video + paid; hire shoot/edit + media buyer",IF(B13="3","Live, community, brand, multi-channel",IF(B13="4","Manage creator network as distributors","")))))</f>
        <v/>
      </c>
    </row>
    <row r="14">
      <c r="H14" s="3">
        <f>IF(A14="","",ROUND((C14+D14+2*F14)-(E14+G14)/2,1))</f>
        <v/>
      </c>
      <c r="I14" s="3">
        <f>IF(A14="","",IF(B14="1","Creator seeding; hire partnerships",IF(B14="2","Own short video + paid; hire shoot/edit + media buyer",IF(B14="3","Live, community, brand, multi-channel",IF(B14="4","Manage creator network as distributors","")))))</f>
        <v/>
      </c>
    </row>
    <row r="15">
      <c r="H15" s="3">
        <f>IF(A15="","",ROUND((C15+D15+2*F15)-(E15+G15)/2,1))</f>
        <v/>
      </c>
      <c r="I15" s="3">
        <f>IF(A15="","",IF(B15="1","Creator seeding; hire partnerships",IF(B15="2","Own short video + paid; hire shoot/edit + media buyer",IF(B15="3","Live, community, brand, multi-channel",IF(B15="4","Manage creator network as distributors","")))))</f>
        <v/>
      </c>
    </row>
    <row r="16">
      <c r="H16" s="3">
        <f>IF(A16="","",ROUND((C16+D16+2*F16)-(E16+G16)/2,1))</f>
        <v/>
      </c>
      <c r="I16" s="3">
        <f>IF(A16="","",IF(B16="1","Creator seeding; hire partnerships",IF(B16="2","Own short video + paid; hire shoot/edit + media buyer",IF(B16="3","Live, community, brand, multi-channel",IF(B16="4","Manage creator network as distributors","")))))</f>
        <v/>
      </c>
    </row>
    <row r="17">
      <c r="H17" s="3">
        <f>IF(A17="","",ROUND((C17+D17+2*F17)-(E17+G17)/2,1))</f>
        <v/>
      </c>
      <c r="I17" s="3">
        <f>IF(A17="","",IF(B17="1","Creator seeding; hire partnerships",IF(B17="2","Own short video + paid; hire shoot/edit + media buyer",IF(B17="3","Live, community, brand, multi-channel",IF(B17="4","Manage creator network as distributors","")))))</f>
        <v/>
      </c>
    </row>
    <row r="18">
      <c r="H18" s="3">
        <f>IF(A18="","",ROUND((C18+D18+2*F18)-(E18+G18)/2,1))</f>
        <v/>
      </c>
      <c r="I18" s="3">
        <f>IF(A18="","",IF(B18="1","Creator seeding; hire partnerships",IF(B18="2","Own short video + paid; hire shoot/edit + media buyer",IF(B18="3","Live, community, brand, multi-channel",IF(B18="4","Manage creator network as distributors","")))))</f>
        <v/>
      </c>
    </row>
    <row r="19">
      <c r="H19" s="3">
        <f>IF(A19="","",ROUND((C19+D19+2*F19)-(E19+G19)/2,1))</f>
        <v/>
      </c>
      <c r="I19" s="3">
        <f>IF(A19="","",IF(B19="1","Creator seeding; hire partnerships",IF(B19="2","Own short video + paid; hire shoot/edit + media buyer",IF(B19="3","Live, community, brand, multi-channel",IF(B19="4","Manage creator network as distributors","")))))</f>
        <v/>
      </c>
    </row>
    <row r="20">
      <c r="H20" s="3">
        <f>IF(A20="","",ROUND((C20+D20+2*F20)-(E20+G20)/2,1))</f>
        <v/>
      </c>
      <c r="I20" s="3">
        <f>IF(A20="","",IF(B20="1","Creator seeding; hire partnerships",IF(B20="2","Own short video + paid; hire shoot/edit + media buyer",IF(B20="3","Live, community, brand, multi-channel",IF(B20="4","Manage creator network as distributors","")))))</f>
        <v/>
      </c>
    </row>
    <row r="21">
      <c r="H21" s="3">
        <f>IF(A21="","",ROUND((C21+D21+2*F21)-(E21+G21)/2,1))</f>
        <v/>
      </c>
      <c r="I21" s="3">
        <f>IF(A21="","",IF(B21="1","Creator seeding; hire partnerships",IF(B21="2","Own short video + paid; hire shoot/edit + media buyer",IF(B21="3","Live, community, brand, multi-channel",IF(B21="4","Manage creator network as distributors","")))))</f>
        <v/>
      </c>
    </row>
    <row r="22">
      <c r="H22" s="3">
        <f>IF(A22="","",ROUND((C22+D22+2*F22)-(E22+G22)/2,1))</f>
        <v/>
      </c>
      <c r="I22" s="3">
        <f>IF(A22="","",IF(B22="1","Creator seeding; hire partnerships",IF(B22="2","Own short video + paid; hire shoot/edit + media buyer",IF(B22="3","Live, community, brand, multi-channel",IF(B22="4","Manage creator network as distributors","")))))</f>
        <v/>
      </c>
    </row>
    <row r="23">
      <c r="H23" s="3">
        <f>IF(A23="","",ROUND((C23+D23+2*F23)-(E23+G23)/2,1))</f>
        <v/>
      </c>
      <c r="I23" s="3">
        <f>IF(A23="","",IF(B23="1","Creator seeding; hire partnerships",IF(B23="2","Own short video + paid; hire shoot/edit + media buyer",IF(B23="3","Live, community, brand, multi-channel",IF(B23="4","Manage creator network as distributors","")))))</f>
        <v/>
      </c>
    </row>
    <row r="24">
      <c r="H24" s="3">
        <f>IF(A24="","",ROUND((C24+D24+2*F24)-(E24+G24)/2,1))</f>
        <v/>
      </c>
      <c r="I24" s="3">
        <f>IF(A24="","",IF(B24="1","Creator seeding; hire partnerships",IF(B24="2","Own short video + paid; hire shoot/edit + media buyer",IF(B24="3","Live, community, brand, multi-channel",IF(B24="4","Manage creator network as distributors","")))))</f>
        <v/>
      </c>
    </row>
    <row r="25">
      <c r="H25" s="3">
        <f>IF(A25="","",ROUND((C25+D25+2*F25)-(E25+G25)/2,1))</f>
        <v/>
      </c>
      <c r="I25" s="3">
        <f>IF(A25="","",IF(B25="1","Creator seeding; hire partnerships",IF(B25="2","Own short video + paid; hire shoot/edit + media buyer",IF(B25="3","Live, community, brand, multi-channel",IF(B25="4","Manage creator network as distributors","")))))</f>
        <v/>
      </c>
    </row>
    <row r="26">
      <c r="H26" s="3">
        <f>IF(A26="","",ROUND((C26+D26+2*F26)-(E26+G26)/2,1))</f>
        <v/>
      </c>
      <c r="I26" s="3">
        <f>IF(A26="","",IF(B26="1","Creator seeding; hire partnerships",IF(B26="2","Own short video + paid; hire shoot/edit + media buyer",IF(B26="3","Live, community, brand, multi-channel",IF(B26="4","Manage creator network as distributors","")))))</f>
        <v/>
      </c>
    </row>
    <row r="27">
      <c r="H27" s="3">
        <f>IF(A27="","",ROUND((C27+D27+2*F27)-(E27+G27)/2,1))</f>
        <v/>
      </c>
      <c r="I27" s="3">
        <f>IF(A27="","",IF(B27="1","Creator seeding; hire partnerships",IF(B27="2","Own short video + paid; hire shoot/edit + media buyer",IF(B27="3","Live, community, brand, multi-channel",IF(B27="4","Manage creator network as distributors","")))))</f>
        <v/>
      </c>
    </row>
    <row r="28">
      <c r="H28" s="3">
        <f>IF(A28="","",ROUND((C28+D28+2*F28)-(E28+G28)/2,1))</f>
        <v/>
      </c>
      <c r="I28" s="3">
        <f>IF(A28="","",IF(B28="1","Creator seeding; hire partnerships",IF(B28="2","Own short video + paid; hire shoot/edit + media buyer",IF(B28="3","Live, community, brand, multi-channel",IF(B28="4","Manage creator network as distributors","")))))</f>
        <v/>
      </c>
    </row>
    <row r="29">
      <c r="H29" s="3">
        <f>IF(A29="","",ROUND((C29+D29+2*F29)-(E29+G29)/2,1))</f>
        <v/>
      </c>
      <c r="I29" s="3">
        <f>IF(A29="","",IF(B29="1","Creator seeding; hire partnerships",IF(B29="2","Own short video + paid; hire shoot/edit + media buyer",IF(B29="3","Live, community, brand, multi-channel",IF(B29="4","Manage creator network as distributors","")))))</f>
        <v/>
      </c>
    </row>
    <row r="30">
      <c r="H30" s="3">
        <f>IF(A30="","",ROUND((C30+D30+2*F30)-(E30+G30)/2,1))</f>
        <v/>
      </c>
      <c r="I30" s="3">
        <f>IF(A30="","",IF(B30="1","Creator seeding; hire partnerships",IF(B30="2","Own short video + paid; hire shoot/edit + media buyer",IF(B30="3","Live, community, brand, multi-channel",IF(B30="4","Manage creator network as distributors","")))))</f>
        <v/>
      </c>
    </row>
    <row r="31">
      <c r="H31" s="3">
        <f>IF(A31="","",ROUND((C31+D31+2*F31)-(E31+G31)/2,1))</f>
        <v/>
      </c>
      <c r="I31" s="3">
        <f>IF(A31="","",IF(B31="1","Creator seeding; hire partnerships",IF(B31="2","Own short video + paid; hire shoot/edit + media buyer",IF(B31="3","Live, community, brand, multi-channel",IF(B31="4","Manage creator network as distributors","")))))</f>
        <v/>
      </c>
    </row>
    <row r="32">
      <c r="H32" s="3">
        <f>IF(A32="","",ROUND((C32+D32+2*F32)-(E32+G32)/2,1))</f>
        <v/>
      </c>
      <c r="I32" s="3">
        <f>IF(A32="","",IF(B32="1","Creator seeding; hire partnerships",IF(B32="2","Own short video + paid; hire shoot/edit + media buyer",IF(B32="3","Live, community, brand, multi-channel",IF(B32="4","Manage creator network as distributors","")))))</f>
        <v/>
      </c>
    </row>
    <row r="33">
      <c r="H33" s="3">
        <f>IF(A33="","",ROUND((C33+D33+2*F33)-(E33+G33)/2,1))</f>
        <v/>
      </c>
      <c r="I33" s="3">
        <f>IF(A33="","",IF(B33="1","Creator seeding; hire partnerships",IF(B33="2","Own short video + paid; hire shoot/edit + media buyer",IF(B33="3","Live, community, brand, multi-channel",IF(B33="4","Manage creator network as distributors","")))))</f>
        <v/>
      </c>
    </row>
    <row r="34">
      <c r="H34" s="3">
        <f>IF(A34="","",ROUND((C34+D34+2*F34)-(E34+G34)/2,1))</f>
        <v/>
      </c>
      <c r="I34" s="3">
        <f>IF(A34="","",IF(B34="1","Creator seeding; hire partnerships",IF(B34="2","Own short video + paid; hire shoot/edit + media buyer",IF(B34="3","Live, community, brand, multi-channel",IF(B34="4","Manage creator network as distributors","")))))</f>
        <v/>
      </c>
    </row>
    <row r="35">
      <c r="H35" s="3">
        <f>IF(A35="","",ROUND((C35+D35+2*F35)-(E35+G35)/2,1))</f>
        <v/>
      </c>
      <c r="I35" s="3">
        <f>IF(A35="","",IF(B35="1","Creator seeding; hire partnerships",IF(B35="2","Own short video + paid; hire shoot/edit + media buyer",IF(B35="3","Live, community, brand, multi-channel",IF(B35="4","Manage creator network as distributors","")))))</f>
        <v/>
      </c>
    </row>
    <row r="36">
      <c r="H36" s="3">
        <f>IF(A36="","",ROUND((C36+D36+2*F36)-(E36+G36)/2,1))</f>
        <v/>
      </c>
      <c r="I36" s="3">
        <f>IF(A36="","",IF(B36="1","Creator seeding; hire partnerships",IF(B36="2","Own short video + paid; hire shoot/edit + media buyer",IF(B36="3","Live, community, brand, multi-channel",IF(B36="4","Manage creator network as distributors","")))))</f>
        <v/>
      </c>
    </row>
    <row r="37">
      <c r="H37" s="3">
        <f>IF(A37="","",ROUND((C37+D37+2*F37)-(E37+G37)/2,1))</f>
        <v/>
      </c>
      <c r="I37" s="3">
        <f>IF(A37="","",IF(B37="1","Creator seeding; hire partnerships",IF(B37="2","Own short video + paid; hire shoot/edit + media buyer",IF(B37="3","Live, community, brand, multi-channel",IF(B37="4","Manage creator network as distributors","")))))</f>
        <v/>
      </c>
    </row>
    <row r="38">
      <c r="H38" s="3">
        <f>IF(A38="","",ROUND((C38+D38+2*F38)-(E38+G38)/2,1))</f>
        <v/>
      </c>
      <c r="I38" s="3">
        <f>IF(A38="","",IF(B38="1","Creator seeding; hire partnerships",IF(B38="2","Own short video + paid; hire shoot/edit + media buyer",IF(B38="3","Live, community, brand, multi-channel",IF(B38="4","Manage creator network as distributors","")))))</f>
        <v/>
      </c>
    </row>
    <row r="39">
      <c r="H39" s="3">
        <f>IF(A39="","",ROUND((C39+D39+2*F39)-(E39+G39)/2,1))</f>
        <v/>
      </c>
      <c r="I39" s="3">
        <f>IF(A39="","",IF(B39="1","Creator seeding; hire partnerships",IF(B39="2","Own short video + paid; hire shoot/edit + media buyer",IF(B39="3","Live, community, brand, multi-channel",IF(B39="4","Manage creator network as distributors","")))))</f>
        <v/>
      </c>
    </row>
    <row r="40">
      <c r="H40" s="3">
        <f>IF(A40="","",ROUND((C40+D40+2*F40)-(E40+G40)/2,1))</f>
        <v/>
      </c>
      <c r="I40" s="3">
        <f>IF(A40="","",IF(B40="1","Creator seeding; hire partnerships",IF(B40="2","Own short video + paid; hire shoot/edit + media buyer",IF(B40="3","Live, community, brand, multi-channel",IF(B40="4","Manage creator network as distributors","")))))</f>
        <v/>
      </c>
    </row>
    <row r="41">
      <c r="H41" s="3">
        <f>IF(A41="","",ROUND((C41+D41+2*F41)-(E41+G41)/2,1))</f>
        <v/>
      </c>
      <c r="I41" s="3">
        <f>IF(A41="","",IF(B41="1","Creator seeding; hire partnerships",IF(B41="2","Own short video + paid; hire shoot/edit + media buyer",IF(B41="3","Live, community, brand, multi-channel",IF(B41="4","Manage creator network as distributors","")))))</f>
        <v/>
      </c>
    </row>
    <row r="42">
      <c r="H42" s="3">
        <f>IF(A42="","",ROUND((C42+D42+2*F42)-(E42+G42)/2,1))</f>
        <v/>
      </c>
      <c r="I42" s="3">
        <f>IF(A42="","",IF(B42="1","Creator seeding; hire partnerships",IF(B42="2","Own short video + paid; hire shoot/edit + media buyer",IF(B42="3","Live, community, brand, multi-channel",IF(B42="4","Manage creator network as distributors","")))))</f>
        <v/>
      </c>
    </row>
    <row r="43">
      <c r="H43" s="3">
        <f>IF(A43="","",ROUND((C43+D43+2*F43)-(E43+G43)/2,1))</f>
        <v/>
      </c>
      <c r="I43" s="3">
        <f>IF(A43="","",IF(B43="1","Creator seeding; hire partnerships",IF(B43="2","Own short video + paid; hire shoot/edit + media buyer",IF(B43="3","Live, community, brand, multi-channel",IF(B43="4","Manage creator network as distributors","")))))</f>
        <v/>
      </c>
    </row>
    <row r="44">
      <c r="H44" s="3">
        <f>IF(A44="","",ROUND((C44+D44+2*F44)-(E44+G44)/2,1))</f>
        <v/>
      </c>
      <c r="I44" s="3">
        <f>IF(A44="","",IF(B44="1","Creator seeding; hire partnerships",IF(B44="2","Own short video + paid; hire shoot/edit + media buyer",IF(B44="3","Live, community, brand, multi-channel",IF(B44="4","Manage creator network as distributors","")))))</f>
        <v/>
      </c>
    </row>
    <row r="45">
      <c r="H45" s="3">
        <f>IF(A45="","",ROUND((C45+D45+2*F45)-(E45+G45)/2,1))</f>
        <v/>
      </c>
      <c r="I45" s="3">
        <f>IF(A45="","",IF(B45="1","Creator seeding; hire partnerships",IF(B45="2","Own short video + paid; hire shoot/edit + media buyer",IF(B45="3","Live, community, brand, multi-channel",IF(B45="4","Manage creator network as distributors","")))))</f>
        <v/>
      </c>
    </row>
    <row r="46">
      <c r="H46" s="3">
        <f>IF(A46="","",ROUND((C46+D46+2*F46)-(E46+G46)/2,1))</f>
        <v/>
      </c>
      <c r="I46" s="3">
        <f>IF(A46="","",IF(B46="1","Creator seeding; hire partnerships",IF(B46="2","Own short video + paid; hire shoot/edit + media buyer",IF(B46="3","Live, community, brand, multi-channel",IF(B46="4","Manage creator network as distributors","")))))</f>
        <v/>
      </c>
    </row>
    <row r="47">
      <c r="H47" s="3">
        <f>IF(A47="","",ROUND((C47+D47+2*F47)-(E47+G47)/2,1))</f>
        <v/>
      </c>
      <c r="I47" s="3">
        <f>IF(A47="","",IF(B47="1","Creator seeding; hire partnerships",IF(B47="2","Own short video + paid; hire shoot/edit + media buyer",IF(B47="3","Live, community, brand, multi-channel",IF(B47="4","Manage creator network as distributors","")))))</f>
        <v/>
      </c>
    </row>
    <row r="48">
      <c r="H48" s="3">
        <f>IF(A48="","",ROUND((C48+D48+2*F48)-(E48+G48)/2,1))</f>
        <v/>
      </c>
      <c r="I48" s="3">
        <f>IF(A48="","",IF(B48="1","Creator seeding; hire partnerships",IF(B48="2","Own short video + paid; hire shoot/edit + media buyer",IF(B48="3","Live, community, brand, multi-channel",IF(B48="4","Manage creator network as distributors","")))))</f>
        <v/>
      </c>
    </row>
    <row r="49">
      <c r="H49" s="3">
        <f>IF(A49="","",ROUND((C49+D49+2*F49)-(E49+G49)/2,1))</f>
        <v/>
      </c>
      <c r="I49" s="3">
        <f>IF(A49="","",IF(B49="1","Creator seeding; hire partnerships",IF(B49="2","Own short video + paid; hire shoot/edit + media buyer",IF(B49="3","Live, community, brand, multi-channel",IF(B49="4","Manage creator network as distributors","")))))</f>
        <v/>
      </c>
    </row>
    <row r="50">
      <c r="H50" s="3">
        <f>IF(A50="","",ROUND((C50+D50+2*F50)-(E50+G50)/2,1))</f>
        <v/>
      </c>
      <c r="I50" s="3">
        <f>IF(A50="","",IF(B50="1","Creator seeding; hire partnerships",IF(B50="2","Own short video + paid; hire shoot/edit + media buyer",IF(B50="3","Live, community, brand, multi-channel",IF(B50="4","Manage creator network as distributors","")))))</f>
        <v/>
      </c>
    </row>
    <row r="51">
      <c r="H51" s="3">
        <f>IF(A51="","",ROUND((C51+D51+2*F51)-(E51+G51)/2,1))</f>
        <v/>
      </c>
      <c r="I51" s="3">
        <f>IF(A51="","",IF(B51="1","Creator seeding; hire partnerships",IF(B51="2","Own short video + paid; hire shoot/edit + media buyer",IF(B51="3","Live, community, brand, multi-channel",IF(B51="4","Manage creator network as distributors","")))))</f>
        <v/>
      </c>
    </row>
    <row r="52">
      <c r="H52" s="3">
        <f>IF(A52="","",ROUND((C52+D52+2*F52)-(E52+G52)/2,1))</f>
        <v/>
      </c>
      <c r="I52" s="3">
        <f>IF(A52="","",IF(B52="1","Creator seeding; hire partnerships",IF(B52="2","Own short video + paid; hire shoot/edit + media buyer",IF(B52="3","Live, community, brand, multi-channel",IF(B52="4","Manage creator network as distributors","")))))</f>
        <v/>
      </c>
    </row>
    <row r="53">
      <c r="H53" s="3">
        <f>IF(A53="","",ROUND((C53+D53+2*F53)-(E53+G53)/2,1))</f>
        <v/>
      </c>
      <c r="I53" s="3">
        <f>IF(A53="","",IF(B53="1","Creator seeding; hire partnerships",IF(B53="2","Own short video + paid; hire shoot/edit + media buyer",IF(B53="3","Live, community, brand, multi-channel",IF(B53="4","Manage creator network as distributors","")))))</f>
        <v/>
      </c>
    </row>
    <row r="54">
      <c r="H54" s="3">
        <f>IF(A54="","",ROUND((C54+D54+2*F54)-(E54+G54)/2,1))</f>
        <v/>
      </c>
      <c r="I54" s="3">
        <f>IF(A54="","",IF(B54="1","Creator seeding; hire partnerships",IF(B54="2","Own short video + paid; hire shoot/edit + media buyer",IF(B54="3","Live, community, brand, multi-channel",IF(B54="4","Manage creator network as distributors","")))))</f>
        <v/>
      </c>
    </row>
    <row r="55">
      <c r="H55" s="3">
        <f>IF(A55="","",ROUND((C55+D55+2*F55)-(E55+G55)/2,1))</f>
        <v/>
      </c>
      <c r="I55" s="3">
        <f>IF(A55="","",IF(B55="1","Creator seeding; hire partnerships",IF(B55="2","Own short video + paid; hire shoot/edit + media buyer",IF(B55="3","Live, community, brand, multi-channel",IF(B55="4","Manage creator network as distributors","")))))</f>
        <v/>
      </c>
    </row>
    <row r="56">
      <c r="H56" s="3">
        <f>IF(A56="","",ROUND((C56+D56+2*F56)-(E56+G56)/2,1))</f>
        <v/>
      </c>
      <c r="I56" s="3">
        <f>IF(A56="","",IF(B56="1","Creator seeding; hire partnerships",IF(B56="2","Own short video + paid; hire shoot/edit + media buyer",IF(B56="3","Live, community, brand, multi-channel",IF(B56="4","Manage creator network as distributors","")))))</f>
        <v/>
      </c>
    </row>
    <row r="57">
      <c r="H57" s="3">
        <f>IF(A57="","",ROUND((C57+D57+2*F57)-(E57+G57)/2,1))</f>
        <v/>
      </c>
      <c r="I57" s="3">
        <f>IF(A57="","",IF(B57="1","Creator seeding; hire partnerships",IF(B57="2","Own short video + paid; hire shoot/edit + media buyer",IF(B57="3","Live, community, brand, multi-channel",IF(B57="4","Manage creator network as distributors","")))))</f>
        <v/>
      </c>
    </row>
    <row r="58">
      <c r="H58" s="3">
        <f>IF(A58="","",ROUND((C58+D58+2*F58)-(E58+G58)/2,1))</f>
        <v/>
      </c>
      <c r="I58" s="3">
        <f>IF(A58="","",IF(B58="1","Creator seeding; hire partnerships",IF(B58="2","Own short video + paid; hire shoot/edit + media buyer",IF(B58="3","Live, community, brand, multi-channel",IF(B58="4","Manage creator network as distributors","")))))</f>
        <v/>
      </c>
    </row>
    <row r="59">
      <c r="H59" s="3">
        <f>IF(A59="","",ROUND((C59+D59+2*F59)-(E59+G59)/2,1))</f>
        <v/>
      </c>
      <c r="I59" s="3">
        <f>IF(A59="","",IF(B59="1","Creator seeding; hire partnerships",IF(B59="2","Own short video + paid; hire shoot/edit + media buyer",IF(B59="3","Live, community, brand, multi-channel",IF(B59="4","Manage creator network as distributors","")))))</f>
        <v/>
      </c>
    </row>
    <row r="60">
      <c r="H60" s="3">
        <f>IF(A60="","",ROUND((C60+D60+2*F60)-(E60+G60)/2,1))</f>
        <v/>
      </c>
      <c r="I60" s="3">
        <f>IF(A60="","",IF(B60="1","Creator seeding; hire partnerships",IF(B60="2","Own short video + paid; hire shoot/edit + media buyer",IF(B60="3","Live, community, brand, multi-channel",IF(B60="4","Manage creator network as distributors","")))))</f>
        <v/>
      </c>
    </row>
    <row r="61">
      <c r="H61" s="3">
        <f>IF(A61="","",ROUND((C61+D61+2*F61)-(E61+G61)/2,1))</f>
        <v/>
      </c>
      <c r="I61" s="3">
        <f>IF(A61="","",IF(B61="1","Creator seeding; hire partnerships",IF(B61="2","Own short video + paid; hire shoot/edit + media buyer",IF(B61="3","Live, community, brand, multi-channel",IF(B61="4","Manage creator network as distributors","")))))</f>
        <v/>
      </c>
    </row>
    <row r="62">
      <c r="H62" s="3">
        <f>IF(A62="","",ROUND((C62+D62+2*F62)-(E62+G62)/2,1))</f>
        <v/>
      </c>
      <c r="I62" s="3">
        <f>IF(A62="","",IF(B62="1","Creator seeding; hire partnerships",IF(B62="2","Own short video + paid; hire shoot/edit + media buyer",IF(B62="3","Live, community, brand, multi-channel",IF(B62="4","Manage creator network as distributors","")))))</f>
        <v/>
      </c>
    </row>
    <row r="63">
      <c r="H63" s="3">
        <f>IF(A63="","",ROUND((C63+D63+2*F63)-(E63+G63)/2,1))</f>
        <v/>
      </c>
      <c r="I63" s="3">
        <f>IF(A63="","",IF(B63="1","Creator seeding; hire partnerships",IF(B63="2","Own short video + paid; hire shoot/edit + media buyer",IF(B63="3","Live, community, brand, multi-channel",IF(B63="4","Manage creator network as distributors","")))))</f>
        <v/>
      </c>
    </row>
    <row r="64">
      <c r="H64" s="3">
        <f>IF(A64="","",ROUND((C64+D64+2*F64)-(E64+G64)/2,1))</f>
        <v/>
      </c>
      <c r="I64" s="3">
        <f>IF(A64="","",IF(B64="1","Creator seeding; hire partnerships",IF(B64="2","Own short video + paid; hire shoot/edit + media buyer",IF(B64="3","Live, community, brand, multi-channel",IF(B64="4","Manage creator network as distributors","")))))</f>
        <v/>
      </c>
    </row>
    <row r="65">
      <c r="H65" s="3">
        <f>IF(A65="","",ROUND((C65+D65+2*F65)-(E65+G65)/2,1))</f>
        <v/>
      </c>
      <c r="I65" s="3">
        <f>IF(A65="","",IF(B65="1","Creator seeding; hire partnerships",IF(B65="2","Own short video + paid; hire shoot/edit + media buyer",IF(B65="3","Live, community, brand, multi-channel",IF(B65="4","Manage creator network as distributors","")))))</f>
        <v/>
      </c>
    </row>
    <row r="66">
      <c r="H66" s="3">
        <f>IF(A66="","",ROUND((C66+D66+2*F66)-(E66+G66)/2,1))</f>
        <v/>
      </c>
      <c r="I66" s="3">
        <f>IF(A66="","",IF(B66="1","Creator seeding; hire partnerships",IF(B66="2","Own short video + paid; hire shoot/edit + media buyer",IF(B66="3","Live, community, brand, multi-channel",IF(B66="4","Manage creator network as distributors","")))))</f>
        <v/>
      </c>
    </row>
    <row r="67">
      <c r="H67" s="3">
        <f>IF(A67="","",ROUND((C67+D67+2*F67)-(E67+G67)/2,1))</f>
        <v/>
      </c>
      <c r="I67" s="3">
        <f>IF(A67="","",IF(B67="1","Creator seeding; hire partnerships",IF(B67="2","Own short video + paid; hire shoot/edit + media buyer",IF(B67="3","Live, community, brand, multi-channel",IF(B67="4","Manage creator network as distributors","")))))</f>
        <v/>
      </c>
    </row>
    <row r="68">
      <c r="H68" s="3">
        <f>IF(A68="","",ROUND((C68+D68+2*F68)-(E68+G68)/2,1))</f>
        <v/>
      </c>
      <c r="I68" s="3">
        <f>IF(A68="","",IF(B68="1","Creator seeding; hire partnerships",IF(B68="2","Own short video + paid; hire shoot/edit + media buyer",IF(B68="3","Live, community, brand, multi-channel",IF(B68="4","Manage creator network as distributors","")))))</f>
        <v/>
      </c>
    </row>
    <row r="69">
      <c r="H69" s="3">
        <f>IF(A69="","",ROUND((C69+D69+2*F69)-(E69+G69)/2,1))</f>
        <v/>
      </c>
      <c r="I69" s="3">
        <f>IF(A69="","",IF(B69="1","Creator seeding; hire partnerships",IF(B69="2","Own short video + paid; hire shoot/edit + media buyer",IF(B69="3","Live, community, brand, multi-channel",IF(B69="4","Manage creator network as distributors","")))))</f>
        <v/>
      </c>
    </row>
    <row r="70">
      <c r="H70" s="3">
        <f>IF(A70="","",ROUND((C70+D70+2*F70)-(E70+G70)/2,1))</f>
        <v/>
      </c>
      <c r="I70" s="3">
        <f>IF(A70="","",IF(B70="1","Creator seeding; hire partnerships",IF(B70="2","Own short video + paid; hire shoot/edit + media buyer",IF(B70="3","Live, community, brand, multi-channel",IF(B70="4","Manage creator network as distributors","")))))</f>
        <v/>
      </c>
    </row>
    <row r="71">
      <c r="H71" s="3">
        <f>IF(A71="","",ROUND((C71+D71+2*F71)-(E71+G71)/2,1))</f>
        <v/>
      </c>
      <c r="I71" s="3">
        <f>IF(A71="","",IF(B71="1","Creator seeding; hire partnerships",IF(B71="2","Own short video + paid; hire shoot/edit + media buyer",IF(B71="3","Live, community, brand, multi-channel",IF(B71="4","Manage creator network as distributors","")))))</f>
        <v/>
      </c>
    </row>
    <row r="72">
      <c r="H72" s="3">
        <f>IF(A72="","",ROUND((C72+D72+2*F72)-(E72+G72)/2,1))</f>
        <v/>
      </c>
      <c r="I72" s="3">
        <f>IF(A72="","",IF(B72="1","Creator seeding; hire partnerships",IF(B72="2","Own short video + paid; hire shoot/edit + media buyer",IF(B72="3","Live, community, brand, multi-channel",IF(B72="4","Manage creator network as distributors","")))))</f>
        <v/>
      </c>
    </row>
    <row r="73">
      <c r="H73" s="3">
        <f>IF(A73="","",ROUND((C73+D73+2*F73)-(E73+G73)/2,1))</f>
        <v/>
      </c>
      <c r="I73" s="3">
        <f>IF(A73="","",IF(B73="1","Creator seeding; hire partnerships",IF(B73="2","Own short video + paid; hire shoot/edit + media buyer",IF(B73="3","Live, community, brand, multi-channel",IF(B73="4","Manage creator network as distributors","")))))</f>
        <v/>
      </c>
    </row>
    <row r="74">
      <c r="H74" s="3">
        <f>IF(A74="","",ROUND((C74+D74+2*F74)-(E74+G74)/2,1))</f>
        <v/>
      </c>
      <c r="I74" s="3">
        <f>IF(A74="","",IF(B74="1","Creator seeding; hire partnerships",IF(B74="2","Own short video + paid; hire shoot/edit + media buyer",IF(B74="3","Live, community, brand, multi-channel",IF(B74="4","Manage creator network as distributors","")))))</f>
        <v/>
      </c>
    </row>
    <row r="75">
      <c r="H75" s="3">
        <f>IF(A75="","",ROUND((C75+D75+2*F75)-(E75+G75)/2,1))</f>
        <v/>
      </c>
      <c r="I75" s="3">
        <f>IF(A75="","",IF(B75="1","Creator seeding; hire partnerships",IF(B75="2","Own short video + paid; hire shoot/edit + media buyer",IF(B75="3","Live, community, brand, multi-channel",IF(B75="4","Manage creator network as distributors","")))))</f>
        <v/>
      </c>
    </row>
    <row r="76">
      <c r="H76" s="3">
        <f>IF(A76="","",ROUND((C76+D76+2*F76)-(E76+G76)/2,1))</f>
        <v/>
      </c>
      <c r="I76" s="3">
        <f>IF(A76="","",IF(B76="1","Creator seeding; hire partnerships",IF(B76="2","Own short video + paid; hire shoot/edit + media buyer",IF(B76="3","Live, community, brand, multi-channel",IF(B76="4","Manage creator network as distributors","")))))</f>
        <v/>
      </c>
    </row>
    <row r="77">
      <c r="H77" s="3">
        <f>IF(A77="","",ROUND((C77+D77+2*F77)-(E77+G77)/2,1))</f>
        <v/>
      </c>
      <c r="I77" s="3">
        <f>IF(A77="","",IF(B77="1","Creator seeding; hire partnerships",IF(B77="2","Own short video + paid; hire shoot/edit + media buyer",IF(B77="3","Live, community, brand, multi-channel",IF(B77="4","Manage creator network as distributors","")))))</f>
        <v/>
      </c>
    </row>
    <row r="78">
      <c r="H78" s="3">
        <f>IF(A78="","",ROUND((C78+D78+2*F78)-(E78+G78)/2,1))</f>
        <v/>
      </c>
      <c r="I78" s="3">
        <f>IF(A78="","",IF(B78="1","Creator seeding; hire partnerships",IF(B78="2","Own short video + paid; hire shoot/edit + media buyer",IF(B78="3","Live, community, brand, multi-channel",IF(B78="4","Manage creator network as distributors","")))))</f>
        <v/>
      </c>
    </row>
    <row r="79">
      <c r="H79" s="3">
        <f>IF(A79="","",ROUND((C79+D79+2*F79)-(E79+G79)/2,1))</f>
        <v/>
      </c>
      <c r="I79" s="3">
        <f>IF(A79="","",IF(B79="1","Creator seeding; hire partnerships",IF(B79="2","Own short video + paid; hire shoot/edit + media buyer",IF(B79="3","Live, community, brand, multi-channel",IF(B79="4","Manage creator network as distributors","")))))</f>
        <v/>
      </c>
    </row>
    <row r="80">
      <c r="H80" s="3">
        <f>IF(A80="","",ROUND((C80+D80+2*F80)-(E80+G80)/2,1))</f>
        <v/>
      </c>
      <c r="I80" s="3">
        <f>IF(A80="","",IF(B80="1","Creator seeding; hire partnerships",IF(B80="2","Own short video + paid; hire shoot/edit + media buyer",IF(B80="3","Live, community, brand, multi-channel",IF(B80="4","Manage creator network as distributors","")))))</f>
        <v/>
      </c>
    </row>
    <row r="81">
      <c r="H81" s="3">
        <f>IF(A81="","",ROUND((C81+D81+2*F81)-(E81+G81)/2,1))</f>
        <v/>
      </c>
      <c r="I81" s="3">
        <f>IF(A81="","",IF(B81="1","Creator seeding; hire partnerships",IF(B81="2","Own short video + paid; hire shoot/edit + media buyer",IF(B81="3","Live, community, brand, multi-channel",IF(B81="4","Manage creator network as distributors","")))))</f>
        <v/>
      </c>
    </row>
    <row r="82">
      <c r="H82" s="3">
        <f>IF(A82="","",ROUND((C82+D82+2*F82)-(E82+G82)/2,1))</f>
        <v/>
      </c>
      <c r="I82" s="3">
        <f>IF(A82="","",IF(B82="1","Creator seeding; hire partnerships",IF(B82="2","Own short video + paid; hire shoot/edit + media buyer",IF(B82="3","Live, community, brand, multi-channel",IF(B82="4","Manage creator network as distributors","")))))</f>
        <v/>
      </c>
    </row>
    <row r="83">
      <c r="H83" s="3">
        <f>IF(A83="","",ROUND((C83+D83+2*F83)-(E83+G83)/2,1))</f>
        <v/>
      </c>
      <c r="I83" s="3">
        <f>IF(A83="","",IF(B83="1","Creator seeding; hire partnerships",IF(B83="2","Own short video + paid; hire shoot/edit + media buyer",IF(B83="3","Live, community, brand, multi-channel",IF(B83="4","Manage creator network as distributors","")))))</f>
        <v/>
      </c>
    </row>
    <row r="84">
      <c r="H84" s="3">
        <f>IF(A84="","",ROUND((C84+D84+2*F84)-(E84+G84)/2,1))</f>
        <v/>
      </c>
      <c r="I84" s="3">
        <f>IF(A84="","",IF(B84="1","Creator seeding; hire partnerships",IF(B84="2","Own short video + paid; hire shoot/edit + media buyer",IF(B84="3","Live, community, brand, multi-channel",IF(B84="4","Manage creator network as distributors","")))))</f>
        <v/>
      </c>
    </row>
    <row r="85">
      <c r="H85" s="3">
        <f>IF(A85="","",ROUND((C85+D85+2*F85)-(E85+G85)/2,1))</f>
        <v/>
      </c>
      <c r="I85" s="3">
        <f>IF(A85="","",IF(B85="1","Creator seeding; hire partnerships",IF(B85="2","Own short video + paid; hire shoot/edit + media buyer",IF(B85="3","Live, community, brand, multi-channel",IF(B85="4","Manage creator network as distributors","")))))</f>
        <v/>
      </c>
    </row>
    <row r="86">
      <c r="H86" s="3">
        <f>IF(A86="","",ROUND((C86+D86+2*F86)-(E86+G86)/2,1))</f>
        <v/>
      </c>
      <c r="I86" s="3">
        <f>IF(A86="","",IF(B86="1","Creator seeding; hire partnerships",IF(B86="2","Own short video + paid; hire shoot/edit + media buyer",IF(B86="3","Live, community, brand, multi-channel",IF(B86="4","Manage creator network as distributors","")))))</f>
        <v/>
      </c>
    </row>
    <row r="87">
      <c r="H87" s="3">
        <f>IF(A87="","",ROUND((C87+D87+2*F87)-(E87+G87)/2,1))</f>
        <v/>
      </c>
      <c r="I87" s="3">
        <f>IF(A87="","",IF(B87="1","Creator seeding; hire partnerships",IF(B87="2","Own short video + paid; hire shoot/edit + media buyer",IF(B87="3","Live, community, brand, multi-channel",IF(B87="4","Manage creator network as distributors","")))))</f>
        <v/>
      </c>
    </row>
    <row r="88">
      <c r="H88" s="3">
        <f>IF(A88="","",ROUND((C88+D88+2*F88)-(E88+G88)/2,1))</f>
        <v/>
      </c>
      <c r="I88" s="3">
        <f>IF(A88="","",IF(B88="1","Creator seeding; hire partnerships",IF(B88="2","Own short video + paid; hire shoot/edit + media buyer",IF(B88="3","Live, community, brand, multi-channel",IF(B88="4","Manage creator network as distributors","")))))</f>
        <v/>
      </c>
    </row>
    <row r="89">
      <c r="H89" s="3">
        <f>IF(A89="","",ROUND((C89+D89+2*F89)-(E89+G89)/2,1))</f>
        <v/>
      </c>
      <c r="I89" s="3">
        <f>IF(A89="","",IF(B89="1","Creator seeding; hire partnerships",IF(B89="2","Own short video + paid; hire shoot/edit + media buyer",IF(B89="3","Live, community, brand, multi-channel",IF(B89="4","Manage creator network as distributors","")))))</f>
        <v/>
      </c>
    </row>
    <row r="90">
      <c r="H90" s="3">
        <f>IF(A90="","",ROUND((C90+D90+2*F90)-(E90+G90)/2,1))</f>
        <v/>
      </c>
      <c r="I90" s="3">
        <f>IF(A90="","",IF(B90="1","Creator seeding; hire partnerships",IF(B90="2","Own short video + paid; hire shoot/edit + media buyer",IF(B90="3","Live, community, brand, multi-channel",IF(B90="4","Manage creator network as distributors","")))))</f>
        <v/>
      </c>
    </row>
    <row r="91">
      <c r="H91" s="3">
        <f>IF(A91="","",ROUND((C91+D91+2*F91)-(E91+G91)/2,1))</f>
        <v/>
      </c>
      <c r="I91" s="3">
        <f>IF(A91="","",IF(B91="1","Creator seeding; hire partnerships",IF(B91="2","Own short video + paid; hire shoot/edit + media buyer",IF(B91="3","Live, community, brand, multi-channel",IF(B91="4","Manage creator network as distributors","")))))</f>
        <v/>
      </c>
    </row>
    <row r="92">
      <c r="H92" s="3">
        <f>IF(A92="","",ROUND((C92+D92+2*F92)-(E92+G92)/2,1))</f>
        <v/>
      </c>
      <c r="I92" s="3">
        <f>IF(A92="","",IF(B92="1","Creator seeding; hire partnerships",IF(B92="2","Own short video + paid; hire shoot/edit + media buyer",IF(B92="3","Live, community, brand, multi-channel",IF(B92="4","Manage creator network as distributors","")))))</f>
        <v/>
      </c>
    </row>
    <row r="93">
      <c r="H93" s="3">
        <f>IF(A93="","",ROUND((C93+D93+2*F93)-(E93+G93)/2,1))</f>
        <v/>
      </c>
      <c r="I93" s="3">
        <f>IF(A93="","",IF(B93="1","Creator seeding; hire partnerships",IF(B93="2","Own short video + paid; hire shoot/edit + media buyer",IF(B93="3","Live, community, brand, multi-channel",IF(B93="4","Manage creator network as distributors","")))))</f>
        <v/>
      </c>
    </row>
    <row r="94">
      <c r="H94" s="3">
        <f>IF(A94="","",ROUND((C94+D94+2*F94)-(E94+G94)/2,1))</f>
        <v/>
      </c>
      <c r="I94" s="3">
        <f>IF(A94="","",IF(B94="1","Creator seeding; hire partnerships",IF(B94="2","Own short video + paid; hire shoot/edit + media buyer",IF(B94="3","Live, community, brand, multi-channel",IF(B94="4","Manage creator network as distributors","")))))</f>
        <v/>
      </c>
    </row>
    <row r="95">
      <c r="H95" s="3">
        <f>IF(A95="","",ROUND((C95+D95+2*F95)-(E95+G95)/2,1))</f>
        <v/>
      </c>
      <c r="I95" s="3">
        <f>IF(A95="","",IF(B95="1","Creator seeding; hire partnerships",IF(B95="2","Own short video + paid; hire shoot/edit + media buyer",IF(B95="3","Live, community, brand, multi-channel",IF(B95="4","Manage creator network as distributors","")))))</f>
        <v/>
      </c>
    </row>
    <row r="96">
      <c r="H96" s="3">
        <f>IF(A96="","",ROUND((C96+D96+2*F96)-(E96+G96)/2,1))</f>
        <v/>
      </c>
      <c r="I96" s="3">
        <f>IF(A96="","",IF(B96="1","Creator seeding; hire partnerships",IF(B96="2","Own short video + paid; hire shoot/edit + media buyer",IF(B96="3","Live, community, brand, multi-channel",IF(B96="4","Manage creator network as distributors","")))))</f>
        <v/>
      </c>
    </row>
    <row r="97">
      <c r="H97" s="3">
        <f>IF(A97="","",ROUND((C97+D97+2*F97)-(E97+G97)/2,1))</f>
        <v/>
      </c>
      <c r="I97" s="3">
        <f>IF(A97="","",IF(B97="1","Creator seeding; hire partnerships",IF(B97="2","Own short video + paid; hire shoot/edit + media buyer",IF(B97="3","Live, community, brand, multi-channel",IF(B97="4","Manage creator network as distributors","")))))</f>
        <v/>
      </c>
    </row>
    <row r="98">
      <c r="H98" s="3">
        <f>IF(A98="","",ROUND((C98+D98+2*F98)-(E98+G98)/2,1))</f>
        <v/>
      </c>
      <c r="I98" s="3">
        <f>IF(A98="","",IF(B98="1","Creator seeding; hire partnerships",IF(B98="2","Own short video + paid; hire shoot/edit + media buyer",IF(B98="3","Live, community, brand, multi-channel",IF(B98="4","Manage creator network as distributors","")))))</f>
        <v/>
      </c>
    </row>
    <row r="99">
      <c r="H99" s="3">
        <f>IF(A99="","",ROUND((C99+D99+2*F99)-(E99+G99)/2,1))</f>
        <v/>
      </c>
      <c r="I99" s="3">
        <f>IF(A99="","",IF(B99="1","Creator seeding; hire partnerships",IF(B99="2","Own short video + paid; hire shoot/edit + media buyer",IF(B99="3","Live, community, brand, multi-channel",IF(B99="4","Manage creator network as distributors","")))))</f>
        <v/>
      </c>
    </row>
    <row r="100">
      <c r="H100" s="3">
        <f>IF(A100="","",ROUND((C100+D100+2*F100)-(E100+G100)/2,1))</f>
        <v/>
      </c>
      <c r="I100" s="3">
        <f>IF(A100="","",IF(B100="1","Creator seeding; hire partnerships",IF(B100="2","Own short video + paid; hire shoot/edit + media buyer",IF(B100="3","Live, community, brand, multi-channel",IF(B100="4","Manage creator network as distributors","")))))</f>
        <v/>
      </c>
    </row>
    <row r="101">
      <c r="H101" s="3">
        <f>IF(A101="","",ROUND((C101+D101+2*F101)-(E101+G101)/2,1))</f>
        <v/>
      </c>
      <c r="I101" s="3">
        <f>IF(A101="","",IF(B101="1","Creator seeding; hire partnerships",IF(B101="2","Own short video + paid; hire shoot/edit + media buyer",IF(B101="3","Live, community, brand, multi-channel",IF(B101="4","Manage creator network as distributors","")))))</f>
        <v/>
      </c>
    </row>
    <row r="102">
      <c r="H102" s="3">
        <f>IF(A102="","",ROUND((C102+D102+2*F102)-(E102+G102)/2,1))</f>
        <v/>
      </c>
      <c r="I102" s="3">
        <f>IF(A102="","",IF(B102="1","Creator seeding; hire partnerships",IF(B102="2","Own short video + paid; hire shoot/edit + media buyer",IF(B102="3","Live, community, brand, multi-channel",IF(B102="4","Manage creator network as distributors","")))))</f>
        <v/>
      </c>
    </row>
    <row r="103">
      <c r="H103" s="3">
        <f>IF(A103="","",ROUND((C103+D103+2*F103)-(E103+G103)/2,1))</f>
        <v/>
      </c>
      <c r="I103" s="3">
        <f>IF(A103="","",IF(B103="1","Creator seeding; hire partnerships",IF(B103="2","Own short video + paid; hire shoot/edit + media buyer",IF(B103="3","Live, community, brand, multi-channel",IF(B103="4","Manage creator network as distributors","")))))</f>
        <v/>
      </c>
    </row>
    <row r="104">
      <c r="H104" s="3">
        <f>IF(A104="","",ROUND((C104+D104+2*F104)-(E104+G104)/2,1))</f>
        <v/>
      </c>
      <c r="I104" s="3">
        <f>IF(A104="","",IF(B104="1","Creator seeding; hire partnerships",IF(B104="2","Own short video + paid; hire shoot/edit + media buyer",IF(B104="3","Live, community, brand, multi-channel",IF(B104="4","Manage creator network as distributors","")))))</f>
        <v/>
      </c>
    </row>
    <row r="105">
      <c r="H105" s="3">
        <f>IF(A105="","",ROUND((C105+D105+2*F105)-(E105+G105)/2,1))</f>
        <v/>
      </c>
      <c r="I105" s="3">
        <f>IF(A105="","",IF(B105="1","Creator seeding; hire partnerships",IF(B105="2","Own short video + paid; hire shoot/edit + media buyer",IF(B105="3","Live, community, brand, multi-channel",IF(B105="4","Manage creator network as distributors","")))))</f>
        <v/>
      </c>
    </row>
    <row r="106">
      <c r="H106" s="3">
        <f>IF(A106="","",ROUND((C106+D106+2*F106)-(E106+G106)/2,1))</f>
        <v/>
      </c>
      <c r="I106" s="3">
        <f>IF(A106="","",IF(B106="1","Creator seeding; hire partnerships",IF(B106="2","Own short video + paid; hire shoot/edit + media buyer",IF(B106="3","Live, community, brand, multi-channel",IF(B106="4","Manage creator network as distributors","")))))</f>
        <v/>
      </c>
    </row>
    <row r="107">
      <c r="H107" s="3">
        <f>IF(A107="","",ROUND((C107+D107+2*F107)-(E107+G107)/2,1))</f>
        <v/>
      </c>
      <c r="I107" s="3">
        <f>IF(A107="","",IF(B107="1","Creator seeding; hire partnerships",IF(B107="2","Own short video + paid; hire shoot/edit + media buyer",IF(B107="3","Live, community, brand, multi-channel",IF(B107="4","Manage creator network as distributors","")))))</f>
        <v/>
      </c>
    </row>
    <row r="108">
      <c r="H108" s="3">
        <f>IF(A108="","",ROUND((C108+D108+2*F108)-(E108+G108)/2,1))</f>
        <v/>
      </c>
      <c r="I108" s="3">
        <f>IF(A108="","",IF(B108="1","Creator seeding; hire partnerships",IF(B108="2","Own short video + paid; hire shoot/edit + media buyer",IF(B108="3","Live, community, brand, multi-channel",IF(B108="4","Manage creator network as distributors","")))))</f>
        <v/>
      </c>
    </row>
    <row r="109">
      <c r="H109" s="3">
        <f>IF(A109="","",ROUND((C109+D109+2*F109)-(E109+G109)/2,1))</f>
        <v/>
      </c>
      <c r="I109" s="3">
        <f>IF(A109="","",IF(B109="1","Creator seeding; hire partnerships",IF(B109="2","Own short video + paid; hire shoot/edit + media buyer",IF(B109="3","Live, community, brand, multi-channel",IF(B109="4","Manage creator network as distributors","")))))</f>
        <v/>
      </c>
    </row>
    <row r="110">
      <c r="H110" s="3">
        <f>IF(A110="","",ROUND((C110+D110+2*F110)-(E110+G110)/2,1))</f>
        <v/>
      </c>
      <c r="I110" s="3">
        <f>IF(A110="","",IF(B110="1","Creator seeding; hire partnerships",IF(B110="2","Own short video + paid; hire shoot/edit + media buyer",IF(B110="3","Live, community, brand, multi-channel",IF(B110="4","Manage creator network as distributors","")))))</f>
        <v/>
      </c>
    </row>
    <row r="111">
      <c r="H111" s="3">
        <f>IF(A111="","",ROUND((C111+D111+2*F111)-(E111+G111)/2,1))</f>
        <v/>
      </c>
      <c r="I111" s="3">
        <f>IF(A111="","",IF(B111="1","Creator seeding; hire partnerships",IF(B111="2","Own short video + paid; hire shoot/edit + media buyer",IF(B111="3","Live, community, brand, multi-channel",IF(B111="4","Manage creator network as distributors","")))))</f>
        <v/>
      </c>
    </row>
    <row r="112">
      <c r="H112" s="3">
        <f>IF(A112="","",ROUND((C112+D112+2*F112)-(E112+G112)/2,1))</f>
        <v/>
      </c>
      <c r="I112" s="3">
        <f>IF(A112="","",IF(B112="1","Creator seeding; hire partnerships",IF(B112="2","Own short video + paid; hire shoot/edit + media buyer",IF(B112="3","Live, community, brand, multi-channel",IF(B112="4","Manage creator network as distributors","")))))</f>
        <v/>
      </c>
    </row>
    <row r="113">
      <c r="H113" s="3">
        <f>IF(A113="","",ROUND((C113+D113+2*F113)-(E113+G113)/2,1))</f>
        <v/>
      </c>
      <c r="I113" s="3">
        <f>IF(A113="","",IF(B113="1","Creator seeding; hire partnerships",IF(B113="2","Own short video + paid; hire shoot/edit + media buyer",IF(B113="3","Live, community, brand, multi-channel",IF(B113="4","Manage creator network as distributors","")))))</f>
        <v/>
      </c>
    </row>
    <row r="114">
      <c r="H114" s="3">
        <f>IF(A114="","",ROUND((C114+D114+2*F114)-(E114+G114)/2,1))</f>
        <v/>
      </c>
      <c r="I114" s="3">
        <f>IF(A114="","",IF(B114="1","Creator seeding; hire partnerships",IF(B114="2","Own short video + paid; hire shoot/edit + media buyer",IF(B114="3","Live, community, brand, multi-channel",IF(B114="4","Manage creator network as distributors","")))))</f>
        <v/>
      </c>
    </row>
    <row r="115">
      <c r="H115" s="3">
        <f>IF(A115="","",ROUND((C115+D115+2*F115)-(E115+G115)/2,1))</f>
        <v/>
      </c>
      <c r="I115" s="3">
        <f>IF(A115="","",IF(B115="1","Creator seeding; hire partnerships",IF(B115="2","Own short video + paid; hire shoot/edit + media buyer",IF(B115="3","Live, community, brand, multi-channel",IF(B115="4","Manage creator network as distributors","")))))</f>
        <v/>
      </c>
    </row>
    <row r="116">
      <c r="H116" s="3">
        <f>IF(A116="","",ROUND((C116+D116+2*F116)-(E116+G116)/2,1))</f>
        <v/>
      </c>
      <c r="I116" s="3">
        <f>IF(A116="","",IF(B116="1","Creator seeding; hire partnerships",IF(B116="2","Own short video + paid; hire shoot/edit + media buyer",IF(B116="3","Live, community, brand, multi-channel",IF(B116="4","Manage creator network as distributors","")))))</f>
        <v/>
      </c>
    </row>
    <row r="117">
      <c r="H117" s="3">
        <f>IF(A117="","",ROUND((C117+D117+2*F117)-(E117+G117)/2,1))</f>
        <v/>
      </c>
      <c r="I117" s="3">
        <f>IF(A117="","",IF(B117="1","Creator seeding; hire partnerships",IF(B117="2","Own short video + paid; hire shoot/edit + media buyer",IF(B117="3","Live, community, brand, multi-channel",IF(B117="4","Manage creator network as distributors","")))))</f>
        <v/>
      </c>
    </row>
    <row r="118">
      <c r="H118" s="3">
        <f>IF(A118="","",ROUND((C118+D118+2*F118)-(E118+G118)/2,1))</f>
        <v/>
      </c>
      <c r="I118" s="3">
        <f>IF(A118="","",IF(B118="1","Creator seeding; hire partnerships",IF(B118="2","Own short video + paid; hire shoot/edit + media buyer",IF(B118="3","Live, community, brand, multi-channel",IF(B118="4","Manage creator network as distributors","")))))</f>
        <v/>
      </c>
    </row>
    <row r="119">
      <c r="H119" s="3">
        <f>IF(A119="","",ROUND((C119+D119+2*F119)-(E119+G119)/2,1))</f>
        <v/>
      </c>
      <c r="I119" s="3">
        <f>IF(A119="","",IF(B119="1","Creator seeding; hire partnerships",IF(B119="2","Own short video + paid; hire shoot/edit + media buyer",IF(B119="3","Live, community, brand, multi-channel",IF(B119="4","Manage creator network as distributors","")))))</f>
        <v/>
      </c>
    </row>
    <row r="120">
      <c r="H120" s="3">
        <f>IF(A120="","",ROUND((C120+D120+2*F120)-(E120+G120)/2,1))</f>
        <v/>
      </c>
      <c r="I120" s="3">
        <f>IF(A120="","",IF(B120="1","Creator seeding; hire partnerships",IF(B120="2","Own short video + paid; hire shoot/edit + media buyer",IF(B120="3","Live, community, brand, multi-channel",IF(B120="4","Manage creator network as distributors","")))))</f>
        <v/>
      </c>
    </row>
    <row r="121">
      <c r="H121" s="3">
        <f>IF(A121="","",ROUND((C121+D121+2*F121)-(E121+G121)/2,1))</f>
        <v/>
      </c>
      <c r="I121" s="3">
        <f>IF(A121="","",IF(B121="1","Creator seeding; hire partnerships",IF(B121="2","Own short video + paid; hire shoot/edit + media buyer",IF(B121="3","Live, community, brand, multi-channel",IF(B121="4","Manage creator network as distributors","")))))</f>
        <v/>
      </c>
    </row>
    <row r="122">
      <c r="H122" s="3">
        <f>IF(A122="","",ROUND((C122+D122+2*F122)-(E122+G122)/2,1))</f>
        <v/>
      </c>
      <c r="I122" s="3">
        <f>IF(A122="","",IF(B122="1","Creator seeding; hire partnerships",IF(B122="2","Own short video + paid; hire shoot/edit + media buyer",IF(B122="3","Live, community, brand, multi-channel",IF(B122="4","Manage creator network as distributors","")))))</f>
        <v/>
      </c>
    </row>
    <row r="123">
      <c r="H123" s="3">
        <f>IF(A123="","",ROUND((C123+D123+2*F123)-(E123+G123)/2,1))</f>
        <v/>
      </c>
      <c r="I123" s="3">
        <f>IF(A123="","",IF(B123="1","Creator seeding; hire partnerships",IF(B123="2","Own short video + paid; hire shoot/edit + media buyer",IF(B123="3","Live, community, brand, multi-channel",IF(B123="4","Manage creator network as distributors","")))))</f>
        <v/>
      </c>
    </row>
    <row r="124">
      <c r="H124" s="3">
        <f>IF(A124="","",ROUND((C124+D124+2*F124)-(E124+G124)/2,1))</f>
        <v/>
      </c>
      <c r="I124" s="3">
        <f>IF(A124="","",IF(B124="1","Creator seeding; hire partnerships",IF(B124="2","Own short video + paid; hire shoot/edit + media buyer",IF(B124="3","Live, community, brand, multi-channel",IF(B124="4","Manage creator network as distributors","")))))</f>
        <v/>
      </c>
    </row>
    <row r="125">
      <c r="H125" s="3">
        <f>IF(A125="","",ROUND((C125+D125+2*F125)-(E125+G125)/2,1))</f>
        <v/>
      </c>
      <c r="I125" s="3">
        <f>IF(A125="","",IF(B125="1","Creator seeding; hire partnerships",IF(B125="2","Own short video + paid; hire shoot/edit + media buyer",IF(B125="3","Live, community, brand, multi-channel",IF(B125="4","Manage creator network as distributors","")))))</f>
        <v/>
      </c>
    </row>
    <row r="126">
      <c r="H126" s="3">
        <f>IF(A126="","",ROUND((C126+D126+2*F126)-(E126+G126)/2,1))</f>
        <v/>
      </c>
      <c r="I126" s="3">
        <f>IF(A126="","",IF(B126="1","Creator seeding; hire partnerships",IF(B126="2","Own short video + paid; hire shoot/edit + media buyer",IF(B126="3","Live, community, brand, multi-channel",IF(B126="4","Manage creator network as distributors","")))))</f>
        <v/>
      </c>
    </row>
    <row r="127">
      <c r="H127" s="3">
        <f>IF(A127="","",ROUND((C127+D127+2*F127)-(E127+G127)/2,1))</f>
        <v/>
      </c>
      <c r="I127" s="3">
        <f>IF(A127="","",IF(B127="1","Creator seeding; hire partnerships",IF(B127="2","Own short video + paid; hire shoot/edit + media buyer",IF(B127="3","Live, community, brand, multi-channel",IF(B127="4","Manage creator network as distributors","")))))</f>
        <v/>
      </c>
    </row>
    <row r="128">
      <c r="H128" s="3">
        <f>IF(A128="","",ROUND((C128+D128+2*F128)-(E128+G128)/2,1))</f>
        <v/>
      </c>
      <c r="I128" s="3">
        <f>IF(A128="","",IF(B128="1","Creator seeding; hire partnerships",IF(B128="2","Own short video + paid; hire shoot/edit + media buyer",IF(B128="3","Live, community, brand, multi-channel",IF(B128="4","Manage creator network as distributors","")))))</f>
        <v/>
      </c>
    </row>
    <row r="129">
      <c r="H129" s="3">
        <f>IF(A129="","",ROUND((C129+D129+2*F129)-(E129+G129)/2,1))</f>
        <v/>
      </c>
      <c r="I129" s="3">
        <f>IF(A129="","",IF(B129="1","Creator seeding; hire partnerships",IF(B129="2","Own short video + paid; hire shoot/edit + media buyer",IF(B129="3","Live, community, brand, multi-channel",IF(B129="4","Manage creator network as distributors","")))))</f>
        <v/>
      </c>
    </row>
    <row r="130">
      <c r="H130" s="3">
        <f>IF(A130="","",ROUND((C130+D130+2*F130)-(E130+G130)/2,1))</f>
        <v/>
      </c>
      <c r="I130" s="3">
        <f>IF(A130="","",IF(B130="1","Creator seeding; hire partnerships",IF(B130="2","Own short video + paid; hire shoot/edit + media buyer",IF(B130="3","Live, community, brand, multi-channel",IF(B130="4","Manage creator network as distributors","")))))</f>
        <v/>
      </c>
    </row>
    <row r="131">
      <c r="H131" s="3">
        <f>IF(A131="","",ROUND((C131+D131+2*F131)-(E131+G131)/2,1))</f>
        <v/>
      </c>
      <c r="I131" s="3">
        <f>IF(A131="","",IF(B131="1","Creator seeding; hire partnerships",IF(B131="2","Own short video + paid; hire shoot/edit + media buyer",IF(B131="3","Live, community, brand, multi-channel",IF(B131="4","Manage creator network as distributors","")))))</f>
        <v/>
      </c>
    </row>
    <row r="132">
      <c r="H132" s="3">
        <f>IF(A132="","",ROUND((C132+D132+2*F132)-(E132+G132)/2,1))</f>
        <v/>
      </c>
      <c r="I132" s="3">
        <f>IF(A132="","",IF(B132="1","Creator seeding; hire partnerships",IF(B132="2","Own short video + paid; hire shoot/edit + media buyer",IF(B132="3","Live, community, brand, multi-channel",IF(B132="4","Manage creator network as distributors","")))))</f>
        <v/>
      </c>
    </row>
    <row r="133">
      <c r="H133" s="3">
        <f>IF(A133="","",ROUND((C133+D133+2*F133)-(E133+G133)/2,1))</f>
        <v/>
      </c>
      <c r="I133" s="3">
        <f>IF(A133="","",IF(B133="1","Creator seeding; hire partnerships",IF(B133="2","Own short video + paid; hire shoot/edit + media buyer",IF(B133="3","Live, community, brand, multi-channel",IF(B133="4","Manage creator network as distributors","")))))</f>
        <v/>
      </c>
    </row>
    <row r="134">
      <c r="H134" s="3">
        <f>IF(A134="","",ROUND((C134+D134+2*F134)-(E134+G134)/2,1))</f>
        <v/>
      </c>
      <c r="I134" s="3">
        <f>IF(A134="","",IF(B134="1","Creator seeding; hire partnerships",IF(B134="2","Own short video + paid; hire shoot/edit + media buyer",IF(B134="3","Live, community, brand, multi-channel",IF(B134="4","Manage creator network as distributors","")))))</f>
        <v/>
      </c>
    </row>
    <row r="135">
      <c r="H135" s="3">
        <f>IF(A135="","",ROUND((C135+D135+2*F135)-(E135+G135)/2,1))</f>
        <v/>
      </c>
      <c r="I135" s="3">
        <f>IF(A135="","",IF(B135="1","Creator seeding; hire partnerships",IF(B135="2","Own short video + paid; hire shoot/edit + media buyer",IF(B135="3","Live, community, brand, multi-channel",IF(B135="4","Manage creator network as distributors","")))))</f>
        <v/>
      </c>
    </row>
    <row r="136">
      <c r="H136" s="3">
        <f>IF(A136="","",ROUND((C136+D136+2*F136)-(E136+G136)/2,1))</f>
        <v/>
      </c>
      <c r="I136" s="3">
        <f>IF(A136="","",IF(B136="1","Creator seeding; hire partnerships",IF(B136="2","Own short video + paid; hire shoot/edit + media buyer",IF(B136="3","Live, community, brand, multi-channel",IF(B136="4","Manage creator network as distributors","")))))</f>
        <v/>
      </c>
    </row>
    <row r="137">
      <c r="H137" s="3">
        <f>IF(A137="","",ROUND((C137+D137+2*F137)-(E137+G137)/2,1))</f>
        <v/>
      </c>
      <c r="I137" s="3">
        <f>IF(A137="","",IF(B137="1","Creator seeding; hire partnerships",IF(B137="2","Own short video + paid; hire shoot/edit + media buyer",IF(B137="3","Live, community, brand, multi-channel",IF(B137="4","Manage creator network as distributors","")))))</f>
        <v/>
      </c>
    </row>
    <row r="138">
      <c r="H138" s="3">
        <f>IF(A138="","",ROUND((C138+D138+2*F138)-(E138+G138)/2,1))</f>
        <v/>
      </c>
      <c r="I138" s="3">
        <f>IF(A138="","",IF(B138="1","Creator seeding; hire partnerships",IF(B138="2","Own short video + paid; hire shoot/edit + media buyer",IF(B138="3","Live, community, brand, multi-channel",IF(B138="4","Manage creator network as distributors","")))))</f>
        <v/>
      </c>
    </row>
    <row r="139">
      <c r="H139" s="3">
        <f>IF(A139="","",ROUND((C139+D139+2*F139)-(E139+G139)/2,1))</f>
        <v/>
      </c>
      <c r="I139" s="3">
        <f>IF(A139="","",IF(B139="1","Creator seeding; hire partnerships",IF(B139="2","Own short video + paid; hire shoot/edit + media buyer",IF(B139="3","Live, community, brand, multi-channel",IF(B139="4","Manage creator network as distributors","")))))</f>
        <v/>
      </c>
    </row>
    <row r="140">
      <c r="H140" s="3">
        <f>IF(A140="","",ROUND((C140+D140+2*F140)-(E140+G140)/2,1))</f>
        <v/>
      </c>
      <c r="I140" s="3">
        <f>IF(A140="","",IF(B140="1","Creator seeding; hire partnerships",IF(B140="2","Own short video + paid; hire shoot/edit + media buyer",IF(B140="3","Live, community, brand, multi-channel",IF(B140="4","Manage creator network as distributors","")))))</f>
        <v/>
      </c>
    </row>
    <row r="141">
      <c r="H141" s="3">
        <f>IF(A141="","",ROUND((C141+D141+2*F141)-(E141+G141)/2,1))</f>
        <v/>
      </c>
      <c r="I141" s="3">
        <f>IF(A141="","",IF(B141="1","Creator seeding; hire partnerships",IF(B141="2","Own short video + paid; hire shoot/edit + media buyer",IF(B141="3","Live, community, brand, multi-channel",IF(B141="4","Manage creator network as distributors","")))))</f>
        <v/>
      </c>
    </row>
    <row r="142">
      <c r="H142" s="3">
        <f>IF(A142="","",ROUND((C142+D142+2*F142)-(E142+G142)/2,1))</f>
        <v/>
      </c>
      <c r="I142" s="3">
        <f>IF(A142="","",IF(B142="1","Creator seeding; hire partnerships",IF(B142="2","Own short video + paid; hire shoot/edit + media buyer",IF(B142="3","Live, community, brand, multi-channel",IF(B142="4","Manage creator network as distributors","")))))</f>
        <v/>
      </c>
    </row>
    <row r="143">
      <c r="H143" s="3">
        <f>IF(A143="","",ROUND((C143+D143+2*F143)-(E143+G143)/2,1))</f>
        <v/>
      </c>
      <c r="I143" s="3">
        <f>IF(A143="","",IF(B143="1","Creator seeding; hire partnerships",IF(B143="2","Own short video + paid; hire shoot/edit + media buyer",IF(B143="3","Live, community, brand, multi-channel",IF(B143="4","Manage creator network as distributors","")))))</f>
        <v/>
      </c>
    </row>
    <row r="144">
      <c r="H144" s="3">
        <f>IF(A144="","",ROUND((C144+D144+2*F144)-(E144+G144)/2,1))</f>
        <v/>
      </c>
      <c r="I144" s="3">
        <f>IF(A144="","",IF(B144="1","Creator seeding; hire partnerships",IF(B144="2","Own short video + paid; hire shoot/edit + media buyer",IF(B144="3","Live, community, brand, multi-channel",IF(B144="4","Manage creator network as distributors","")))))</f>
        <v/>
      </c>
    </row>
    <row r="145">
      <c r="H145" s="3">
        <f>IF(A145="","",ROUND((C145+D145+2*F145)-(E145+G145)/2,1))</f>
        <v/>
      </c>
      <c r="I145" s="3">
        <f>IF(A145="","",IF(B145="1","Creator seeding; hire partnerships",IF(B145="2","Own short video + paid; hire shoot/edit + media buyer",IF(B145="3","Live, community, brand, multi-channel",IF(B145="4","Manage creator network as distributors","")))))</f>
        <v/>
      </c>
    </row>
    <row r="146">
      <c r="H146" s="3">
        <f>IF(A146="","",ROUND((C146+D146+2*F146)-(E146+G146)/2,1))</f>
        <v/>
      </c>
      <c r="I146" s="3">
        <f>IF(A146="","",IF(B146="1","Creator seeding; hire partnerships",IF(B146="2","Own short video + paid; hire shoot/edit + media buyer",IF(B146="3","Live, community, brand, multi-channel",IF(B146="4","Manage creator network as distributors","")))))</f>
        <v/>
      </c>
    </row>
    <row r="147">
      <c r="H147" s="3">
        <f>IF(A147="","",ROUND((C147+D147+2*F147)-(E147+G147)/2,1))</f>
        <v/>
      </c>
      <c r="I147" s="3">
        <f>IF(A147="","",IF(B147="1","Creator seeding; hire partnerships",IF(B147="2","Own short video + paid; hire shoot/edit + media buyer",IF(B147="3","Live, community, brand, multi-channel",IF(B147="4","Manage creator network as distributors","")))))</f>
        <v/>
      </c>
    </row>
    <row r="148">
      <c r="H148" s="3">
        <f>IF(A148="","",ROUND((C148+D148+2*F148)-(E148+G148)/2,1))</f>
        <v/>
      </c>
      <c r="I148" s="3">
        <f>IF(A148="","",IF(B148="1","Creator seeding; hire partnerships",IF(B148="2","Own short video + paid; hire shoot/edit + media buyer",IF(B148="3","Live, community, brand, multi-channel",IF(B148="4","Manage creator network as distributors","")))))</f>
        <v/>
      </c>
    </row>
    <row r="149">
      <c r="H149" s="3">
        <f>IF(A149="","",ROUND((C149+D149+2*F149)-(E149+G149)/2,1))</f>
        <v/>
      </c>
      <c r="I149" s="3">
        <f>IF(A149="","",IF(B149="1","Creator seeding; hire partnerships",IF(B149="2","Own short video + paid; hire shoot/edit + media buyer",IF(B149="3","Live, community, brand, multi-channel",IF(B149="4","Manage creator network as distributors","")))))</f>
        <v/>
      </c>
    </row>
    <row r="150">
      <c r="H150" s="3">
        <f>IF(A150="","",ROUND((C150+D150+2*F150)-(E150+G150)/2,1))</f>
        <v/>
      </c>
      <c r="I150" s="3">
        <f>IF(A150="","",IF(B150="1","Creator seeding; hire partnerships",IF(B150="2","Own short video + paid; hire shoot/edit + media buyer",IF(B150="3","Live, community, brand, multi-channel",IF(B150="4","Manage creator network as distributors","")))))</f>
        <v/>
      </c>
    </row>
    <row r="151">
      <c r="H151" s="3">
        <f>IF(A151="","",ROUND((C151+D151+2*F151)-(E151+G151)/2,1))</f>
        <v/>
      </c>
      <c r="I151" s="3">
        <f>IF(A151="","",IF(B151="1","Creator seeding; hire partnerships",IF(B151="2","Own short video + paid; hire shoot/edit + media buyer",IF(B151="3","Live, community, brand, multi-channel",IF(B151="4","Manage creator network as distributors","")))))</f>
        <v/>
      </c>
    </row>
    <row r="152">
      <c r="H152" s="3">
        <f>IF(A152="","",ROUND((C152+D152+2*F152)-(E152+G152)/2,1))</f>
        <v/>
      </c>
      <c r="I152" s="3">
        <f>IF(A152="","",IF(B152="1","Creator seeding; hire partnerships",IF(B152="2","Own short video + paid; hire shoot/edit + media buyer",IF(B152="3","Live, community, brand, multi-channel",IF(B152="4","Manage creator network as distributors","")))))</f>
        <v/>
      </c>
    </row>
    <row r="153">
      <c r="H153" s="3">
        <f>IF(A153="","",ROUND((C153+D153+2*F153)-(E153+G153)/2,1))</f>
        <v/>
      </c>
      <c r="I153" s="3">
        <f>IF(A153="","",IF(B153="1","Creator seeding; hire partnerships",IF(B153="2","Own short video + paid; hire shoot/edit + media buyer",IF(B153="3","Live, community, brand, multi-channel",IF(B153="4","Manage creator network as distributors","")))))</f>
        <v/>
      </c>
    </row>
    <row r="154">
      <c r="H154" s="3">
        <f>IF(A154="","",ROUND((C154+D154+2*F154)-(E154+G154)/2,1))</f>
        <v/>
      </c>
      <c r="I154" s="3">
        <f>IF(A154="","",IF(B154="1","Creator seeding; hire partnerships",IF(B154="2","Own short video + paid; hire shoot/edit + media buyer",IF(B154="3","Live, community, brand, multi-channel",IF(B154="4","Manage creator network as distributors","")))))</f>
        <v/>
      </c>
    </row>
    <row r="155">
      <c r="H155" s="3">
        <f>IF(A155="","",ROUND((C155+D155+2*F155)-(E155+G155)/2,1))</f>
        <v/>
      </c>
      <c r="I155" s="3">
        <f>IF(A155="","",IF(B155="1","Creator seeding; hire partnerships",IF(B155="2","Own short video + paid; hire shoot/edit + media buyer",IF(B155="3","Live, community, brand, multi-channel",IF(B155="4","Manage creator network as distributors","")))))</f>
        <v/>
      </c>
    </row>
    <row r="156">
      <c r="H156" s="3">
        <f>IF(A156="","",ROUND((C156+D156+2*F156)-(E156+G156)/2,1))</f>
        <v/>
      </c>
      <c r="I156" s="3">
        <f>IF(A156="","",IF(B156="1","Creator seeding; hire partnerships",IF(B156="2","Own short video + paid; hire shoot/edit + media buyer",IF(B156="3","Live, community, brand, multi-channel",IF(B156="4","Manage creator network as distributors","")))))</f>
        <v/>
      </c>
    </row>
    <row r="157">
      <c r="H157" s="3">
        <f>IF(A157="","",ROUND((C157+D157+2*F157)-(E157+G157)/2,1))</f>
        <v/>
      </c>
      <c r="I157" s="3">
        <f>IF(A157="","",IF(B157="1","Creator seeding; hire partnerships",IF(B157="2","Own short video + paid; hire shoot/edit + media buyer",IF(B157="3","Live, community, brand, multi-channel",IF(B157="4","Manage creator network as distributors","")))))</f>
        <v/>
      </c>
    </row>
    <row r="158">
      <c r="H158" s="3">
        <f>IF(A158="","",ROUND((C158+D158+2*F158)-(E158+G158)/2,1))</f>
        <v/>
      </c>
      <c r="I158" s="3">
        <f>IF(A158="","",IF(B158="1","Creator seeding; hire partnerships",IF(B158="2","Own short video + paid; hire shoot/edit + media buyer",IF(B158="3","Live, community, brand, multi-channel",IF(B158="4","Manage creator network as distributors","")))))</f>
        <v/>
      </c>
    </row>
    <row r="159">
      <c r="H159" s="3">
        <f>IF(A159="","",ROUND((C159+D159+2*F159)-(E159+G159)/2,1))</f>
        <v/>
      </c>
      <c r="I159" s="3">
        <f>IF(A159="","",IF(B159="1","Creator seeding; hire partnerships",IF(B159="2","Own short video + paid; hire shoot/edit + media buyer",IF(B159="3","Live, community, brand, multi-channel",IF(B159="4","Manage creator network as distributors","")))))</f>
        <v/>
      </c>
    </row>
    <row r="160">
      <c r="H160" s="3">
        <f>IF(A160="","",ROUND((C160+D160+2*F160)-(E160+G160)/2,1))</f>
        <v/>
      </c>
      <c r="I160" s="3">
        <f>IF(A160="","",IF(B160="1","Creator seeding; hire partnerships",IF(B160="2","Own short video + paid; hire shoot/edit + media buyer",IF(B160="3","Live, community, brand, multi-channel",IF(B160="4","Manage creator network as distributors","")))))</f>
        <v/>
      </c>
    </row>
    <row r="161">
      <c r="H161" s="3">
        <f>IF(A161="","",ROUND((C161+D161+2*F161)-(E161+G161)/2,1))</f>
        <v/>
      </c>
      <c r="I161" s="3">
        <f>IF(A161="","",IF(B161="1","Creator seeding; hire partnerships",IF(B161="2","Own short video + paid; hire shoot/edit + media buyer",IF(B161="3","Live, community, brand, multi-channel",IF(B161="4","Manage creator network as distributors","")))))</f>
        <v/>
      </c>
    </row>
    <row r="162">
      <c r="H162" s="3">
        <f>IF(A162="","",ROUND((C162+D162+2*F162)-(E162+G162)/2,1))</f>
        <v/>
      </c>
      <c r="I162" s="3">
        <f>IF(A162="","",IF(B162="1","Creator seeding; hire partnerships",IF(B162="2","Own short video + paid; hire shoot/edit + media buyer",IF(B162="3","Live, community, brand, multi-channel",IF(B162="4","Manage creator network as distributors","")))))</f>
        <v/>
      </c>
    </row>
    <row r="163">
      <c r="H163" s="3">
        <f>IF(A163="","",ROUND((C163+D163+2*F163)-(E163+G163)/2,1))</f>
        <v/>
      </c>
      <c r="I163" s="3">
        <f>IF(A163="","",IF(B163="1","Creator seeding; hire partnerships",IF(B163="2","Own short video + paid; hire shoot/edit + media buyer",IF(B163="3","Live, community, brand, multi-channel",IF(B163="4","Manage creator network as distributors","")))))</f>
        <v/>
      </c>
    </row>
    <row r="164">
      <c r="H164" s="3">
        <f>IF(A164="","",ROUND((C164+D164+2*F164)-(E164+G164)/2,1))</f>
        <v/>
      </c>
      <c r="I164" s="3">
        <f>IF(A164="","",IF(B164="1","Creator seeding; hire partnerships",IF(B164="2","Own short video + paid; hire shoot/edit + media buyer",IF(B164="3","Live, community, brand, multi-channel",IF(B164="4","Manage creator network as distributors","")))))</f>
        <v/>
      </c>
    </row>
    <row r="165">
      <c r="H165" s="3">
        <f>IF(A165="","",ROUND((C165+D165+2*F165)-(E165+G165)/2,1))</f>
        <v/>
      </c>
      <c r="I165" s="3">
        <f>IF(A165="","",IF(B165="1","Creator seeding; hire partnerships",IF(B165="2","Own short video + paid; hire shoot/edit + media buyer",IF(B165="3","Live, community, brand, multi-channel",IF(B165="4","Manage creator network as distributors","")))))</f>
        <v/>
      </c>
    </row>
    <row r="166">
      <c r="H166" s="3">
        <f>IF(A166="","",ROUND((C166+D166+2*F166)-(E166+G166)/2,1))</f>
        <v/>
      </c>
      <c r="I166" s="3">
        <f>IF(A166="","",IF(B166="1","Creator seeding; hire partnerships",IF(B166="2","Own short video + paid; hire shoot/edit + media buyer",IF(B166="3","Live, community, brand, multi-channel",IF(B166="4","Manage creator network as distributors","")))))</f>
        <v/>
      </c>
    </row>
    <row r="167">
      <c r="H167" s="3">
        <f>IF(A167="","",ROUND((C167+D167+2*F167)-(E167+G167)/2,1))</f>
        <v/>
      </c>
      <c r="I167" s="3">
        <f>IF(A167="","",IF(B167="1","Creator seeding; hire partnerships",IF(B167="2","Own short video + paid; hire shoot/edit + media buyer",IF(B167="3","Live, community, brand, multi-channel",IF(B167="4","Manage creator network as distributors","")))))</f>
        <v/>
      </c>
    </row>
    <row r="168">
      <c r="H168" s="3">
        <f>IF(A168="","",ROUND((C168+D168+2*F168)-(E168+G168)/2,1))</f>
        <v/>
      </c>
      <c r="I168" s="3">
        <f>IF(A168="","",IF(B168="1","Creator seeding; hire partnerships",IF(B168="2","Own short video + paid; hire shoot/edit + media buyer",IF(B168="3","Live, community, brand, multi-channel",IF(B168="4","Manage creator network as distributors","")))))</f>
        <v/>
      </c>
    </row>
    <row r="169">
      <c r="H169" s="3">
        <f>IF(A169="","",ROUND((C169+D169+2*F169)-(E169+G169)/2,1))</f>
        <v/>
      </c>
      <c r="I169" s="3">
        <f>IF(A169="","",IF(B169="1","Creator seeding; hire partnerships",IF(B169="2","Own short video + paid; hire shoot/edit + media buyer",IF(B169="3","Live, community, brand, multi-channel",IF(B169="4","Manage creator network as distributors","")))))</f>
        <v/>
      </c>
    </row>
    <row r="170">
      <c r="H170" s="3">
        <f>IF(A170="","",ROUND((C170+D170+2*F170)-(E170+G170)/2,1))</f>
        <v/>
      </c>
      <c r="I170" s="3">
        <f>IF(A170="","",IF(B170="1","Creator seeding; hire partnerships",IF(B170="2","Own short video + paid; hire shoot/edit + media buyer",IF(B170="3","Live, community, brand, multi-channel",IF(B170="4","Manage creator network as distributors","")))))</f>
        <v/>
      </c>
    </row>
    <row r="171">
      <c r="H171" s="3">
        <f>IF(A171="","",ROUND((C171+D171+2*F171)-(E171+G171)/2,1))</f>
        <v/>
      </c>
      <c r="I171" s="3">
        <f>IF(A171="","",IF(B171="1","Creator seeding; hire partnerships",IF(B171="2","Own short video + paid; hire shoot/edit + media buyer",IF(B171="3","Live, community, brand, multi-channel",IF(B171="4","Manage creator network as distributors","")))))</f>
        <v/>
      </c>
    </row>
    <row r="172">
      <c r="H172" s="3">
        <f>IF(A172="","",ROUND((C172+D172+2*F172)-(E172+G172)/2,1))</f>
        <v/>
      </c>
      <c r="I172" s="3">
        <f>IF(A172="","",IF(B172="1","Creator seeding; hire partnerships",IF(B172="2","Own short video + paid; hire shoot/edit + media buyer",IF(B172="3","Live, community, brand, multi-channel",IF(B172="4","Manage creator network as distributors","")))))</f>
        <v/>
      </c>
    </row>
    <row r="173">
      <c r="H173" s="3">
        <f>IF(A173="","",ROUND((C173+D173+2*F173)-(E173+G173)/2,1))</f>
        <v/>
      </c>
      <c r="I173" s="3">
        <f>IF(A173="","",IF(B173="1","Creator seeding; hire partnerships",IF(B173="2","Own short video + paid; hire shoot/edit + media buyer",IF(B173="3","Live, community, brand, multi-channel",IF(B173="4","Manage creator network as distributors","")))))</f>
        <v/>
      </c>
    </row>
    <row r="174">
      <c r="H174" s="3">
        <f>IF(A174="","",ROUND((C174+D174+2*F174)-(E174+G174)/2,1))</f>
        <v/>
      </c>
      <c r="I174" s="3">
        <f>IF(A174="","",IF(B174="1","Creator seeding; hire partnerships",IF(B174="2","Own short video + paid; hire shoot/edit + media buyer",IF(B174="3","Live, community, brand, multi-channel",IF(B174="4","Manage creator network as distributors","")))))</f>
        <v/>
      </c>
    </row>
    <row r="175">
      <c r="H175" s="3">
        <f>IF(A175="","",ROUND((C175+D175+2*F175)-(E175+G175)/2,1))</f>
        <v/>
      </c>
      <c r="I175" s="3">
        <f>IF(A175="","",IF(B175="1","Creator seeding; hire partnerships",IF(B175="2","Own short video + paid; hire shoot/edit + media buyer",IF(B175="3","Live, community, brand, multi-channel",IF(B175="4","Manage creator network as distributors","")))))</f>
        <v/>
      </c>
    </row>
    <row r="176">
      <c r="H176" s="3">
        <f>IF(A176="","",ROUND((C176+D176+2*F176)-(E176+G176)/2,1))</f>
        <v/>
      </c>
      <c r="I176" s="3">
        <f>IF(A176="","",IF(B176="1","Creator seeding; hire partnerships",IF(B176="2","Own short video + paid; hire shoot/edit + media buyer",IF(B176="3","Live, community, brand, multi-channel",IF(B176="4","Manage creator network as distributors","")))))</f>
        <v/>
      </c>
    </row>
    <row r="177">
      <c r="H177" s="3">
        <f>IF(A177="","",ROUND((C177+D177+2*F177)-(E177+G177)/2,1))</f>
        <v/>
      </c>
      <c r="I177" s="3">
        <f>IF(A177="","",IF(B177="1","Creator seeding; hire partnerships",IF(B177="2","Own short video + paid; hire shoot/edit + media buyer",IF(B177="3","Live, community, brand, multi-channel",IF(B177="4","Manage creator network as distributors","")))))</f>
        <v/>
      </c>
    </row>
    <row r="178">
      <c r="H178" s="3">
        <f>IF(A178="","",ROUND((C178+D178+2*F178)-(E178+G178)/2,1))</f>
        <v/>
      </c>
      <c r="I178" s="3">
        <f>IF(A178="","",IF(B178="1","Creator seeding; hire partnerships",IF(B178="2","Own short video + paid; hire shoot/edit + media buyer",IF(B178="3","Live, community, brand, multi-channel",IF(B178="4","Manage creator network as distributors","")))))</f>
        <v/>
      </c>
    </row>
    <row r="179">
      <c r="H179" s="3">
        <f>IF(A179="","",ROUND((C179+D179+2*F179)-(E179+G179)/2,1))</f>
        <v/>
      </c>
      <c r="I179" s="3">
        <f>IF(A179="","",IF(B179="1","Creator seeding; hire partnerships",IF(B179="2","Own short video + paid; hire shoot/edit + media buyer",IF(B179="3","Live, community, brand, multi-channel",IF(B179="4","Manage creator network as distributors","")))))</f>
        <v/>
      </c>
    </row>
    <row r="180">
      <c r="H180" s="3">
        <f>IF(A180="","",ROUND((C180+D180+2*F180)-(E180+G180)/2,1))</f>
        <v/>
      </c>
      <c r="I180" s="3">
        <f>IF(A180="","",IF(B180="1","Creator seeding; hire partnerships",IF(B180="2","Own short video + paid; hire shoot/edit + media buyer",IF(B180="3","Live, community, brand, multi-channel",IF(B180="4","Manage creator network as distributors","")))))</f>
        <v/>
      </c>
    </row>
    <row r="181">
      <c r="H181" s="3">
        <f>IF(A181="","",ROUND((C181+D181+2*F181)-(E181+G181)/2,1))</f>
        <v/>
      </c>
      <c r="I181" s="3">
        <f>IF(A181="","",IF(B181="1","Creator seeding; hire partnerships",IF(B181="2","Own short video + paid; hire shoot/edit + media buyer",IF(B181="3","Live, community, brand, multi-channel",IF(B181="4","Manage creator network as distributors","")))))</f>
        <v/>
      </c>
    </row>
    <row r="182">
      <c r="H182" s="3">
        <f>IF(A182="","",ROUND((C182+D182+2*F182)-(E182+G182)/2,1))</f>
        <v/>
      </c>
      <c r="I182" s="3">
        <f>IF(A182="","",IF(B182="1","Creator seeding; hire partnerships",IF(B182="2","Own short video + paid; hire shoot/edit + media buyer",IF(B182="3","Live, community, brand, multi-channel",IF(B182="4","Manage creator network as distributors","")))))</f>
        <v/>
      </c>
    </row>
    <row r="183">
      <c r="H183" s="3">
        <f>IF(A183="","",ROUND((C183+D183+2*F183)-(E183+G183)/2,1))</f>
        <v/>
      </c>
      <c r="I183" s="3">
        <f>IF(A183="","",IF(B183="1","Creator seeding; hire partnerships",IF(B183="2","Own short video + paid; hire shoot/edit + media buyer",IF(B183="3","Live, community, brand, multi-channel",IF(B183="4","Manage creator network as distributors","")))))</f>
        <v/>
      </c>
    </row>
    <row r="184">
      <c r="H184" s="3">
        <f>IF(A184="","",ROUND((C184+D184+2*F184)-(E184+G184)/2,1))</f>
        <v/>
      </c>
      <c r="I184" s="3">
        <f>IF(A184="","",IF(B184="1","Creator seeding; hire partnerships",IF(B184="2","Own short video + paid; hire shoot/edit + media buyer",IF(B184="3","Live, community, brand, multi-channel",IF(B184="4","Manage creator network as distributors","")))))</f>
        <v/>
      </c>
    </row>
    <row r="185">
      <c r="H185" s="3">
        <f>IF(A185="","",ROUND((C185+D185+2*F185)-(E185+G185)/2,1))</f>
        <v/>
      </c>
      <c r="I185" s="3">
        <f>IF(A185="","",IF(B185="1","Creator seeding; hire partnerships",IF(B185="2","Own short video + paid; hire shoot/edit + media buyer",IF(B185="3","Live, community, brand, multi-channel",IF(B185="4","Manage creator network as distributors","")))))</f>
        <v/>
      </c>
    </row>
    <row r="186">
      <c r="H186" s="3">
        <f>IF(A186="","",ROUND((C186+D186+2*F186)-(E186+G186)/2,1))</f>
        <v/>
      </c>
      <c r="I186" s="3">
        <f>IF(A186="","",IF(B186="1","Creator seeding; hire partnerships",IF(B186="2","Own short video + paid; hire shoot/edit + media buyer",IF(B186="3","Live, community, brand, multi-channel",IF(B186="4","Manage creator network as distributors","")))))</f>
        <v/>
      </c>
    </row>
    <row r="187">
      <c r="H187" s="3">
        <f>IF(A187="","",ROUND((C187+D187+2*F187)-(E187+G187)/2,1))</f>
        <v/>
      </c>
      <c r="I187" s="3">
        <f>IF(A187="","",IF(B187="1","Creator seeding; hire partnerships",IF(B187="2","Own short video + paid; hire shoot/edit + media buyer",IF(B187="3","Live, community, brand, multi-channel",IF(B187="4","Manage creator network as distributors","")))))</f>
        <v/>
      </c>
    </row>
    <row r="188">
      <c r="H188" s="3">
        <f>IF(A188="","",ROUND((C188+D188+2*F188)-(E188+G188)/2,1))</f>
        <v/>
      </c>
      <c r="I188" s="3">
        <f>IF(A188="","",IF(B188="1","Creator seeding; hire partnerships",IF(B188="2","Own short video + paid; hire shoot/edit + media buyer",IF(B188="3","Live, community, brand, multi-channel",IF(B188="4","Manage creator network as distributors","")))))</f>
        <v/>
      </c>
    </row>
    <row r="189">
      <c r="H189" s="3">
        <f>IF(A189="","",ROUND((C189+D189+2*F189)-(E189+G189)/2,1))</f>
        <v/>
      </c>
      <c r="I189" s="3">
        <f>IF(A189="","",IF(B189="1","Creator seeding; hire partnerships",IF(B189="2","Own short video + paid; hire shoot/edit + media buyer",IF(B189="3","Live, community, brand, multi-channel",IF(B189="4","Manage creator network as distributors","")))))</f>
        <v/>
      </c>
    </row>
    <row r="190">
      <c r="H190" s="3">
        <f>IF(A190="","",ROUND((C190+D190+2*F190)-(E190+G190)/2,1))</f>
        <v/>
      </c>
      <c r="I190" s="3">
        <f>IF(A190="","",IF(B190="1","Creator seeding; hire partnerships",IF(B190="2","Own short video + paid; hire shoot/edit + media buyer",IF(B190="3","Live, community, brand, multi-channel",IF(B190="4","Manage creator network as distributors","")))))</f>
        <v/>
      </c>
    </row>
    <row r="191">
      <c r="H191" s="3">
        <f>IF(A191="","",ROUND((C191+D191+2*F191)-(E191+G191)/2,1))</f>
        <v/>
      </c>
      <c r="I191" s="3">
        <f>IF(A191="","",IF(B191="1","Creator seeding; hire partnerships",IF(B191="2","Own short video + paid; hire shoot/edit + media buyer",IF(B191="3","Live, community, brand, multi-channel",IF(B191="4","Manage creator network as distributors","")))))</f>
        <v/>
      </c>
    </row>
    <row r="192">
      <c r="H192" s="3">
        <f>IF(A192="","",ROUND((C192+D192+2*F192)-(E192+G192)/2,1))</f>
        <v/>
      </c>
      <c r="I192" s="3">
        <f>IF(A192="","",IF(B192="1","Creator seeding; hire partnerships",IF(B192="2","Own short video + paid; hire shoot/edit + media buyer",IF(B192="3","Live, community, brand, multi-channel",IF(B192="4","Manage creator network as distributors","")))))</f>
        <v/>
      </c>
    </row>
    <row r="193">
      <c r="H193" s="3">
        <f>IF(A193="","",ROUND((C193+D193+2*F193)-(E193+G193)/2,1))</f>
        <v/>
      </c>
      <c r="I193" s="3">
        <f>IF(A193="","",IF(B193="1","Creator seeding; hire partnerships",IF(B193="2","Own short video + paid; hire shoot/edit + media buyer",IF(B193="3","Live, community, brand, multi-channel",IF(B193="4","Manage creator network as distributors","")))))</f>
        <v/>
      </c>
    </row>
    <row r="194">
      <c r="H194" s="3">
        <f>IF(A194="","",ROUND((C194+D194+2*F194)-(E194+G194)/2,1))</f>
        <v/>
      </c>
      <c r="I194" s="3">
        <f>IF(A194="","",IF(B194="1","Creator seeding; hire partnerships",IF(B194="2","Own short video + paid; hire shoot/edit + media buyer",IF(B194="3","Live, community, brand, multi-channel",IF(B194="4","Manage creator network as distributors","")))))</f>
        <v/>
      </c>
    </row>
    <row r="195">
      <c r="H195" s="3">
        <f>IF(A195="","",ROUND((C195+D195+2*F195)-(E195+G195)/2,1))</f>
        <v/>
      </c>
      <c r="I195" s="3">
        <f>IF(A195="","",IF(B195="1","Creator seeding; hire partnerships",IF(B195="2","Own short video + paid; hire shoot/edit + media buyer",IF(B195="3","Live, community, brand, multi-channel",IF(B195="4","Manage creator network as distributors","")))))</f>
        <v/>
      </c>
    </row>
    <row r="196">
      <c r="H196" s="3">
        <f>IF(A196="","",ROUND((C196+D196+2*F196)-(E196+G196)/2,1))</f>
        <v/>
      </c>
      <c r="I196" s="3">
        <f>IF(A196="","",IF(B196="1","Creator seeding; hire partnerships",IF(B196="2","Own short video + paid; hire shoot/edit + media buyer",IF(B196="3","Live, community, brand, multi-channel",IF(B196="4","Manage creator network as distributors","")))))</f>
        <v/>
      </c>
    </row>
    <row r="197">
      <c r="H197" s="3">
        <f>IF(A197="","",ROUND((C197+D197+2*F197)-(E197+G197)/2,1))</f>
        <v/>
      </c>
      <c r="I197" s="3">
        <f>IF(A197="","",IF(B197="1","Creator seeding; hire partnerships",IF(B197="2","Own short video + paid; hire shoot/edit + media buyer",IF(B197="3","Live, community, brand, multi-channel",IF(B197="4","Manage creator network as distributors","")))))</f>
        <v/>
      </c>
    </row>
    <row r="198">
      <c r="H198" s="3">
        <f>IF(A198="","",ROUND((C198+D198+2*F198)-(E198+G198)/2,1))</f>
        <v/>
      </c>
      <c r="I198" s="3">
        <f>IF(A198="","",IF(B198="1","Creator seeding; hire partnerships",IF(B198="2","Own short video + paid; hire shoot/edit + media buyer",IF(B198="3","Live, community, brand, multi-channel",IF(B198="4","Manage creator network as distributors","")))))</f>
        <v/>
      </c>
    </row>
    <row r="199">
      <c r="H199" s="3">
        <f>IF(A199="","",ROUND((C199+D199+2*F199)-(E199+G199)/2,1))</f>
        <v/>
      </c>
      <c r="I199" s="3">
        <f>IF(A199="","",IF(B199="1","Creator seeding; hire partnerships",IF(B199="2","Own short video + paid; hire shoot/edit + media buyer",IF(B199="3","Live, community, brand, multi-channel",IF(B199="4","Manage creator network as distributors","")))))</f>
        <v/>
      </c>
    </row>
    <row r="200">
      <c r="H200" s="3">
        <f>IF(A200="","",ROUND((C200+D200+2*F200)-(E200+G200)/2,1))</f>
        <v/>
      </c>
      <c r="I200" s="3">
        <f>IF(A200="","",IF(B200="1","Creator seeding; hire partnerships",IF(B200="2","Own short video + paid; hire shoot/edit + media buyer",IF(B200="3","Live, community, brand, multi-channel",IF(B200="4","Manage creator network as distributors","")))))</f>
        <v/>
      </c>
    </row>
    <row r="201">
      <c r="H201" s="3">
        <f>IF(A201="","",ROUND((C201+D201+2*F201)-(E201+G201)/2,1))</f>
        <v/>
      </c>
      <c r="I201" s="3">
        <f>IF(A201="","",IF(B201="1","Creator seeding; hire partnerships",IF(B201="2","Own short video + paid; hire shoot/edit + media buyer",IF(B201="3","Live, community, brand, multi-channel",IF(B201="4","Manage creator network as distributors","")))))</f>
        <v/>
      </c>
    </row>
  </sheetData>
  <dataValidations count="1">
    <dataValidation sqref="B2:B201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20" customWidth="1" min="2" max="2"/>
    <col width="22.85714285714286" customWidth="1" min="3" max="3"/>
    <col width="28.57142857142857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8.57142857142857" customWidth="1" min="13" max="13"/>
    <col width="15.71428571428571" customWidth="1" min="14" max="14"/>
    <col width="15.71428571428571" customWidth="1" min="15" max="15"/>
  </cols>
  <sheetData>
    <row r="1" ht="48" customHeight="1">
      <c r="A1" s="1" t="inlineStr">
        <is>
          <t>Offer / product</t>
        </is>
      </c>
      <c r="B1" s="1" t="inlineStr">
        <is>
          <t>Market / audience</t>
        </is>
      </c>
      <c r="C1" s="1" t="inlineStr">
        <is>
          <t>Source (bestseller ≤2 mo, reviews, own idea)</t>
        </is>
      </c>
      <c r="D1" s="1" t="inlineStr">
        <is>
          <t>Core differentiator</t>
        </is>
      </c>
      <c r="E1" s="1" t="inlineStr">
        <is>
          <t>Pain value (1-5)</t>
        </is>
      </c>
      <c r="F1" s="1" t="inlineStr">
        <is>
          <t>Shows in 20s video? (1-5)</t>
        </is>
      </c>
      <c r="G1" s="1" t="inlineStr">
        <is>
          <t>Customer's current cost to solve ($)</t>
        </is>
      </c>
      <c r="H1" s="1" t="inlineStr">
        <is>
          <t>Proposed price ($)</t>
        </is>
      </c>
      <c r="I1" s="1" t="inlineStr">
        <is>
          <t>Full unit cost incl. fees ($)</t>
        </is>
      </c>
      <c r="J1" s="2" t="inlineStr">
        <is>
          <t>Consumer surplus ƒ</t>
        </is>
      </c>
      <c r="K1" s="2" t="inlineStr">
        <is>
          <t>Producer surplus ƒ</t>
        </is>
      </c>
      <c r="L1" s="2" t="inlineStr">
        <is>
          <t>Gross margin % ƒ</t>
        </is>
      </c>
      <c r="M1" s="2" t="inlineStr">
        <is>
          <t>Classification ƒ</t>
        </is>
      </c>
      <c r="N1" s="1" t="inlineStr">
        <is>
          <t>Independent signals (need ≥3)</t>
        </is>
      </c>
      <c r="O1" s="1" t="inlineStr">
        <is>
          <t>Decision</t>
        </is>
      </c>
    </row>
    <row r="2">
      <c r="A2" t="inlineStr">
        <is>
          <t>Example: at-home styling tool</t>
        </is>
      </c>
      <c r="B2" t="inlineStr">
        <is>
          <t>Women 25-45</t>
        </is>
      </c>
      <c r="C2" t="inlineStr">
        <is>
          <t>Review complaints on top 5 competitors</t>
        </is>
      </c>
      <c r="D2" t="inlineStr">
        <is>
          <t>Salon result in 10 minutes</t>
        </is>
      </c>
      <c r="E2" t="n">
        <v>5</v>
      </c>
      <c r="F2" t="n">
        <v>5</v>
      </c>
      <c r="G2" s="4" t="n">
        <v>50</v>
      </c>
      <c r="H2" s="4" t="n">
        <v>49</v>
      </c>
      <c r="I2" s="4" t="n">
        <v>14</v>
      </c>
      <c r="J2" s="5">
        <f>IF(A2="","",G2-H2)</f>
        <v/>
      </c>
      <c r="K2" s="5">
        <f>IF(A2="","",H2-I2)</f>
        <v/>
      </c>
      <c r="L2" s="6">
        <f>IF(A2="","",IFERROR((H2-I2)/H2,0))</f>
        <v/>
      </c>
      <c r="M2" s="3">
        <f>IF(A2="","",IF(H2&lt;=I2,"Drop",IF(AND(J2&gt;0,IFERROR((H2-I2)/H2,0)&gt;=0.65),"Profit product",IF(IFERROR((H2-I2)/H2,0)&gt;=0.5,"Traffic product","Thin - rework"))))</f>
        <v/>
      </c>
      <c r="N2" t="n">
        <v>1</v>
      </c>
      <c r="O2" t="inlineStr">
        <is>
          <t>Test</t>
        </is>
      </c>
    </row>
    <row r="3">
      <c r="G3" s="4" t="n"/>
      <c r="H3" s="4" t="n"/>
      <c r="I3" s="4" t="n"/>
      <c r="J3" s="5">
        <f>IF(A3="","",G3-H3)</f>
        <v/>
      </c>
      <c r="K3" s="5">
        <f>IF(A3="","",H3-I3)</f>
        <v/>
      </c>
      <c r="L3" s="6">
        <f>IF(A3="","",IFERROR((H3-I3)/H3,0))</f>
        <v/>
      </c>
      <c r="M3" s="3">
        <f>IF(A3="","",IF(H3&lt;=I3,"Drop",IF(AND(J3&gt;0,IFERROR((H3-I3)/H3,0)&gt;=0.65),"Profit product",IF(IFERROR((H3-I3)/H3,0)&gt;=0.5,"Traffic product","Thin - rework"))))</f>
        <v/>
      </c>
    </row>
    <row r="4">
      <c r="G4" s="4" t="n"/>
      <c r="H4" s="4" t="n"/>
      <c r="I4" s="4" t="n"/>
      <c r="J4" s="5">
        <f>IF(A4="","",G4-H4)</f>
        <v/>
      </c>
      <c r="K4" s="5">
        <f>IF(A4="","",H4-I4)</f>
        <v/>
      </c>
      <c r="L4" s="6">
        <f>IF(A4="","",IFERROR((H4-I4)/H4,0))</f>
        <v/>
      </c>
      <c r="M4" s="3">
        <f>IF(A4="","",IF(H4&lt;=I4,"Drop",IF(AND(J4&gt;0,IFERROR((H4-I4)/H4,0)&gt;=0.65),"Profit product",IF(IFERROR((H4-I4)/H4,0)&gt;=0.5,"Traffic product","Thin - rework"))))</f>
        <v/>
      </c>
    </row>
    <row r="5">
      <c r="G5" s="4" t="n"/>
      <c r="H5" s="4" t="n"/>
      <c r="I5" s="4" t="n"/>
      <c r="J5" s="5">
        <f>IF(A5="","",G5-H5)</f>
        <v/>
      </c>
      <c r="K5" s="5">
        <f>IF(A5="","",H5-I5)</f>
        <v/>
      </c>
      <c r="L5" s="6">
        <f>IF(A5="","",IFERROR((H5-I5)/H5,0))</f>
        <v/>
      </c>
      <c r="M5" s="3">
        <f>IF(A5="","",IF(H5&lt;=I5,"Drop",IF(AND(J5&gt;0,IFERROR((H5-I5)/H5,0)&gt;=0.65),"Profit product",IF(IFERROR((H5-I5)/H5,0)&gt;=0.5,"Traffic product","Thin - rework"))))</f>
        <v/>
      </c>
    </row>
    <row r="6">
      <c r="G6" s="4" t="n"/>
      <c r="H6" s="4" t="n"/>
      <c r="I6" s="4" t="n"/>
      <c r="J6" s="5">
        <f>IF(A6="","",G6-H6)</f>
        <v/>
      </c>
      <c r="K6" s="5">
        <f>IF(A6="","",H6-I6)</f>
        <v/>
      </c>
      <c r="L6" s="6">
        <f>IF(A6="","",IFERROR((H6-I6)/H6,0))</f>
        <v/>
      </c>
      <c r="M6" s="3">
        <f>IF(A6="","",IF(H6&lt;=I6,"Drop",IF(AND(J6&gt;0,IFERROR((H6-I6)/H6,0)&gt;=0.65),"Profit product",IF(IFERROR((H6-I6)/H6,0)&gt;=0.5,"Traffic product","Thin - rework"))))</f>
        <v/>
      </c>
    </row>
    <row r="7">
      <c r="G7" s="4" t="n"/>
      <c r="H7" s="4" t="n"/>
      <c r="I7" s="4" t="n"/>
      <c r="J7" s="5">
        <f>IF(A7="","",G7-H7)</f>
        <v/>
      </c>
      <c r="K7" s="5">
        <f>IF(A7="","",H7-I7)</f>
        <v/>
      </c>
      <c r="L7" s="6">
        <f>IF(A7="","",IFERROR((H7-I7)/H7,0))</f>
        <v/>
      </c>
      <c r="M7" s="3">
        <f>IF(A7="","",IF(H7&lt;=I7,"Drop",IF(AND(J7&gt;0,IFERROR((H7-I7)/H7,0)&gt;=0.65),"Profit product",IF(IFERROR((H7-I7)/H7,0)&gt;=0.5,"Traffic product","Thin - rework"))))</f>
        <v/>
      </c>
    </row>
    <row r="8">
      <c r="G8" s="4" t="n"/>
      <c r="H8" s="4" t="n"/>
      <c r="I8" s="4" t="n"/>
      <c r="J8" s="5">
        <f>IF(A8="","",G8-H8)</f>
        <v/>
      </c>
      <c r="K8" s="5">
        <f>IF(A8="","",H8-I8)</f>
        <v/>
      </c>
      <c r="L8" s="6">
        <f>IF(A8="","",IFERROR((H8-I8)/H8,0))</f>
        <v/>
      </c>
      <c r="M8" s="3">
        <f>IF(A8="","",IF(H8&lt;=I8,"Drop",IF(AND(J8&gt;0,IFERROR((H8-I8)/H8,0)&gt;=0.65),"Profit product",IF(IFERROR((H8-I8)/H8,0)&gt;=0.5,"Traffic product","Thin - rework"))))</f>
        <v/>
      </c>
    </row>
    <row r="9">
      <c r="G9" s="4" t="n"/>
      <c r="H9" s="4" t="n"/>
      <c r="I9" s="4" t="n"/>
      <c r="J9" s="5">
        <f>IF(A9="","",G9-H9)</f>
        <v/>
      </c>
      <c r="K9" s="5">
        <f>IF(A9="","",H9-I9)</f>
        <v/>
      </c>
      <c r="L9" s="6">
        <f>IF(A9="","",IFERROR((H9-I9)/H9,0))</f>
        <v/>
      </c>
      <c r="M9" s="3">
        <f>IF(A9="","",IF(H9&lt;=I9,"Drop",IF(AND(J9&gt;0,IFERROR((H9-I9)/H9,0)&gt;=0.65),"Profit product",IF(IFERROR((H9-I9)/H9,0)&gt;=0.5,"Traffic product","Thin - rework"))))</f>
        <v/>
      </c>
    </row>
    <row r="10">
      <c r="G10" s="4" t="n"/>
      <c r="H10" s="4" t="n"/>
      <c r="I10" s="4" t="n"/>
      <c r="J10" s="5">
        <f>IF(A10="","",G10-H10)</f>
        <v/>
      </c>
      <c r="K10" s="5">
        <f>IF(A10="","",H10-I10)</f>
        <v/>
      </c>
      <c r="L10" s="6">
        <f>IF(A10="","",IFERROR((H10-I10)/H10,0))</f>
        <v/>
      </c>
      <c r="M10" s="3">
        <f>IF(A10="","",IF(H10&lt;=I10,"Drop",IF(AND(J10&gt;0,IFERROR((H10-I10)/H10,0)&gt;=0.65),"Profit product",IF(IFERROR((H10-I10)/H10,0)&gt;=0.5,"Traffic product","Thin - rework"))))</f>
        <v/>
      </c>
    </row>
    <row r="11">
      <c r="G11" s="4" t="n"/>
      <c r="H11" s="4" t="n"/>
      <c r="I11" s="4" t="n"/>
      <c r="J11" s="5">
        <f>IF(A11="","",G11-H11)</f>
        <v/>
      </c>
      <c r="K11" s="5">
        <f>IF(A11="","",H11-I11)</f>
        <v/>
      </c>
      <c r="L11" s="6">
        <f>IF(A11="","",IFERROR((H11-I11)/H11,0))</f>
        <v/>
      </c>
      <c r="M11" s="3">
        <f>IF(A11="","",IF(H11&lt;=I11,"Drop",IF(AND(J11&gt;0,IFERROR((H11-I11)/H11,0)&gt;=0.65),"Profit product",IF(IFERROR((H11-I11)/H11,0)&gt;=0.5,"Traffic product","Thin - rework"))))</f>
        <v/>
      </c>
    </row>
    <row r="12">
      <c r="G12" s="4" t="n"/>
      <c r="H12" s="4" t="n"/>
      <c r="I12" s="4" t="n"/>
      <c r="J12" s="5">
        <f>IF(A12="","",G12-H12)</f>
        <v/>
      </c>
      <c r="K12" s="5">
        <f>IF(A12="","",H12-I12)</f>
        <v/>
      </c>
      <c r="L12" s="6">
        <f>IF(A12="","",IFERROR((H12-I12)/H12,0))</f>
        <v/>
      </c>
      <c r="M12" s="3">
        <f>IF(A12="","",IF(H12&lt;=I12,"Drop",IF(AND(J12&gt;0,IFERROR((H12-I12)/H12,0)&gt;=0.65),"Profit product",IF(IFERROR((H12-I12)/H12,0)&gt;=0.5,"Traffic product","Thin - rework"))))</f>
        <v/>
      </c>
    </row>
    <row r="13">
      <c r="G13" s="4" t="n"/>
      <c r="H13" s="4" t="n"/>
      <c r="I13" s="4" t="n"/>
      <c r="J13" s="5">
        <f>IF(A13="","",G13-H13)</f>
        <v/>
      </c>
      <c r="K13" s="5">
        <f>IF(A13="","",H13-I13)</f>
        <v/>
      </c>
      <c r="L13" s="6">
        <f>IF(A13="","",IFERROR((H13-I13)/H13,0))</f>
        <v/>
      </c>
      <c r="M13" s="3">
        <f>IF(A13="","",IF(H13&lt;=I13,"Drop",IF(AND(J13&gt;0,IFERROR((H13-I13)/H13,0)&gt;=0.65),"Profit product",IF(IFERROR((H13-I13)/H13,0)&gt;=0.5,"Traffic product","Thin - rework"))))</f>
        <v/>
      </c>
    </row>
    <row r="14">
      <c r="G14" s="4" t="n"/>
      <c r="H14" s="4" t="n"/>
      <c r="I14" s="4" t="n"/>
      <c r="J14" s="5">
        <f>IF(A14="","",G14-H14)</f>
        <v/>
      </c>
      <c r="K14" s="5">
        <f>IF(A14="","",H14-I14)</f>
        <v/>
      </c>
      <c r="L14" s="6">
        <f>IF(A14="","",IFERROR((H14-I14)/H14,0))</f>
        <v/>
      </c>
      <c r="M14" s="3">
        <f>IF(A14="","",IF(H14&lt;=I14,"Drop",IF(AND(J14&gt;0,IFERROR((H14-I14)/H14,0)&gt;=0.65),"Profit product",IF(IFERROR((H14-I14)/H14,0)&gt;=0.5,"Traffic product","Thin - rework"))))</f>
        <v/>
      </c>
    </row>
    <row r="15">
      <c r="G15" s="4" t="n"/>
      <c r="H15" s="4" t="n"/>
      <c r="I15" s="4" t="n"/>
      <c r="J15" s="5">
        <f>IF(A15="","",G15-H15)</f>
        <v/>
      </c>
      <c r="K15" s="5">
        <f>IF(A15="","",H15-I15)</f>
        <v/>
      </c>
      <c r="L15" s="6">
        <f>IF(A15="","",IFERROR((H15-I15)/H15,0))</f>
        <v/>
      </c>
      <c r="M15" s="3">
        <f>IF(A15="","",IF(H15&lt;=I15,"Drop",IF(AND(J15&gt;0,IFERROR((H15-I15)/H15,0)&gt;=0.65),"Profit product",IF(IFERROR((H15-I15)/H15,0)&gt;=0.5,"Traffic product","Thin - rework"))))</f>
        <v/>
      </c>
    </row>
    <row r="16">
      <c r="G16" s="4" t="n"/>
      <c r="H16" s="4" t="n"/>
      <c r="I16" s="4" t="n"/>
      <c r="J16" s="5">
        <f>IF(A16="","",G16-H16)</f>
        <v/>
      </c>
      <c r="K16" s="5">
        <f>IF(A16="","",H16-I16)</f>
        <v/>
      </c>
      <c r="L16" s="6">
        <f>IF(A16="","",IFERROR((H16-I16)/H16,0))</f>
        <v/>
      </c>
      <c r="M16" s="3">
        <f>IF(A16="","",IF(H16&lt;=I16,"Drop",IF(AND(J16&gt;0,IFERROR((H16-I16)/H16,0)&gt;=0.65),"Profit product",IF(IFERROR((H16-I16)/H16,0)&gt;=0.5,"Traffic product","Thin - rework"))))</f>
        <v/>
      </c>
    </row>
    <row r="17">
      <c r="G17" s="4" t="n"/>
      <c r="H17" s="4" t="n"/>
      <c r="I17" s="4" t="n"/>
      <c r="J17" s="5">
        <f>IF(A17="","",G17-H17)</f>
        <v/>
      </c>
      <c r="K17" s="5">
        <f>IF(A17="","",H17-I17)</f>
        <v/>
      </c>
      <c r="L17" s="6">
        <f>IF(A17="","",IFERROR((H17-I17)/H17,0))</f>
        <v/>
      </c>
      <c r="M17" s="3">
        <f>IF(A17="","",IF(H17&lt;=I17,"Drop",IF(AND(J17&gt;0,IFERROR((H17-I17)/H17,0)&gt;=0.65),"Profit product",IF(IFERROR((H17-I17)/H17,0)&gt;=0.5,"Traffic product","Thin - rework"))))</f>
        <v/>
      </c>
    </row>
    <row r="18">
      <c r="G18" s="4" t="n"/>
      <c r="H18" s="4" t="n"/>
      <c r="I18" s="4" t="n"/>
      <c r="J18" s="5">
        <f>IF(A18="","",G18-H18)</f>
        <v/>
      </c>
      <c r="K18" s="5">
        <f>IF(A18="","",H18-I18)</f>
        <v/>
      </c>
      <c r="L18" s="6">
        <f>IF(A18="","",IFERROR((H18-I18)/H18,0))</f>
        <v/>
      </c>
      <c r="M18" s="3">
        <f>IF(A18="","",IF(H18&lt;=I18,"Drop",IF(AND(J18&gt;0,IFERROR((H18-I18)/H18,0)&gt;=0.65),"Profit product",IF(IFERROR((H18-I18)/H18,0)&gt;=0.5,"Traffic product","Thin - rework"))))</f>
        <v/>
      </c>
    </row>
    <row r="19">
      <c r="G19" s="4" t="n"/>
      <c r="H19" s="4" t="n"/>
      <c r="I19" s="4" t="n"/>
      <c r="J19" s="5">
        <f>IF(A19="","",G19-H19)</f>
        <v/>
      </c>
      <c r="K19" s="5">
        <f>IF(A19="","",H19-I19)</f>
        <v/>
      </c>
      <c r="L19" s="6">
        <f>IF(A19="","",IFERROR((H19-I19)/H19,0))</f>
        <v/>
      </c>
      <c r="M19" s="3">
        <f>IF(A19="","",IF(H19&lt;=I19,"Drop",IF(AND(J19&gt;0,IFERROR((H19-I19)/H19,0)&gt;=0.65),"Profit product",IF(IFERROR((H19-I19)/H19,0)&gt;=0.5,"Traffic product","Thin - rework"))))</f>
        <v/>
      </c>
    </row>
    <row r="20">
      <c r="G20" s="4" t="n"/>
      <c r="H20" s="4" t="n"/>
      <c r="I20" s="4" t="n"/>
      <c r="J20" s="5">
        <f>IF(A20="","",G20-H20)</f>
        <v/>
      </c>
      <c r="K20" s="5">
        <f>IF(A20="","",H20-I20)</f>
        <v/>
      </c>
      <c r="L20" s="6">
        <f>IF(A20="","",IFERROR((H20-I20)/H20,0))</f>
        <v/>
      </c>
      <c r="M20" s="3">
        <f>IF(A20="","",IF(H20&lt;=I20,"Drop",IF(AND(J20&gt;0,IFERROR((H20-I20)/H20,0)&gt;=0.65),"Profit product",IF(IFERROR((H20-I20)/H20,0)&gt;=0.5,"Traffic product","Thin - rework"))))</f>
        <v/>
      </c>
    </row>
    <row r="21">
      <c r="G21" s="4" t="n"/>
      <c r="H21" s="4" t="n"/>
      <c r="I21" s="4" t="n"/>
      <c r="J21" s="5">
        <f>IF(A21="","",G21-H21)</f>
        <v/>
      </c>
      <c r="K21" s="5">
        <f>IF(A21="","",H21-I21)</f>
        <v/>
      </c>
      <c r="L21" s="6">
        <f>IF(A21="","",IFERROR((H21-I21)/H21,0))</f>
        <v/>
      </c>
      <c r="M21" s="3">
        <f>IF(A21="","",IF(H21&lt;=I21,"Drop",IF(AND(J21&gt;0,IFERROR((H21-I21)/H21,0)&gt;=0.65),"Profit product",IF(IFERROR((H21-I21)/H21,0)&gt;=0.5,"Traffic product","Thin - rework"))))</f>
        <v/>
      </c>
    </row>
    <row r="22">
      <c r="G22" s="4" t="n"/>
      <c r="H22" s="4" t="n"/>
      <c r="I22" s="4" t="n"/>
      <c r="J22" s="5">
        <f>IF(A22="","",G22-H22)</f>
        <v/>
      </c>
      <c r="K22" s="5">
        <f>IF(A22="","",H22-I22)</f>
        <v/>
      </c>
      <c r="L22" s="6">
        <f>IF(A22="","",IFERROR((H22-I22)/H22,0))</f>
        <v/>
      </c>
      <c r="M22" s="3">
        <f>IF(A22="","",IF(H22&lt;=I22,"Drop",IF(AND(J22&gt;0,IFERROR((H22-I22)/H22,0)&gt;=0.65),"Profit product",IF(IFERROR((H22-I22)/H22,0)&gt;=0.5,"Traffic product","Thin - rework"))))</f>
        <v/>
      </c>
    </row>
    <row r="23">
      <c r="G23" s="4" t="n"/>
      <c r="H23" s="4" t="n"/>
      <c r="I23" s="4" t="n"/>
      <c r="J23" s="5">
        <f>IF(A23="","",G23-H23)</f>
        <v/>
      </c>
      <c r="K23" s="5">
        <f>IF(A23="","",H23-I23)</f>
        <v/>
      </c>
      <c r="L23" s="6">
        <f>IF(A23="","",IFERROR((H23-I23)/H23,0))</f>
        <v/>
      </c>
      <c r="M23" s="3">
        <f>IF(A23="","",IF(H23&lt;=I23,"Drop",IF(AND(J23&gt;0,IFERROR((H23-I23)/H23,0)&gt;=0.65),"Profit product",IF(IFERROR((H23-I23)/H23,0)&gt;=0.5,"Traffic product","Thin - rework"))))</f>
        <v/>
      </c>
    </row>
    <row r="24">
      <c r="G24" s="4" t="n"/>
      <c r="H24" s="4" t="n"/>
      <c r="I24" s="4" t="n"/>
      <c r="J24" s="5">
        <f>IF(A24="","",G24-H24)</f>
        <v/>
      </c>
      <c r="K24" s="5">
        <f>IF(A24="","",H24-I24)</f>
        <v/>
      </c>
      <c r="L24" s="6">
        <f>IF(A24="","",IFERROR((H24-I24)/H24,0))</f>
        <v/>
      </c>
      <c r="M24" s="3">
        <f>IF(A24="","",IF(H24&lt;=I24,"Drop",IF(AND(J24&gt;0,IFERROR((H24-I24)/H24,0)&gt;=0.65),"Profit product",IF(IFERROR((H24-I24)/H24,0)&gt;=0.5,"Traffic product","Thin - rework"))))</f>
        <v/>
      </c>
    </row>
    <row r="25">
      <c r="G25" s="4" t="n"/>
      <c r="H25" s="4" t="n"/>
      <c r="I25" s="4" t="n"/>
      <c r="J25" s="5">
        <f>IF(A25="","",G25-H25)</f>
        <v/>
      </c>
      <c r="K25" s="5">
        <f>IF(A25="","",H25-I25)</f>
        <v/>
      </c>
      <c r="L25" s="6">
        <f>IF(A25="","",IFERROR((H25-I25)/H25,0))</f>
        <v/>
      </c>
      <c r="M25" s="3">
        <f>IF(A25="","",IF(H25&lt;=I25,"Drop",IF(AND(J25&gt;0,IFERROR((H25-I25)/H25,0)&gt;=0.65),"Profit product",IF(IFERROR((H25-I25)/H25,0)&gt;=0.5,"Traffic product","Thin - rework"))))</f>
        <v/>
      </c>
    </row>
    <row r="26">
      <c r="G26" s="4" t="n"/>
      <c r="H26" s="4" t="n"/>
      <c r="I26" s="4" t="n"/>
      <c r="J26" s="5">
        <f>IF(A26="","",G26-H26)</f>
        <v/>
      </c>
      <c r="K26" s="5">
        <f>IF(A26="","",H26-I26)</f>
        <v/>
      </c>
      <c r="L26" s="6">
        <f>IF(A26="","",IFERROR((H26-I26)/H26,0))</f>
        <v/>
      </c>
      <c r="M26" s="3">
        <f>IF(A26="","",IF(H26&lt;=I26,"Drop",IF(AND(J26&gt;0,IFERROR((H26-I26)/H26,0)&gt;=0.65),"Profit product",IF(IFERROR((H26-I26)/H26,0)&gt;=0.5,"Traffic product","Thin - rework"))))</f>
        <v/>
      </c>
    </row>
    <row r="27">
      <c r="G27" s="4" t="n"/>
      <c r="H27" s="4" t="n"/>
      <c r="I27" s="4" t="n"/>
      <c r="J27" s="5">
        <f>IF(A27="","",G27-H27)</f>
        <v/>
      </c>
      <c r="K27" s="5">
        <f>IF(A27="","",H27-I27)</f>
        <v/>
      </c>
      <c r="L27" s="6">
        <f>IF(A27="","",IFERROR((H27-I27)/H27,0))</f>
        <v/>
      </c>
      <c r="M27" s="3">
        <f>IF(A27="","",IF(H27&lt;=I27,"Drop",IF(AND(J27&gt;0,IFERROR((H27-I27)/H27,0)&gt;=0.65),"Profit product",IF(IFERROR((H27-I27)/H27,0)&gt;=0.5,"Traffic product","Thin - rework"))))</f>
        <v/>
      </c>
    </row>
    <row r="28">
      <c r="G28" s="4" t="n"/>
      <c r="H28" s="4" t="n"/>
      <c r="I28" s="4" t="n"/>
      <c r="J28" s="5">
        <f>IF(A28="","",G28-H28)</f>
        <v/>
      </c>
      <c r="K28" s="5">
        <f>IF(A28="","",H28-I28)</f>
        <v/>
      </c>
      <c r="L28" s="6">
        <f>IF(A28="","",IFERROR((H28-I28)/H28,0))</f>
        <v/>
      </c>
      <c r="M28" s="3">
        <f>IF(A28="","",IF(H28&lt;=I28,"Drop",IF(AND(J28&gt;0,IFERROR((H28-I28)/H28,0)&gt;=0.65),"Profit product",IF(IFERROR((H28-I28)/H28,0)&gt;=0.5,"Traffic product","Thin - rework"))))</f>
        <v/>
      </c>
    </row>
    <row r="29">
      <c r="G29" s="4" t="n"/>
      <c r="H29" s="4" t="n"/>
      <c r="I29" s="4" t="n"/>
      <c r="J29" s="5">
        <f>IF(A29="","",G29-H29)</f>
        <v/>
      </c>
      <c r="K29" s="5">
        <f>IF(A29="","",H29-I29)</f>
        <v/>
      </c>
      <c r="L29" s="6">
        <f>IF(A29="","",IFERROR((H29-I29)/H29,0))</f>
        <v/>
      </c>
      <c r="M29" s="3">
        <f>IF(A29="","",IF(H29&lt;=I29,"Drop",IF(AND(J29&gt;0,IFERROR((H29-I29)/H29,0)&gt;=0.65),"Profit product",IF(IFERROR((H29-I29)/H29,0)&gt;=0.5,"Traffic product","Thin - rework"))))</f>
        <v/>
      </c>
    </row>
    <row r="30">
      <c r="G30" s="4" t="n"/>
      <c r="H30" s="4" t="n"/>
      <c r="I30" s="4" t="n"/>
      <c r="J30" s="5">
        <f>IF(A30="","",G30-H30)</f>
        <v/>
      </c>
      <c r="K30" s="5">
        <f>IF(A30="","",H30-I30)</f>
        <v/>
      </c>
      <c r="L30" s="6">
        <f>IF(A30="","",IFERROR((H30-I30)/H30,0))</f>
        <v/>
      </c>
      <c r="M30" s="3">
        <f>IF(A30="","",IF(H30&lt;=I30,"Drop",IF(AND(J30&gt;0,IFERROR((H30-I30)/H30,0)&gt;=0.65),"Profit product",IF(IFERROR((H30-I30)/H30,0)&gt;=0.5,"Traffic product","Thin - rework"))))</f>
        <v/>
      </c>
    </row>
    <row r="31">
      <c r="G31" s="4" t="n"/>
      <c r="H31" s="4" t="n"/>
      <c r="I31" s="4" t="n"/>
      <c r="J31" s="5">
        <f>IF(A31="","",G31-H31)</f>
        <v/>
      </c>
      <c r="K31" s="5">
        <f>IF(A31="","",H31-I31)</f>
        <v/>
      </c>
      <c r="L31" s="6">
        <f>IF(A31="","",IFERROR((H31-I31)/H31,0))</f>
        <v/>
      </c>
      <c r="M31" s="3">
        <f>IF(A31="","",IF(H31&lt;=I31,"Drop",IF(AND(J31&gt;0,IFERROR((H31-I31)/H31,0)&gt;=0.65),"Profit product",IF(IFERROR((H31-I31)/H31,0)&gt;=0.5,"Traffic product","Thin - rework"))))</f>
        <v/>
      </c>
    </row>
    <row r="32">
      <c r="G32" s="4" t="n"/>
      <c r="H32" s="4" t="n"/>
      <c r="I32" s="4" t="n"/>
      <c r="J32" s="5">
        <f>IF(A32="","",G32-H32)</f>
        <v/>
      </c>
      <c r="K32" s="5">
        <f>IF(A32="","",H32-I32)</f>
        <v/>
      </c>
      <c r="L32" s="6">
        <f>IF(A32="","",IFERROR((H32-I32)/H32,0))</f>
        <v/>
      </c>
      <c r="M32" s="3">
        <f>IF(A32="","",IF(H32&lt;=I32,"Drop",IF(AND(J32&gt;0,IFERROR((H32-I32)/H32,0)&gt;=0.65),"Profit product",IF(IFERROR((H32-I32)/H32,0)&gt;=0.5,"Traffic product","Thin - rework"))))</f>
        <v/>
      </c>
    </row>
    <row r="33">
      <c r="G33" s="4" t="n"/>
      <c r="H33" s="4" t="n"/>
      <c r="I33" s="4" t="n"/>
      <c r="J33" s="5">
        <f>IF(A33="","",G33-H33)</f>
        <v/>
      </c>
      <c r="K33" s="5">
        <f>IF(A33="","",H33-I33)</f>
        <v/>
      </c>
      <c r="L33" s="6">
        <f>IF(A33="","",IFERROR((H33-I33)/H33,0))</f>
        <v/>
      </c>
      <c r="M33" s="3">
        <f>IF(A33="","",IF(H33&lt;=I33,"Drop",IF(AND(J33&gt;0,IFERROR((H33-I33)/H33,0)&gt;=0.65),"Profit product",IF(IFERROR((H33-I33)/H33,0)&gt;=0.5,"Traffic product","Thin - rework"))))</f>
        <v/>
      </c>
    </row>
    <row r="34">
      <c r="G34" s="4" t="n"/>
      <c r="H34" s="4" t="n"/>
      <c r="I34" s="4" t="n"/>
      <c r="J34" s="5">
        <f>IF(A34="","",G34-H34)</f>
        <v/>
      </c>
      <c r="K34" s="5">
        <f>IF(A34="","",H34-I34)</f>
        <v/>
      </c>
      <c r="L34" s="6">
        <f>IF(A34="","",IFERROR((H34-I34)/H34,0))</f>
        <v/>
      </c>
      <c r="M34" s="3">
        <f>IF(A34="","",IF(H34&lt;=I34,"Drop",IF(AND(J34&gt;0,IFERROR((H34-I34)/H34,0)&gt;=0.65),"Profit product",IF(IFERROR((H34-I34)/H34,0)&gt;=0.5,"Traffic product","Thin - rework"))))</f>
        <v/>
      </c>
    </row>
    <row r="35">
      <c r="G35" s="4" t="n"/>
      <c r="H35" s="4" t="n"/>
      <c r="I35" s="4" t="n"/>
      <c r="J35" s="5">
        <f>IF(A35="","",G35-H35)</f>
        <v/>
      </c>
      <c r="K35" s="5">
        <f>IF(A35="","",H35-I35)</f>
        <v/>
      </c>
      <c r="L35" s="6">
        <f>IF(A35="","",IFERROR((H35-I35)/H35,0))</f>
        <v/>
      </c>
      <c r="M35" s="3">
        <f>IF(A35="","",IF(H35&lt;=I35,"Drop",IF(AND(J35&gt;0,IFERROR((H35-I35)/H35,0)&gt;=0.65),"Profit product",IF(IFERROR((H35-I35)/H35,0)&gt;=0.5,"Traffic product","Thin - rework"))))</f>
        <v/>
      </c>
    </row>
    <row r="36">
      <c r="G36" s="4" t="n"/>
      <c r="H36" s="4" t="n"/>
      <c r="I36" s="4" t="n"/>
      <c r="J36" s="5">
        <f>IF(A36="","",G36-H36)</f>
        <v/>
      </c>
      <c r="K36" s="5">
        <f>IF(A36="","",H36-I36)</f>
        <v/>
      </c>
      <c r="L36" s="6">
        <f>IF(A36="","",IFERROR((H36-I36)/H36,0))</f>
        <v/>
      </c>
      <c r="M36" s="3">
        <f>IF(A36="","",IF(H36&lt;=I36,"Drop",IF(AND(J36&gt;0,IFERROR((H36-I36)/H36,0)&gt;=0.65),"Profit product",IF(IFERROR((H36-I36)/H36,0)&gt;=0.5,"Traffic product","Thin - rework"))))</f>
        <v/>
      </c>
    </row>
    <row r="37">
      <c r="G37" s="4" t="n"/>
      <c r="H37" s="4" t="n"/>
      <c r="I37" s="4" t="n"/>
      <c r="J37" s="5">
        <f>IF(A37="","",G37-H37)</f>
        <v/>
      </c>
      <c r="K37" s="5">
        <f>IF(A37="","",H37-I37)</f>
        <v/>
      </c>
      <c r="L37" s="6">
        <f>IF(A37="","",IFERROR((H37-I37)/H37,0))</f>
        <v/>
      </c>
      <c r="M37" s="3">
        <f>IF(A37="","",IF(H37&lt;=I37,"Drop",IF(AND(J37&gt;0,IFERROR((H37-I37)/H37,0)&gt;=0.65),"Profit product",IF(IFERROR((H37-I37)/H37,0)&gt;=0.5,"Traffic product","Thin - rework"))))</f>
        <v/>
      </c>
    </row>
    <row r="38">
      <c r="G38" s="4" t="n"/>
      <c r="H38" s="4" t="n"/>
      <c r="I38" s="4" t="n"/>
      <c r="J38" s="5">
        <f>IF(A38="","",G38-H38)</f>
        <v/>
      </c>
      <c r="K38" s="5">
        <f>IF(A38="","",H38-I38)</f>
        <v/>
      </c>
      <c r="L38" s="6">
        <f>IF(A38="","",IFERROR((H38-I38)/H38,0))</f>
        <v/>
      </c>
      <c r="M38" s="3">
        <f>IF(A38="","",IF(H38&lt;=I38,"Drop",IF(AND(J38&gt;0,IFERROR((H38-I38)/H38,0)&gt;=0.65),"Profit product",IF(IFERROR((H38-I38)/H38,0)&gt;=0.5,"Traffic product","Thin - rework"))))</f>
        <v/>
      </c>
    </row>
    <row r="39">
      <c r="G39" s="4" t="n"/>
      <c r="H39" s="4" t="n"/>
      <c r="I39" s="4" t="n"/>
      <c r="J39" s="5">
        <f>IF(A39="","",G39-H39)</f>
        <v/>
      </c>
      <c r="K39" s="5">
        <f>IF(A39="","",H39-I39)</f>
        <v/>
      </c>
      <c r="L39" s="6">
        <f>IF(A39="","",IFERROR((H39-I39)/H39,0))</f>
        <v/>
      </c>
      <c r="M39" s="3">
        <f>IF(A39="","",IF(H39&lt;=I39,"Drop",IF(AND(J39&gt;0,IFERROR((H39-I39)/H39,0)&gt;=0.65),"Profit product",IF(IFERROR((H39-I39)/H39,0)&gt;=0.5,"Traffic product","Thin - rework"))))</f>
        <v/>
      </c>
    </row>
    <row r="40">
      <c r="G40" s="4" t="n"/>
      <c r="H40" s="4" t="n"/>
      <c r="I40" s="4" t="n"/>
      <c r="J40" s="5">
        <f>IF(A40="","",G40-H40)</f>
        <v/>
      </c>
      <c r="K40" s="5">
        <f>IF(A40="","",H40-I40)</f>
        <v/>
      </c>
      <c r="L40" s="6">
        <f>IF(A40="","",IFERROR((H40-I40)/H40,0))</f>
        <v/>
      </c>
      <c r="M40" s="3">
        <f>IF(A40="","",IF(H40&lt;=I40,"Drop",IF(AND(J40&gt;0,IFERROR((H40-I40)/H40,0)&gt;=0.65),"Profit product",IF(IFERROR((H40-I40)/H40,0)&gt;=0.5,"Traffic product","Thin - rework"))))</f>
        <v/>
      </c>
    </row>
    <row r="41">
      <c r="G41" s="4" t="n"/>
      <c r="H41" s="4" t="n"/>
      <c r="I41" s="4" t="n"/>
      <c r="J41" s="5">
        <f>IF(A41="","",G41-H41)</f>
        <v/>
      </c>
      <c r="K41" s="5">
        <f>IF(A41="","",H41-I41)</f>
        <v/>
      </c>
      <c r="L41" s="6">
        <f>IF(A41="","",IFERROR((H41-I41)/H41,0))</f>
        <v/>
      </c>
      <c r="M41" s="3">
        <f>IF(A41="","",IF(H41&lt;=I41,"Drop",IF(AND(J41&gt;0,IFERROR((H41-I41)/H41,0)&gt;=0.65),"Profit product",IF(IFERROR((H41-I41)/H41,0)&gt;=0.5,"Traffic product","Thin - rework"))))</f>
        <v/>
      </c>
    </row>
    <row r="42">
      <c r="G42" s="4" t="n"/>
      <c r="H42" s="4" t="n"/>
      <c r="I42" s="4" t="n"/>
      <c r="J42" s="5">
        <f>IF(A42="","",G42-H42)</f>
        <v/>
      </c>
      <c r="K42" s="5">
        <f>IF(A42="","",H42-I42)</f>
        <v/>
      </c>
      <c r="L42" s="6">
        <f>IF(A42="","",IFERROR((H42-I42)/H42,0))</f>
        <v/>
      </c>
      <c r="M42" s="3">
        <f>IF(A42="","",IF(H42&lt;=I42,"Drop",IF(AND(J42&gt;0,IFERROR((H42-I42)/H42,0)&gt;=0.65),"Profit product",IF(IFERROR((H42-I42)/H42,0)&gt;=0.5,"Traffic product","Thin - rework"))))</f>
        <v/>
      </c>
    </row>
    <row r="43">
      <c r="G43" s="4" t="n"/>
      <c r="H43" s="4" t="n"/>
      <c r="I43" s="4" t="n"/>
      <c r="J43" s="5">
        <f>IF(A43="","",G43-H43)</f>
        <v/>
      </c>
      <c r="K43" s="5">
        <f>IF(A43="","",H43-I43)</f>
        <v/>
      </c>
      <c r="L43" s="6">
        <f>IF(A43="","",IFERROR((H43-I43)/H43,0))</f>
        <v/>
      </c>
      <c r="M43" s="3">
        <f>IF(A43="","",IF(H43&lt;=I43,"Drop",IF(AND(J43&gt;0,IFERROR((H43-I43)/H43,0)&gt;=0.65),"Profit product",IF(IFERROR((H43-I43)/H43,0)&gt;=0.5,"Traffic product","Thin - rework"))))</f>
        <v/>
      </c>
    </row>
    <row r="44">
      <c r="G44" s="4" t="n"/>
      <c r="H44" s="4" t="n"/>
      <c r="I44" s="4" t="n"/>
      <c r="J44" s="5">
        <f>IF(A44="","",G44-H44)</f>
        <v/>
      </c>
      <c r="K44" s="5">
        <f>IF(A44="","",H44-I44)</f>
        <v/>
      </c>
      <c r="L44" s="6">
        <f>IF(A44="","",IFERROR((H44-I44)/H44,0))</f>
        <v/>
      </c>
      <c r="M44" s="3">
        <f>IF(A44="","",IF(H44&lt;=I44,"Drop",IF(AND(J44&gt;0,IFERROR((H44-I44)/H44,0)&gt;=0.65),"Profit product",IF(IFERROR((H44-I44)/H44,0)&gt;=0.5,"Traffic product","Thin - rework"))))</f>
        <v/>
      </c>
    </row>
    <row r="45">
      <c r="G45" s="4" t="n"/>
      <c r="H45" s="4" t="n"/>
      <c r="I45" s="4" t="n"/>
      <c r="J45" s="5">
        <f>IF(A45="","",G45-H45)</f>
        <v/>
      </c>
      <c r="K45" s="5">
        <f>IF(A45="","",H45-I45)</f>
        <v/>
      </c>
      <c r="L45" s="6">
        <f>IF(A45="","",IFERROR((H45-I45)/H45,0))</f>
        <v/>
      </c>
      <c r="M45" s="3">
        <f>IF(A45="","",IF(H45&lt;=I45,"Drop",IF(AND(J45&gt;0,IFERROR((H45-I45)/H45,0)&gt;=0.65),"Profit product",IF(IFERROR((H45-I45)/H45,0)&gt;=0.5,"Traffic product","Thin - rework"))))</f>
        <v/>
      </c>
    </row>
    <row r="46">
      <c r="G46" s="4" t="n"/>
      <c r="H46" s="4" t="n"/>
      <c r="I46" s="4" t="n"/>
      <c r="J46" s="5">
        <f>IF(A46="","",G46-H46)</f>
        <v/>
      </c>
      <c r="K46" s="5">
        <f>IF(A46="","",H46-I46)</f>
        <v/>
      </c>
      <c r="L46" s="6">
        <f>IF(A46="","",IFERROR((H46-I46)/H46,0))</f>
        <v/>
      </c>
      <c r="M46" s="3">
        <f>IF(A46="","",IF(H46&lt;=I46,"Drop",IF(AND(J46&gt;0,IFERROR((H46-I46)/H46,0)&gt;=0.65),"Profit product",IF(IFERROR((H46-I46)/H46,0)&gt;=0.5,"Traffic product","Thin - rework"))))</f>
        <v/>
      </c>
    </row>
    <row r="47">
      <c r="G47" s="4" t="n"/>
      <c r="H47" s="4" t="n"/>
      <c r="I47" s="4" t="n"/>
      <c r="J47" s="5">
        <f>IF(A47="","",G47-H47)</f>
        <v/>
      </c>
      <c r="K47" s="5">
        <f>IF(A47="","",H47-I47)</f>
        <v/>
      </c>
      <c r="L47" s="6">
        <f>IF(A47="","",IFERROR((H47-I47)/H47,0))</f>
        <v/>
      </c>
      <c r="M47" s="3">
        <f>IF(A47="","",IF(H47&lt;=I47,"Drop",IF(AND(J47&gt;0,IFERROR((H47-I47)/H47,0)&gt;=0.65),"Profit product",IF(IFERROR((H47-I47)/H47,0)&gt;=0.5,"Traffic product","Thin - rework"))))</f>
        <v/>
      </c>
    </row>
    <row r="48">
      <c r="G48" s="4" t="n"/>
      <c r="H48" s="4" t="n"/>
      <c r="I48" s="4" t="n"/>
      <c r="J48" s="5">
        <f>IF(A48="","",G48-H48)</f>
        <v/>
      </c>
      <c r="K48" s="5">
        <f>IF(A48="","",H48-I48)</f>
        <v/>
      </c>
      <c r="L48" s="6">
        <f>IF(A48="","",IFERROR((H48-I48)/H48,0))</f>
        <v/>
      </c>
      <c r="M48" s="3">
        <f>IF(A48="","",IF(H48&lt;=I48,"Drop",IF(AND(J48&gt;0,IFERROR((H48-I48)/H48,0)&gt;=0.65),"Profit product",IF(IFERROR((H48-I48)/H48,0)&gt;=0.5,"Traffic product","Thin - rework"))))</f>
        <v/>
      </c>
    </row>
    <row r="49">
      <c r="G49" s="4" t="n"/>
      <c r="H49" s="4" t="n"/>
      <c r="I49" s="4" t="n"/>
      <c r="J49" s="5">
        <f>IF(A49="","",G49-H49)</f>
        <v/>
      </c>
      <c r="K49" s="5">
        <f>IF(A49="","",H49-I49)</f>
        <v/>
      </c>
      <c r="L49" s="6">
        <f>IF(A49="","",IFERROR((H49-I49)/H49,0))</f>
        <v/>
      </c>
      <c r="M49" s="3">
        <f>IF(A49="","",IF(H49&lt;=I49,"Drop",IF(AND(J49&gt;0,IFERROR((H49-I49)/H49,0)&gt;=0.65),"Profit product",IF(IFERROR((H49-I49)/H49,0)&gt;=0.5,"Traffic product","Thin - rework"))))</f>
        <v/>
      </c>
    </row>
    <row r="50">
      <c r="G50" s="4" t="n"/>
      <c r="H50" s="4" t="n"/>
      <c r="I50" s="4" t="n"/>
      <c r="J50" s="5">
        <f>IF(A50="","",G50-H50)</f>
        <v/>
      </c>
      <c r="K50" s="5">
        <f>IF(A50="","",H50-I50)</f>
        <v/>
      </c>
      <c r="L50" s="6">
        <f>IF(A50="","",IFERROR((H50-I50)/H50,0))</f>
        <v/>
      </c>
      <c r="M50" s="3">
        <f>IF(A50="","",IF(H50&lt;=I50,"Drop",IF(AND(J50&gt;0,IFERROR((H50-I50)/H50,0)&gt;=0.65),"Profit product",IF(IFERROR((H50-I50)/H50,0)&gt;=0.5,"Traffic product","Thin - rework"))))</f>
        <v/>
      </c>
    </row>
    <row r="51">
      <c r="G51" s="4" t="n"/>
      <c r="H51" s="4" t="n"/>
      <c r="I51" s="4" t="n"/>
      <c r="J51" s="5">
        <f>IF(A51="","",G51-H51)</f>
        <v/>
      </c>
      <c r="K51" s="5">
        <f>IF(A51="","",H51-I51)</f>
        <v/>
      </c>
      <c r="L51" s="6">
        <f>IF(A51="","",IFERROR((H51-I51)/H51,0))</f>
        <v/>
      </c>
      <c r="M51" s="3">
        <f>IF(A51="","",IF(H51&lt;=I51,"Drop",IF(AND(J51&gt;0,IFERROR((H51-I51)/H51,0)&gt;=0.65),"Profit product",IF(IFERROR((H51-I51)/H51,0)&gt;=0.5,"Traffic product","Thin - rework"))))</f>
        <v/>
      </c>
    </row>
    <row r="52">
      <c r="G52" s="4" t="n"/>
      <c r="H52" s="4" t="n"/>
      <c r="I52" s="4" t="n"/>
      <c r="J52" s="5">
        <f>IF(A52="","",G52-H52)</f>
        <v/>
      </c>
      <c r="K52" s="5">
        <f>IF(A52="","",H52-I52)</f>
        <v/>
      </c>
      <c r="L52" s="6">
        <f>IF(A52="","",IFERROR((H52-I52)/H52,0))</f>
        <v/>
      </c>
      <c r="M52" s="3">
        <f>IF(A52="","",IF(H52&lt;=I52,"Drop",IF(AND(J52&gt;0,IFERROR((H52-I52)/H52,0)&gt;=0.65),"Profit product",IF(IFERROR((H52-I52)/H52,0)&gt;=0.5,"Traffic product","Thin - rework"))))</f>
        <v/>
      </c>
    </row>
    <row r="53">
      <c r="G53" s="4" t="n"/>
      <c r="H53" s="4" t="n"/>
      <c r="I53" s="4" t="n"/>
      <c r="J53" s="5">
        <f>IF(A53="","",G53-H53)</f>
        <v/>
      </c>
      <c r="K53" s="5">
        <f>IF(A53="","",H53-I53)</f>
        <v/>
      </c>
      <c r="L53" s="6">
        <f>IF(A53="","",IFERROR((H53-I53)/H53,0))</f>
        <v/>
      </c>
      <c r="M53" s="3">
        <f>IF(A53="","",IF(H53&lt;=I53,"Drop",IF(AND(J53&gt;0,IFERROR((H53-I53)/H53,0)&gt;=0.65),"Profit product",IF(IFERROR((H53-I53)/H53,0)&gt;=0.5,"Traffic product","Thin - rework"))))</f>
        <v/>
      </c>
    </row>
    <row r="54">
      <c r="G54" s="4" t="n"/>
      <c r="H54" s="4" t="n"/>
      <c r="I54" s="4" t="n"/>
      <c r="J54" s="5">
        <f>IF(A54="","",G54-H54)</f>
        <v/>
      </c>
      <c r="K54" s="5">
        <f>IF(A54="","",H54-I54)</f>
        <v/>
      </c>
      <c r="L54" s="6">
        <f>IF(A54="","",IFERROR((H54-I54)/H54,0))</f>
        <v/>
      </c>
      <c r="M54" s="3">
        <f>IF(A54="","",IF(H54&lt;=I54,"Drop",IF(AND(J54&gt;0,IFERROR((H54-I54)/H54,0)&gt;=0.65),"Profit product",IF(IFERROR((H54-I54)/H54,0)&gt;=0.5,"Traffic product","Thin - rework"))))</f>
        <v/>
      </c>
    </row>
    <row r="55">
      <c r="G55" s="4" t="n"/>
      <c r="H55" s="4" t="n"/>
      <c r="I55" s="4" t="n"/>
      <c r="J55" s="5">
        <f>IF(A55="","",G55-H55)</f>
        <v/>
      </c>
      <c r="K55" s="5">
        <f>IF(A55="","",H55-I55)</f>
        <v/>
      </c>
      <c r="L55" s="6">
        <f>IF(A55="","",IFERROR((H55-I55)/H55,0))</f>
        <v/>
      </c>
      <c r="M55" s="3">
        <f>IF(A55="","",IF(H55&lt;=I55,"Drop",IF(AND(J55&gt;0,IFERROR((H55-I55)/H55,0)&gt;=0.65),"Profit product",IF(IFERROR((H55-I55)/H55,0)&gt;=0.5,"Traffic product","Thin - rework"))))</f>
        <v/>
      </c>
    </row>
    <row r="56">
      <c r="G56" s="4" t="n"/>
      <c r="H56" s="4" t="n"/>
      <c r="I56" s="4" t="n"/>
      <c r="J56" s="5">
        <f>IF(A56="","",G56-H56)</f>
        <v/>
      </c>
      <c r="K56" s="5">
        <f>IF(A56="","",H56-I56)</f>
        <v/>
      </c>
      <c r="L56" s="6">
        <f>IF(A56="","",IFERROR((H56-I56)/H56,0))</f>
        <v/>
      </c>
      <c r="M56" s="3">
        <f>IF(A56="","",IF(H56&lt;=I56,"Drop",IF(AND(J56&gt;0,IFERROR((H56-I56)/H56,0)&gt;=0.65),"Profit product",IF(IFERROR((H56-I56)/H56,0)&gt;=0.5,"Traffic product","Thin - rework"))))</f>
        <v/>
      </c>
    </row>
    <row r="57">
      <c r="G57" s="4" t="n"/>
      <c r="H57" s="4" t="n"/>
      <c r="I57" s="4" t="n"/>
      <c r="J57" s="5">
        <f>IF(A57="","",G57-H57)</f>
        <v/>
      </c>
      <c r="K57" s="5">
        <f>IF(A57="","",H57-I57)</f>
        <v/>
      </c>
      <c r="L57" s="6">
        <f>IF(A57="","",IFERROR((H57-I57)/H57,0))</f>
        <v/>
      </c>
      <c r="M57" s="3">
        <f>IF(A57="","",IF(H57&lt;=I57,"Drop",IF(AND(J57&gt;0,IFERROR((H57-I57)/H57,0)&gt;=0.65),"Profit product",IF(IFERROR((H57-I57)/H57,0)&gt;=0.5,"Traffic product","Thin - rework"))))</f>
        <v/>
      </c>
    </row>
    <row r="58">
      <c r="G58" s="4" t="n"/>
      <c r="H58" s="4" t="n"/>
      <c r="I58" s="4" t="n"/>
      <c r="J58" s="5">
        <f>IF(A58="","",G58-H58)</f>
        <v/>
      </c>
      <c r="K58" s="5">
        <f>IF(A58="","",H58-I58)</f>
        <v/>
      </c>
      <c r="L58" s="6">
        <f>IF(A58="","",IFERROR((H58-I58)/H58,0))</f>
        <v/>
      </c>
      <c r="M58" s="3">
        <f>IF(A58="","",IF(H58&lt;=I58,"Drop",IF(AND(J58&gt;0,IFERROR((H58-I58)/H58,0)&gt;=0.65),"Profit product",IF(IFERROR((H58-I58)/H58,0)&gt;=0.5,"Traffic product","Thin - rework"))))</f>
        <v/>
      </c>
    </row>
    <row r="59">
      <c r="G59" s="4" t="n"/>
      <c r="H59" s="4" t="n"/>
      <c r="I59" s="4" t="n"/>
      <c r="J59" s="5">
        <f>IF(A59="","",G59-H59)</f>
        <v/>
      </c>
      <c r="K59" s="5">
        <f>IF(A59="","",H59-I59)</f>
        <v/>
      </c>
      <c r="L59" s="6">
        <f>IF(A59="","",IFERROR((H59-I59)/H59,0))</f>
        <v/>
      </c>
      <c r="M59" s="3">
        <f>IF(A59="","",IF(H59&lt;=I59,"Drop",IF(AND(J59&gt;0,IFERROR((H59-I59)/H59,0)&gt;=0.65),"Profit product",IF(IFERROR((H59-I59)/H59,0)&gt;=0.5,"Traffic product","Thin - rework"))))</f>
        <v/>
      </c>
    </row>
    <row r="60">
      <c r="G60" s="4" t="n"/>
      <c r="H60" s="4" t="n"/>
      <c r="I60" s="4" t="n"/>
      <c r="J60" s="5">
        <f>IF(A60="","",G60-H60)</f>
        <v/>
      </c>
      <c r="K60" s="5">
        <f>IF(A60="","",H60-I60)</f>
        <v/>
      </c>
      <c r="L60" s="6">
        <f>IF(A60="","",IFERROR((H60-I60)/H60,0))</f>
        <v/>
      </c>
      <c r="M60" s="3">
        <f>IF(A60="","",IF(H60&lt;=I60,"Drop",IF(AND(J60&gt;0,IFERROR((H60-I60)/H60,0)&gt;=0.65),"Profit product",IF(IFERROR((H60-I60)/H60,0)&gt;=0.5,"Traffic product","Thin - rework"))))</f>
        <v/>
      </c>
    </row>
    <row r="61">
      <c r="G61" s="4" t="n"/>
      <c r="H61" s="4" t="n"/>
      <c r="I61" s="4" t="n"/>
      <c r="J61" s="5">
        <f>IF(A61="","",G61-H61)</f>
        <v/>
      </c>
      <c r="K61" s="5">
        <f>IF(A61="","",H61-I61)</f>
        <v/>
      </c>
      <c r="L61" s="6">
        <f>IF(A61="","",IFERROR((H61-I61)/H61,0))</f>
        <v/>
      </c>
      <c r="M61" s="3">
        <f>IF(A61="","",IF(H61&lt;=I61,"Drop",IF(AND(J61&gt;0,IFERROR((H61-I61)/H61,0)&gt;=0.65),"Profit product",IF(IFERROR((H61-I61)/H61,0)&gt;=0.5,"Traffic product","Thin - rework"))))</f>
        <v/>
      </c>
    </row>
    <row r="62">
      <c r="G62" s="4" t="n"/>
      <c r="H62" s="4" t="n"/>
      <c r="I62" s="4" t="n"/>
      <c r="J62" s="5">
        <f>IF(A62="","",G62-H62)</f>
        <v/>
      </c>
      <c r="K62" s="5">
        <f>IF(A62="","",H62-I62)</f>
        <v/>
      </c>
      <c r="L62" s="6">
        <f>IF(A62="","",IFERROR((H62-I62)/H62,0))</f>
        <v/>
      </c>
      <c r="M62" s="3">
        <f>IF(A62="","",IF(H62&lt;=I62,"Drop",IF(AND(J62&gt;0,IFERROR((H62-I62)/H62,0)&gt;=0.65),"Profit product",IF(IFERROR((H62-I62)/H62,0)&gt;=0.5,"Traffic product","Thin - rework"))))</f>
        <v/>
      </c>
    </row>
    <row r="63">
      <c r="G63" s="4" t="n"/>
      <c r="H63" s="4" t="n"/>
      <c r="I63" s="4" t="n"/>
      <c r="J63" s="5">
        <f>IF(A63="","",G63-H63)</f>
        <v/>
      </c>
      <c r="K63" s="5">
        <f>IF(A63="","",H63-I63)</f>
        <v/>
      </c>
      <c r="L63" s="6">
        <f>IF(A63="","",IFERROR((H63-I63)/H63,0))</f>
        <v/>
      </c>
      <c r="M63" s="3">
        <f>IF(A63="","",IF(H63&lt;=I63,"Drop",IF(AND(J63&gt;0,IFERROR((H63-I63)/H63,0)&gt;=0.65),"Profit product",IF(IFERROR((H63-I63)/H63,0)&gt;=0.5,"Traffic product","Thin - rework"))))</f>
        <v/>
      </c>
    </row>
    <row r="64">
      <c r="G64" s="4" t="n"/>
      <c r="H64" s="4" t="n"/>
      <c r="I64" s="4" t="n"/>
      <c r="J64" s="5">
        <f>IF(A64="","",G64-H64)</f>
        <v/>
      </c>
      <c r="K64" s="5">
        <f>IF(A64="","",H64-I64)</f>
        <v/>
      </c>
      <c r="L64" s="6">
        <f>IF(A64="","",IFERROR((H64-I64)/H64,0))</f>
        <v/>
      </c>
      <c r="M64" s="3">
        <f>IF(A64="","",IF(H64&lt;=I64,"Drop",IF(AND(J64&gt;0,IFERROR((H64-I64)/H64,0)&gt;=0.65),"Profit product",IF(IFERROR((H64-I64)/H64,0)&gt;=0.5,"Traffic product","Thin - rework"))))</f>
        <v/>
      </c>
    </row>
    <row r="65">
      <c r="G65" s="4" t="n"/>
      <c r="H65" s="4" t="n"/>
      <c r="I65" s="4" t="n"/>
      <c r="J65" s="5">
        <f>IF(A65="","",G65-H65)</f>
        <v/>
      </c>
      <c r="K65" s="5">
        <f>IF(A65="","",H65-I65)</f>
        <v/>
      </c>
      <c r="L65" s="6">
        <f>IF(A65="","",IFERROR((H65-I65)/H65,0))</f>
        <v/>
      </c>
      <c r="M65" s="3">
        <f>IF(A65="","",IF(H65&lt;=I65,"Drop",IF(AND(J65&gt;0,IFERROR((H65-I65)/H65,0)&gt;=0.65),"Profit product",IF(IFERROR((H65-I65)/H65,0)&gt;=0.5,"Traffic product","Thin - rework"))))</f>
        <v/>
      </c>
    </row>
    <row r="66">
      <c r="G66" s="4" t="n"/>
      <c r="H66" s="4" t="n"/>
      <c r="I66" s="4" t="n"/>
      <c r="J66" s="5">
        <f>IF(A66="","",G66-H66)</f>
        <v/>
      </c>
      <c r="K66" s="5">
        <f>IF(A66="","",H66-I66)</f>
        <v/>
      </c>
      <c r="L66" s="6">
        <f>IF(A66="","",IFERROR((H66-I66)/H66,0))</f>
        <v/>
      </c>
      <c r="M66" s="3">
        <f>IF(A66="","",IF(H66&lt;=I66,"Drop",IF(AND(J66&gt;0,IFERROR((H66-I66)/H66,0)&gt;=0.65),"Profit product",IF(IFERROR((H66-I66)/H66,0)&gt;=0.5,"Traffic product","Thin - rework"))))</f>
        <v/>
      </c>
    </row>
    <row r="67">
      <c r="G67" s="4" t="n"/>
      <c r="H67" s="4" t="n"/>
      <c r="I67" s="4" t="n"/>
      <c r="J67" s="5">
        <f>IF(A67="","",G67-H67)</f>
        <v/>
      </c>
      <c r="K67" s="5">
        <f>IF(A67="","",H67-I67)</f>
        <v/>
      </c>
      <c r="L67" s="6">
        <f>IF(A67="","",IFERROR((H67-I67)/H67,0))</f>
        <v/>
      </c>
      <c r="M67" s="3">
        <f>IF(A67="","",IF(H67&lt;=I67,"Drop",IF(AND(J67&gt;0,IFERROR((H67-I67)/H67,0)&gt;=0.65),"Profit product",IF(IFERROR((H67-I67)/H67,0)&gt;=0.5,"Traffic product","Thin - rework"))))</f>
        <v/>
      </c>
    </row>
    <row r="68">
      <c r="G68" s="4" t="n"/>
      <c r="H68" s="4" t="n"/>
      <c r="I68" s="4" t="n"/>
      <c r="J68" s="5">
        <f>IF(A68="","",G68-H68)</f>
        <v/>
      </c>
      <c r="K68" s="5">
        <f>IF(A68="","",H68-I68)</f>
        <v/>
      </c>
      <c r="L68" s="6">
        <f>IF(A68="","",IFERROR((H68-I68)/H68,0))</f>
        <v/>
      </c>
      <c r="M68" s="3">
        <f>IF(A68="","",IF(H68&lt;=I68,"Drop",IF(AND(J68&gt;0,IFERROR((H68-I68)/H68,0)&gt;=0.65),"Profit product",IF(IFERROR((H68-I68)/H68,0)&gt;=0.5,"Traffic product","Thin - rework"))))</f>
        <v/>
      </c>
    </row>
    <row r="69">
      <c r="G69" s="4" t="n"/>
      <c r="H69" s="4" t="n"/>
      <c r="I69" s="4" t="n"/>
      <c r="J69" s="5">
        <f>IF(A69="","",G69-H69)</f>
        <v/>
      </c>
      <c r="K69" s="5">
        <f>IF(A69="","",H69-I69)</f>
        <v/>
      </c>
      <c r="L69" s="6">
        <f>IF(A69="","",IFERROR((H69-I69)/H69,0))</f>
        <v/>
      </c>
      <c r="M69" s="3">
        <f>IF(A69="","",IF(H69&lt;=I69,"Drop",IF(AND(J69&gt;0,IFERROR((H69-I69)/H69,0)&gt;=0.65),"Profit product",IF(IFERROR((H69-I69)/H69,0)&gt;=0.5,"Traffic product","Thin - rework"))))</f>
        <v/>
      </c>
    </row>
    <row r="70">
      <c r="G70" s="4" t="n"/>
      <c r="H70" s="4" t="n"/>
      <c r="I70" s="4" t="n"/>
      <c r="J70" s="5">
        <f>IF(A70="","",G70-H70)</f>
        <v/>
      </c>
      <c r="K70" s="5">
        <f>IF(A70="","",H70-I70)</f>
        <v/>
      </c>
      <c r="L70" s="6">
        <f>IF(A70="","",IFERROR((H70-I70)/H70,0))</f>
        <v/>
      </c>
      <c r="M70" s="3">
        <f>IF(A70="","",IF(H70&lt;=I70,"Drop",IF(AND(J70&gt;0,IFERROR((H70-I70)/H70,0)&gt;=0.65),"Profit product",IF(IFERROR((H70-I70)/H70,0)&gt;=0.5,"Traffic product","Thin - rework"))))</f>
        <v/>
      </c>
    </row>
    <row r="71">
      <c r="G71" s="4" t="n"/>
      <c r="H71" s="4" t="n"/>
      <c r="I71" s="4" t="n"/>
      <c r="J71" s="5">
        <f>IF(A71="","",G71-H71)</f>
        <v/>
      </c>
      <c r="K71" s="5">
        <f>IF(A71="","",H71-I71)</f>
        <v/>
      </c>
      <c r="L71" s="6">
        <f>IF(A71="","",IFERROR((H71-I71)/H71,0))</f>
        <v/>
      </c>
      <c r="M71" s="3">
        <f>IF(A71="","",IF(H71&lt;=I71,"Drop",IF(AND(J71&gt;0,IFERROR((H71-I71)/H71,0)&gt;=0.65),"Profit product",IF(IFERROR((H71-I71)/H71,0)&gt;=0.5,"Traffic product","Thin - rework"))))</f>
        <v/>
      </c>
    </row>
    <row r="72">
      <c r="G72" s="4" t="n"/>
      <c r="H72" s="4" t="n"/>
      <c r="I72" s="4" t="n"/>
      <c r="J72" s="5">
        <f>IF(A72="","",G72-H72)</f>
        <v/>
      </c>
      <c r="K72" s="5">
        <f>IF(A72="","",H72-I72)</f>
        <v/>
      </c>
      <c r="L72" s="6">
        <f>IF(A72="","",IFERROR((H72-I72)/H72,0))</f>
        <v/>
      </c>
      <c r="M72" s="3">
        <f>IF(A72="","",IF(H72&lt;=I72,"Drop",IF(AND(J72&gt;0,IFERROR((H72-I72)/H72,0)&gt;=0.65),"Profit product",IF(IFERROR((H72-I72)/H72,0)&gt;=0.5,"Traffic product","Thin - rework"))))</f>
        <v/>
      </c>
    </row>
    <row r="73">
      <c r="G73" s="4" t="n"/>
      <c r="H73" s="4" t="n"/>
      <c r="I73" s="4" t="n"/>
      <c r="J73" s="5">
        <f>IF(A73="","",G73-H73)</f>
        <v/>
      </c>
      <c r="K73" s="5">
        <f>IF(A73="","",H73-I73)</f>
        <v/>
      </c>
      <c r="L73" s="6">
        <f>IF(A73="","",IFERROR((H73-I73)/H73,0))</f>
        <v/>
      </c>
      <c r="M73" s="3">
        <f>IF(A73="","",IF(H73&lt;=I73,"Drop",IF(AND(J73&gt;0,IFERROR((H73-I73)/H73,0)&gt;=0.65),"Profit product",IF(IFERROR((H73-I73)/H73,0)&gt;=0.5,"Traffic product","Thin - rework"))))</f>
        <v/>
      </c>
    </row>
    <row r="74">
      <c r="G74" s="4" t="n"/>
      <c r="H74" s="4" t="n"/>
      <c r="I74" s="4" t="n"/>
      <c r="J74" s="5">
        <f>IF(A74="","",G74-H74)</f>
        <v/>
      </c>
      <c r="K74" s="5">
        <f>IF(A74="","",H74-I74)</f>
        <v/>
      </c>
      <c r="L74" s="6">
        <f>IF(A74="","",IFERROR((H74-I74)/H74,0))</f>
        <v/>
      </c>
      <c r="M74" s="3">
        <f>IF(A74="","",IF(H74&lt;=I74,"Drop",IF(AND(J74&gt;0,IFERROR((H74-I74)/H74,0)&gt;=0.65),"Profit product",IF(IFERROR((H74-I74)/H74,0)&gt;=0.5,"Traffic product","Thin - rework"))))</f>
        <v/>
      </c>
    </row>
    <row r="75">
      <c r="G75" s="4" t="n"/>
      <c r="H75" s="4" t="n"/>
      <c r="I75" s="4" t="n"/>
      <c r="J75" s="5">
        <f>IF(A75="","",G75-H75)</f>
        <v/>
      </c>
      <c r="K75" s="5">
        <f>IF(A75="","",H75-I75)</f>
        <v/>
      </c>
      <c r="L75" s="6">
        <f>IF(A75="","",IFERROR((H75-I75)/H75,0))</f>
        <v/>
      </c>
      <c r="M75" s="3">
        <f>IF(A75="","",IF(H75&lt;=I75,"Drop",IF(AND(J75&gt;0,IFERROR((H75-I75)/H75,0)&gt;=0.65),"Profit product",IF(IFERROR((H75-I75)/H75,0)&gt;=0.5,"Traffic product","Thin - rework"))))</f>
        <v/>
      </c>
    </row>
    <row r="76">
      <c r="G76" s="4" t="n"/>
      <c r="H76" s="4" t="n"/>
      <c r="I76" s="4" t="n"/>
      <c r="J76" s="5">
        <f>IF(A76="","",G76-H76)</f>
        <v/>
      </c>
      <c r="K76" s="5">
        <f>IF(A76="","",H76-I76)</f>
        <v/>
      </c>
      <c r="L76" s="6">
        <f>IF(A76="","",IFERROR((H76-I76)/H76,0))</f>
        <v/>
      </c>
      <c r="M76" s="3">
        <f>IF(A76="","",IF(H76&lt;=I76,"Drop",IF(AND(J76&gt;0,IFERROR((H76-I76)/H76,0)&gt;=0.65),"Profit product",IF(IFERROR((H76-I76)/H76,0)&gt;=0.5,"Traffic product","Thin - rework"))))</f>
        <v/>
      </c>
    </row>
    <row r="77">
      <c r="G77" s="4" t="n"/>
      <c r="H77" s="4" t="n"/>
      <c r="I77" s="4" t="n"/>
      <c r="J77" s="5">
        <f>IF(A77="","",G77-H77)</f>
        <v/>
      </c>
      <c r="K77" s="5">
        <f>IF(A77="","",H77-I77)</f>
        <v/>
      </c>
      <c r="L77" s="6">
        <f>IF(A77="","",IFERROR((H77-I77)/H77,0))</f>
        <v/>
      </c>
      <c r="M77" s="3">
        <f>IF(A77="","",IF(H77&lt;=I77,"Drop",IF(AND(J77&gt;0,IFERROR((H77-I77)/H77,0)&gt;=0.65),"Profit product",IF(IFERROR((H77-I77)/H77,0)&gt;=0.5,"Traffic product","Thin - rework"))))</f>
        <v/>
      </c>
    </row>
    <row r="78">
      <c r="G78" s="4" t="n"/>
      <c r="H78" s="4" t="n"/>
      <c r="I78" s="4" t="n"/>
      <c r="J78" s="5">
        <f>IF(A78="","",G78-H78)</f>
        <v/>
      </c>
      <c r="K78" s="5">
        <f>IF(A78="","",H78-I78)</f>
        <v/>
      </c>
      <c r="L78" s="6">
        <f>IF(A78="","",IFERROR((H78-I78)/H78,0))</f>
        <v/>
      </c>
      <c r="M78" s="3">
        <f>IF(A78="","",IF(H78&lt;=I78,"Drop",IF(AND(J78&gt;0,IFERROR((H78-I78)/H78,0)&gt;=0.65),"Profit product",IF(IFERROR((H78-I78)/H78,0)&gt;=0.5,"Traffic product","Thin - rework"))))</f>
        <v/>
      </c>
    </row>
    <row r="79">
      <c r="G79" s="4" t="n"/>
      <c r="H79" s="4" t="n"/>
      <c r="I79" s="4" t="n"/>
      <c r="J79" s="5">
        <f>IF(A79="","",G79-H79)</f>
        <v/>
      </c>
      <c r="K79" s="5">
        <f>IF(A79="","",H79-I79)</f>
        <v/>
      </c>
      <c r="L79" s="6">
        <f>IF(A79="","",IFERROR((H79-I79)/H79,0))</f>
        <v/>
      </c>
      <c r="M79" s="3">
        <f>IF(A79="","",IF(H79&lt;=I79,"Drop",IF(AND(J79&gt;0,IFERROR((H79-I79)/H79,0)&gt;=0.65),"Profit product",IF(IFERROR((H79-I79)/H79,0)&gt;=0.5,"Traffic product","Thin - rework"))))</f>
        <v/>
      </c>
    </row>
    <row r="80">
      <c r="G80" s="4" t="n"/>
      <c r="H80" s="4" t="n"/>
      <c r="I80" s="4" t="n"/>
      <c r="J80" s="5">
        <f>IF(A80="","",G80-H80)</f>
        <v/>
      </c>
      <c r="K80" s="5">
        <f>IF(A80="","",H80-I80)</f>
        <v/>
      </c>
      <c r="L80" s="6">
        <f>IF(A80="","",IFERROR((H80-I80)/H80,0))</f>
        <v/>
      </c>
      <c r="M80" s="3">
        <f>IF(A80="","",IF(H80&lt;=I80,"Drop",IF(AND(J80&gt;0,IFERROR((H80-I80)/H80,0)&gt;=0.65),"Profit product",IF(IFERROR((H80-I80)/H80,0)&gt;=0.5,"Traffic product","Thin - rework"))))</f>
        <v/>
      </c>
    </row>
    <row r="81">
      <c r="G81" s="4" t="n"/>
      <c r="H81" s="4" t="n"/>
      <c r="I81" s="4" t="n"/>
      <c r="J81" s="5">
        <f>IF(A81="","",G81-H81)</f>
        <v/>
      </c>
      <c r="K81" s="5">
        <f>IF(A81="","",H81-I81)</f>
        <v/>
      </c>
      <c r="L81" s="6">
        <f>IF(A81="","",IFERROR((H81-I81)/H81,0))</f>
        <v/>
      </c>
      <c r="M81" s="3">
        <f>IF(A81="","",IF(H81&lt;=I81,"Drop",IF(AND(J81&gt;0,IFERROR((H81-I81)/H81,0)&gt;=0.65),"Profit product",IF(IFERROR((H81-I81)/H81,0)&gt;=0.5,"Traffic product","Thin - rework"))))</f>
        <v/>
      </c>
    </row>
    <row r="82">
      <c r="G82" s="4" t="n"/>
      <c r="H82" s="4" t="n"/>
      <c r="I82" s="4" t="n"/>
      <c r="J82" s="5">
        <f>IF(A82="","",G82-H82)</f>
        <v/>
      </c>
      <c r="K82" s="5">
        <f>IF(A82="","",H82-I82)</f>
        <v/>
      </c>
      <c r="L82" s="6">
        <f>IF(A82="","",IFERROR((H82-I82)/H82,0))</f>
        <v/>
      </c>
      <c r="M82" s="3">
        <f>IF(A82="","",IF(H82&lt;=I82,"Drop",IF(AND(J82&gt;0,IFERROR((H82-I82)/H82,0)&gt;=0.65),"Profit product",IF(IFERROR((H82-I82)/H82,0)&gt;=0.5,"Traffic product","Thin - rework"))))</f>
        <v/>
      </c>
    </row>
    <row r="83">
      <c r="G83" s="4" t="n"/>
      <c r="H83" s="4" t="n"/>
      <c r="I83" s="4" t="n"/>
      <c r="J83" s="5">
        <f>IF(A83="","",G83-H83)</f>
        <v/>
      </c>
      <c r="K83" s="5">
        <f>IF(A83="","",H83-I83)</f>
        <v/>
      </c>
      <c r="L83" s="6">
        <f>IF(A83="","",IFERROR((H83-I83)/H83,0))</f>
        <v/>
      </c>
      <c r="M83" s="3">
        <f>IF(A83="","",IF(H83&lt;=I83,"Drop",IF(AND(J83&gt;0,IFERROR((H83-I83)/H83,0)&gt;=0.65),"Profit product",IF(IFERROR((H83-I83)/H83,0)&gt;=0.5,"Traffic product","Thin - rework"))))</f>
        <v/>
      </c>
    </row>
    <row r="84">
      <c r="G84" s="4" t="n"/>
      <c r="H84" s="4" t="n"/>
      <c r="I84" s="4" t="n"/>
      <c r="J84" s="5">
        <f>IF(A84="","",G84-H84)</f>
        <v/>
      </c>
      <c r="K84" s="5">
        <f>IF(A84="","",H84-I84)</f>
        <v/>
      </c>
      <c r="L84" s="6">
        <f>IF(A84="","",IFERROR((H84-I84)/H84,0))</f>
        <v/>
      </c>
      <c r="M84" s="3">
        <f>IF(A84="","",IF(H84&lt;=I84,"Drop",IF(AND(J84&gt;0,IFERROR((H84-I84)/H84,0)&gt;=0.65),"Profit product",IF(IFERROR((H84-I84)/H84,0)&gt;=0.5,"Traffic product","Thin - rework"))))</f>
        <v/>
      </c>
    </row>
    <row r="85">
      <c r="G85" s="4" t="n"/>
      <c r="H85" s="4" t="n"/>
      <c r="I85" s="4" t="n"/>
      <c r="J85" s="5">
        <f>IF(A85="","",G85-H85)</f>
        <v/>
      </c>
      <c r="K85" s="5">
        <f>IF(A85="","",H85-I85)</f>
        <v/>
      </c>
      <c r="L85" s="6">
        <f>IF(A85="","",IFERROR((H85-I85)/H85,0))</f>
        <v/>
      </c>
      <c r="M85" s="3">
        <f>IF(A85="","",IF(H85&lt;=I85,"Drop",IF(AND(J85&gt;0,IFERROR((H85-I85)/H85,0)&gt;=0.65),"Profit product",IF(IFERROR((H85-I85)/H85,0)&gt;=0.5,"Traffic product","Thin - rework"))))</f>
        <v/>
      </c>
    </row>
    <row r="86">
      <c r="G86" s="4" t="n"/>
      <c r="H86" s="4" t="n"/>
      <c r="I86" s="4" t="n"/>
      <c r="J86" s="5">
        <f>IF(A86="","",G86-H86)</f>
        <v/>
      </c>
      <c r="K86" s="5">
        <f>IF(A86="","",H86-I86)</f>
        <v/>
      </c>
      <c r="L86" s="6">
        <f>IF(A86="","",IFERROR((H86-I86)/H86,0))</f>
        <v/>
      </c>
      <c r="M86" s="3">
        <f>IF(A86="","",IF(H86&lt;=I86,"Drop",IF(AND(J86&gt;0,IFERROR((H86-I86)/H86,0)&gt;=0.65),"Profit product",IF(IFERROR((H86-I86)/H86,0)&gt;=0.5,"Traffic product","Thin - rework"))))</f>
        <v/>
      </c>
    </row>
    <row r="87">
      <c r="G87" s="4" t="n"/>
      <c r="H87" s="4" t="n"/>
      <c r="I87" s="4" t="n"/>
      <c r="J87" s="5">
        <f>IF(A87="","",G87-H87)</f>
        <v/>
      </c>
      <c r="K87" s="5">
        <f>IF(A87="","",H87-I87)</f>
        <v/>
      </c>
      <c r="L87" s="6">
        <f>IF(A87="","",IFERROR((H87-I87)/H87,0))</f>
        <v/>
      </c>
      <c r="M87" s="3">
        <f>IF(A87="","",IF(H87&lt;=I87,"Drop",IF(AND(J87&gt;0,IFERROR((H87-I87)/H87,0)&gt;=0.65),"Profit product",IF(IFERROR((H87-I87)/H87,0)&gt;=0.5,"Traffic product","Thin - rework"))))</f>
        <v/>
      </c>
    </row>
    <row r="88">
      <c r="G88" s="4" t="n"/>
      <c r="H88" s="4" t="n"/>
      <c r="I88" s="4" t="n"/>
      <c r="J88" s="5">
        <f>IF(A88="","",G88-H88)</f>
        <v/>
      </c>
      <c r="K88" s="5">
        <f>IF(A88="","",H88-I88)</f>
        <v/>
      </c>
      <c r="L88" s="6">
        <f>IF(A88="","",IFERROR((H88-I88)/H88,0))</f>
        <v/>
      </c>
      <c r="M88" s="3">
        <f>IF(A88="","",IF(H88&lt;=I88,"Drop",IF(AND(J88&gt;0,IFERROR((H88-I88)/H88,0)&gt;=0.65),"Profit product",IF(IFERROR((H88-I88)/H88,0)&gt;=0.5,"Traffic product","Thin - rework"))))</f>
        <v/>
      </c>
    </row>
    <row r="89">
      <c r="G89" s="4" t="n"/>
      <c r="H89" s="4" t="n"/>
      <c r="I89" s="4" t="n"/>
      <c r="J89" s="5">
        <f>IF(A89="","",G89-H89)</f>
        <v/>
      </c>
      <c r="K89" s="5">
        <f>IF(A89="","",H89-I89)</f>
        <v/>
      </c>
      <c r="L89" s="6">
        <f>IF(A89="","",IFERROR((H89-I89)/H89,0))</f>
        <v/>
      </c>
      <c r="M89" s="3">
        <f>IF(A89="","",IF(H89&lt;=I89,"Drop",IF(AND(J89&gt;0,IFERROR((H89-I89)/H89,0)&gt;=0.65),"Profit product",IF(IFERROR((H89-I89)/H89,0)&gt;=0.5,"Traffic product","Thin - rework"))))</f>
        <v/>
      </c>
    </row>
    <row r="90">
      <c r="G90" s="4" t="n"/>
      <c r="H90" s="4" t="n"/>
      <c r="I90" s="4" t="n"/>
      <c r="J90" s="5">
        <f>IF(A90="","",G90-H90)</f>
        <v/>
      </c>
      <c r="K90" s="5">
        <f>IF(A90="","",H90-I90)</f>
        <v/>
      </c>
      <c r="L90" s="6">
        <f>IF(A90="","",IFERROR((H90-I90)/H90,0))</f>
        <v/>
      </c>
      <c r="M90" s="3">
        <f>IF(A90="","",IF(H90&lt;=I90,"Drop",IF(AND(J90&gt;0,IFERROR((H90-I90)/H90,0)&gt;=0.65),"Profit product",IF(IFERROR((H90-I90)/H90,0)&gt;=0.5,"Traffic product","Thin - rework"))))</f>
        <v/>
      </c>
    </row>
    <row r="91">
      <c r="G91" s="4" t="n"/>
      <c r="H91" s="4" t="n"/>
      <c r="I91" s="4" t="n"/>
      <c r="J91" s="5">
        <f>IF(A91="","",G91-H91)</f>
        <v/>
      </c>
      <c r="K91" s="5">
        <f>IF(A91="","",H91-I91)</f>
        <v/>
      </c>
      <c r="L91" s="6">
        <f>IF(A91="","",IFERROR((H91-I91)/H91,0))</f>
        <v/>
      </c>
      <c r="M91" s="3">
        <f>IF(A91="","",IF(H91&lt;=I91,"Drop",IF(AND(J91&gt;0,IFERROR((H91-I91)/H91,0)&gt;=0.65),"Profit product",IF(IFERROR((H91-I91)/H91,0)&gt;=0.5,"Traffic product","Thin - rework"))))</f>
        <v/>
      </c>
    </row>
    <row r="92">
      <c r="G92" s="4" t="n"/>
      <c r="H92" s="4" t="n"/>
      <c r="I92" s="4" t="n"/>
      <c r="J92" s="5">
        <f>IF(A92="","",G92-H92)</f>
        <v/>
      </c>
      <c r="K92" s="5">
        <f>IF(A92="","",H92-I92)</f>
        <v/>
      </c>
      <c r="L92" s="6">
        <f>IF(A92="","",IFERROR((H92-I92)/H92,0))</f>
        <v/>
      </c>
      <c r="M92" s="3">
        <f>IF(A92="","",IF(H92&lt;=I92,"Drop",IF(AND(J92&gt;0,IFERROR((H92-I92)/H92,0)&gt;=0.65),"Profit product",IF(IFERROR((H92-I92)/H92,0)&gt;=0.5,"Traffic product","Thin - rework"))))</f>
        <v/>
      </c>
    </row>
    <row r="93">
      <c r="G93" s="4" t="n"/>
      <c r="H93" s="4" t="n"/>
      <c r="I93" s="4" t="n"/>
      <c r="J93" s="5">
        <f>IF(A93="","",G93-H93)</f>
        <v/>
      </c>
      <c r="K93" s="5">
        <f>IF(A93="","",H93-I93)</f>
        <v/>
      </c>
      <c r="L93" s="6">
        <f>IF(A93="","",IFERROR((H93-I93)/H93,0))</f>
        <v/>
      </c>
      <c r="M93" s="3">
        <f>IF(A93="","",IF(H93&lt;=I93,"Drop",IF(AND(J93&gt;0,IFERROR((H93-I93)/H93,0)&gt;=0.65),"Profit product",IF(IFERROR((H93-I93)/H93,0)&gt;=0.5,"Traffic product","Thin - rework"))))</f>
        <v/>
      </c>
    </row>
    <row r="94">
      <c r="G94" s="4" t="n"/>
      <c r="H94" s="4" t="n"/>
      <c r="I94" s="4" t="n"/>
      <c r="J94" s="5">
        <f>IF(A94="","",G94-H94)</f>
        <v/>
      </c>
      <c r="K94" s="5">
        <f>IF(A94="","",H94-I94)</f>
        <v/>
      </c>
      <c r="L94" s="6">
        <f>IF(A94="","",IFERROR((H94-I94)/H94,0))</f>
        <v/>
      </c>
      <c r="M94" s="3">
        <f>IF(A94="","",IF(H94&lt;=I94,"Drop",IF(AND(J94&gt;0,IFERROR((H94-I94)/H94,0)&gt;=0.65),"Profit product",IF(IFERROR((H94-I94)/H94,0)&gt;=0.5,"Traffic product","Thin - rework"))))</f>
        <v/>
      </c>
    </row>
    <row r="95">
      <c r="G95" s="4" t="n"/>
      <c r="H95" s="4" t="n"/>
      <c r="I95" s="4" t="n"/>
      <c r="J95" s="5">
        <f>IF(A95="","",G95-H95)</f>
        <v/>
      </c>
      <c r="K95" s="5">
        <f>IF(A95="","",H95-I95)</f>
        <v/>
      </c>
      <c r="L95" s="6">
        <f>IF(A95="","",IFERROR((H95-I95)/H95,0))</f>
        <v/>
      </c>
      <c r="M95" s="3">
        <f>IF(A95="","",IF(H95&lt;=I95,"Drop",IF(AND(J95&gt;0,IFERROR((H95-I95)/H95,0)&gt;=0.65),"Profit product",IF(IFERROR((H95-I95)/H95,0)&gt;=0.5,"Traffic product","Thin - rework"))))</f>
        <v/>
      </c>
    </row>
    <row r="96">
      <c r="G96" s="4" t="n"/>
      <c r="H96" s="4" t="n"/>
      <c r="I96" s="4" t="n"/>
      <c r="J96" s="5">
        <f>IF(A96="","",G96-H96)</f>
        <v/>
      </c>
      <c r="K96" s="5">
        <f>IF(A96="","",H96-I96)</f>
        <v/>
      </c>
      <c r="L96" s="6">
        <f>IF(A96="","",IFERROR((H96-I96)/H96,0))</f>
        <v/>
      </c>
      <c r="M96" s="3">
        <f>IF(A96="","",IF(H96&lt;=I96,"Drop",IF(AND(J96&gt;0,IFERROR((H96-I96)/H96,0)&gt;=0.65),"Profit product",IF(IFERROR((H96-I96)/H96,0)&gt;=0.5,"Traffic product","Thin - rework"))))</f>
        <v/>
      </c>
    </row>
    <row r="97">
      <c r="G97" s="4" t="n"/>
      <c r="H97" s="4" t="n"/>
      <c r="I97" s="4" t="n"/>
      <c r="J97" s="5">
        <f>IF(A97="","",G97-H97)</f>
        <v/>
      </c>
      <c r="K97" s="5">
        <f>IF(A97="","",H97-I97)</f>
        <v/>
      </c>
      <c r="L97" s="6">
        <f>IF(A97="","",IFERROR((H97-I97)/H97,0))</f>
        <v/>
      </c>
      <c r="M97" s="3">
        <f>IF(A97="","",IF(H97&lt;=I97,"Drop",IF(AND(J97&gt;0,IFERROR((H97-I97)/H97,0)&gt;=0.65),"Profit product",IF(IFERROR((H97-I97)/H97,0)&gt;=0.5,"Traffic product","Thin - rework"))))</f>
        <v/>
      </c>
    </row>
    <row r="98">
      <c r="G98" s="4" t="n"/>
      <c r="H98" s="4" t="n"/>
      <c r="I98" s="4" t="n"/>
      <c r="J98" s="5">
        <f>IF(A98="","",G98-H98)</f>
        <v/>
      </c>
      <c r="K98" s="5">
        <f>IF(A98="","",H98-I98)</f>
        <v/>
      </c>
      <c r="L98" s="6">
        <f>IF(A98="","",IFERROR((H98-I98)/H98,0))</f>
        <v/>
      </c>
      <c r="M98" s="3">
        <f>IF(A98="","",IF(H98&lt;=I98,"Drop",IF(AND(J98&gt;0,IFERROR((H98-I98)/H98,0)&gt;=0.65),"Profit product",IF(IFERROR((H98-I98)/H98,0)&gt;=0.5,"Traffic product","Thin - rework"))))</f>
        <v/>
      </c>
    </row>
    <row r="99">
      <c r="G99" s="4" t="n"/>
      <c r="H99" s="4" t="n"/>
      <c r="I99" s="4" t="n"/>
      <c r="J99" s="5">
        <f>IF(A99="","",G99-H99)</f>
        <v/>
      </c>
      <c r="K99" s="5">
        <f>IF(A99="","",H99-I99)</f>
        <v/>
      </c>
      <c r="L99" s="6">
        <f>IF(A99="","",IFERROR((H99-I99)/H99,0))</f>
        <v/>
      </c>
      <c r="M99" s="3">
        <f>IF(A99="","",IF(H99&lt;=I99,"Drop",IF(AND(J99&gt;0,IFERROR((H99-I99)/H99,0)&gt;=0.65),"Profit product",IF(IFERROR((H99-I99)/H99,0)&gt;=0.5,"Traffic product","Thin - rework"))))</f>
        <v/>
      </c>
    </row>
    <row r="100">
      <c r="G100" s="4" t="n"/>
      <c r="H100" s="4" t="n"/>
      <c r="I100" s="4" t="n"/>
      <c r="J100" s="5">
        <f>IF(A100="","",G100-H100)</f>
        <v/>
      </c>
      <c r="K100" s="5">
        <f>IF(A100="","",H100-I100)</f>
        <v/>
      </c>
      <c r="L100" s="6">
        <f>IF(A100="","",IFERROR((H100-I100)/H100,0))</f>
        <v/>
      </c>
      <c r="M100" s="3">
        <f>IF(A100="","",IF(H100&lt;=I100,"Drop",IF(AND(J100&gt;0,IFERROR((H100-I100)/H100,0)&gt;=0.65),"Profit product",IF(IFERROR((H100-I100)/H100,0)&gt;=0.5,"Traffic product","Thin - rework"))))</f>
        <v/>
      </c>
    </row>
    <row r="101">
      <c r="G101" s="4" t="n"/>
      <c r="H101" s="4" t="n"/>
      <c r="I101" s="4" t="n"/>
      <c r="J101" s="5">
        <f>IF(A101="","",G101-H101)</f>
        <v/>
      </c>
      <c r="K101" s="5">
        <f>IF(A101="","",H101-I101)</f>
        <v/>
      </c>
      <c r="L101" s="6">
        <f>IF(A101="","",IFERROR((H101-I101)/H101,0))</f>
        <v/>
      </c>
      <c r="M101" s="3">
        <f>IF(A101="","",IF(H101&lt;=I101,"Drop",IF(AND(J101&gt;0,IFERROR((H101-I101)/H101,0)&gt;=0.65),"Profit product",IF(IFERROR((H101-I101)/H101,0)&gt;=0.5,"Traffic product","Thin - rework"))))</f>
        <v/>
      </c>
    </row>
    <row r="102">
      <c r="G102" s="4" t="n"/>
      <c r="H102" s="4" t="n"/>
      <c r="I102" s="4" t="n"/>
      <c r="J102" s="5">
        <f>IF(A102="","",G102-H102)</f>
        <v/>
      </c>
      <c r="K102" s="5">
        <f>IF(A102="","",H102-I102)</f>
        <v/>
      </c>
      <c r="L102" s="6">
        <f>IF(A102="","",IFERROR((H102-I102)/H102,0))</f>
        <v/>
      </c>
      <c r="M102" s="3">
        <f>IF(A102="","",IF(H102&lt;=I102,"Drop",IF(AND(J102&gt;0,IFERROR((H102-I102)/H102,0)&gt;=0.65),"Profit product",IF(IFERROR((H102-I102)/H102,0)&gt;=0.5,"Traffic product","Thin - rework"))))</f>
        <v/>
      </c>
    </row>
    <row r="103">
      <c r="G103" s="4" t="n"/>
      <c r="H103" s="4" t="n"/>
      <c r="I103" s="4" t="n"/>
      <c r="J103" s="5">
        <f>IF(A103="","",G103-H103)</f>
        <v/>
      </c>
      <c r="K103" s="5">
        <f>IF(A103="","",H103-I103)</f>
        <v/>
      </c>
      <c r="L103" s="6">
        <f>IF(A103="","",IFERROR((H103-I103)/H103,0))</f>
        <v/>
      </c>
      <c r="M103" s="3">
        <f>IF(A103="","",IF(H103&lt;=I103,"Drop",IF(AND(J103&gt;0,IFERROR((H103-I103)/H103,0)&gt;=0.65),"Profit product",IF(IFERROR((H103-I103)/H103,0)&gt;=0.5,"Traffic product","Thin - rework"))))</f>
        <v/>
      </c>
    </row>
    <row r="104">
      <c r="G104" s="4" t="n"/>
      <c r="H104" s="4" t="n"/>
      <c r="I104" s="4" t="n"/>
      <c r="J104" s="5">
        <f>IF(A104="","",G104-H104)</f>
        <v/>
      </c>
      <c r="K104" s="5">
        <f>IF(A104="","",H104-I104)</f>
        <v/>
      </c>
      <c r="L104" s="6">
        <f>IF(A104="","",IFERROR((H104-I104)/H104,0))</f>
        <v/>
      </c>
      <c r="M104" s="3">
        <f>IF(A104="","",IF(H104&lt;=I104,"Drop",IF(AND(J104&gt;0,IFERROR((H104-I104)/H104,0)&gt;=0.65),"Profit product",IF(IFERROR((H104-I104)/H104,0)&gt;=0.5,"Traffic product","Thin - rework"))))</f>
        <v/>
      </c>
    </row>
    <row r="105">
      <c r="G105" s="4" t="n"/>
      <c r="H105" s="4" t="n"/>
      <c r="I105" s="4" t="n"/>
      <c r="J105" s="5">
        <f>IF(A105="","",G105-H105)</f>
        <v/>
      </c>
      <c r="K105" s="5">
        <f>IF(A105="","",H105-I105)</f>
        <v/>
      </c>
      <c r="L105" s="6">
        <f>IF(A105="","",IFERROR((H105-I105)/H105,0))</f>
        <v/>
      </c>
      <c r="M105" s="3">
        <f>IF(A105="","",IF(H105&lt;=I105,"Drop",IF(AND(J105&gt;0,IFERROR((H105-I105)/H105,0)&gt;=0.65),"Profit product",IF(IFERROR((H105-I105)/H105,0)&gt;=0.5,"Traffic product","Thin - rework"))))</f>
        <v/>
      </c>
    </row>
    <row r="106">
      <c r="G106" s="4" t="n"/>
      <c r="H106" s="4" t="n"/>
      <c r="I106" s="4" t="n"/>
      <c r="J106" s="5">
        <f>IF(A106="","",G106-H106)</f>
        <v/>
      </c>
      <c r="K106" s="5">
        <f>IF(A106="","",H106-I106)</f>
        <v/>
      </c>
      <c r="L106" s="6">
        <f>IF(A106="","",IFERROR((H106-I106)/H106,0))</f>
        <v/>
      </c>
      <c r="M106" s="3">
        <f>IF(A106="","",IF(H106&lt;=I106,"Drop",IF(AND(J106&gt;0,IFERROR((H106-I106)/H106,0)&gt;=0.65),"Profit product",IF(IFERROR((H106-I106)/H106,0)&gt;=0.5,"Traffic product","Thin - rework"))))</f>
        <v/>
      </c>
    </row>
    <row r="107">
      <c r="G107" s="4" t="n"/>
      <c r="H107" s="4" t="n"/>
      <c r="I107" s="4" t="n"/>
      <c r="J107" s="5">
        <f>IF(A107="","",G107-H107)</f>
        <v/>
      </c>
      <c r="K107" s="5">
        <f>IF(A107="","",H107-I107)</f>
        <v/>
      </c>
      <c r="L107" s="6">
        <f>IF(A107="","",IFERROR((H107-I107)/H107,0))</f>
        <v/>
      </c>
      <c r="M107" s="3">
        <f>IF(A107="","",IF(H107&lt;=I107,"Drop",IF(AND(J107&gt;0,IFERROR((H107-I107)/H107,0)&gt;=0.65),"Profit product",IF(IFERROR((H107-I107)/H107,0)&gt;=0.5,"Traffic product","Thin - rework"))))</f>
        <v/>
      </c>
    </row>
    <row r="108">
      <c r="G108" s="4" t="n"/>
      <c r="H108" s="4" t="n"/>
      <c r="I108" s="4" t="n"/>
      <c r="J108" s="5">
        <f>IF(A108="","",G108-H108)</f>
        <v/>
      </c>
      <c r="K108" s="5">
        <f>IF(A108="","",H108-I108)</f>
        <v/>
      </c>
      <c r="L108" s="6">
        <f>IF(A108="","",IFERROR((H108-I108)/H108,0))</f>
        <v/>
      </c>
      <c r="M108" s="3">
        <f>IF(A108="","",IF(H108&lt;=I108,"Drop",IF(AND(J108&gt;0,IFERROR((H108-I108)/H108,0)&gt;=0.65),"Profit product",IF(IFERROR((H108-I108)/H108,0)&gt;=0.5,"Traffic product","Thin - rework"))))</f>
        <v/>
      </c>
    </row>
    <row r="109">
      <c r="G109" s="4" t="n"/>
      <c r="H109" s="4" t="n"/>
      <c r="I109" s="4" t="n"/>
      <c r="J109" s="5">
        <f>IF(A109="","",G109-H109)</f>
        <v/>
      </c>
      <c r="K109" s="5">
        <f>IF(A109="","",H109-I109)</f>
        <v/>
      </c>
      <c r="L109" s="6">
        <f>IF(A109="","",IFERROR((H109-I109)/H109,0))</f>
        <v/>
      </c>
      <c r="M109" s="3">
        <f>IF(A109="","",IF(H109&lt;=I109,"Drop",IF(AND(J109&gt;0,IFERROR((H109-I109)/H109,0)&gt;=0.65),"Profit product",IF(IFERROR((H109-I109)/H109,0)&gt;=0.5,"Traffic product","Thin - rework"))))</f>
        <v/>
      </c>
    </row>
    <row r="110">
      <c r="G110" s="4" t="n"/>
      <c r="H110" s="4" t="n"/>
      <c r="I110" s="4" t="n"/>
      <c r="J110" s="5">
        <f>IF(A110="","",G110-H110)</f>
        <v/>
      </c>
      <c r="K110" s="5">
        <f>IF(A110="","",H110-I110)</f>
        <v/>
      </c>
      <c r="L110" s="6">
        <f>IF(A110="","",IFERROR((H110-I110)/H110,0))</f>
        <v/>
      </c>
      <c r="M110" s="3">
        <f>IF(A110="","",IF(H110&lt;=I110,"Drop",IF(AND(J110&gt;0,IFERROR((H110-I110)/H110,0)&gt;=0.65),"Profit product",IF(IFERROR((H110-I110)/H110,0)&gt;=0.5,"Traffic product","Thin - rework"))))</f>
        <v/>
      </c>
    </row>
    <row r="111">
      <c r="G111" s="4" t="n"/>
      <c r="H111" s="4" t="n"/>
      <c r="I111" s="4" t="n"/>
      <c r="J111" s="5">
        <f>IF(A111="","",G111-H111)</f>
        <v/>
      </c>
      <c r="K111" s="5">
        <f>IF(A111="","",H111-I111)</f>
        <v/>
      </c>
      <c r="L111" s="6">
        <f>IF(A111="","",IFERROR((H111-I111)/H111,0))</f>
        <v/>
      </c>
      <c r="M111" s="3">
        <f>IF(A111="","",IF(H111&lt;=I111,"Drop",IF(AND(J111&gt;0,IFERROR((H111-I111)/H111,0)&gt;=0.65),"Profit product",IF(IFERROR((H111-I111)/H111,0)&gt;=0.5,"Traffic product","Thin - rework"))))</f>
        <v/>
      </c>
    </row>
    <row r="112">
      <c r="G112" s="4" t="n"/>
      <c r="H112" s="4" t="n"/>
      <c r="I112" s="4" t="n"/>
      <c r="J112" s="5">
        <f>IF(A112="","",G112-H112)</f>
        <v/>
      </c>
      <c r="K112" s="5">
        <f>IF(A112="","",H112-I112)</f>
        <v/>
      </c>
      <c r="L112" s="6">
        <f>IF(A112="","",IFERROR((H112-I112)/H112,0))</f>
        <v/>
      </c>
      <c r="M112" s="3">
        <f>IF(A112="","",IF(H112&lt;=I112,"Drop",IF(AND(J112&gt;0,IFERROR((H112-I112)/H112,0)&gt;=0.65),"Profit product",IF(IFERROR((H112-I112)/H112,0)&gt;=0.5,"Traffic product","Thin - rework"))))</f>
        <v/>
      </c>
    </row>
    <row r="113">
      <c r="G113" s="4" t="n"/>
      <c r="H113" s="4" t="n"/>
      <c r="I113" s="4" t="n"/>
      <c r="J113" s="5">
        <f>IF(A113="","",G113-H113)</f>
        <v/>
      </c>
      <c r="K113" s="5">
        <f>IF(A113="","",H113-I113)</f>
        <v/>
      </c>
      <c r="L113" s="6">
        <f>IF(A113="","",IFERROR((H113-I113)/H113,0))</f>
        <v/>
      </c>
      <c r="M113" s="3">
        <f>IF(A113="","",IF(H113&lt;=I113,"Drop",IF(AND(J113&gt;0,IFERROR((H113-I113)/H113,0)&gt;=0.65),"Profit product",IF(IFERROR((H113-I113)/H113,0)&gt;=0.5,"Traffic product","Thin - rework"))))</f>
        <v/>
      </c>
    </row>
    <row r="114">
      <c r="G114" s="4" t="n"/>
      <c r="H114" s="4" t="n"/>
      <c r="I114" s="4" t="n"/>
      <c r="J114" s="5">
        <f>IF(A114="","",G114-H114)</f>
        <v/>
      </c>
      <c r="K114" s="5">
        <f>IF(A114="","",H114-I114)</f>
        <v/>
      </c>
      <c r="L114" s="6">
        <f>IF(A114="","",IFERROR((H114-I114)/H114,0))</f>
        <v/>
      </c>
      <c r="M114" s="3">
        <f>IF(A114="","",IF(H114&lt;=I114,"Drop",IF(AND(J114&gt;0,IFERROR((H114-I114)/H114,0)&gt;=0.65),"Profit product",IF(IFERROR((H114-I114)/H114,0)&gt;=0.5,"Traffic product","Thin - rework"))))</f>
        <v/>
      </c>
    </row>
    <row r="115">
      <c r="G115" s="4" t="n"/>
      <c r="H115" s="4" t="n"/>
      <c r="I115" s="4" t="n"/>
      <c r="J115" s="5">
        <f>IF(A115="","",G115-H115)</f>
        <v/>
      </c>
      <c r="K115" s="5">
        <f>IF(A115="","",H115-I115)</f>
        <v/>
      </c>
      <c r="L115" s="6">
        <f>IF(A115="","",IFERROR((H115-I115)/H115,0))</f>
        <v/>
      </c>
      <c r="M115" s="3">
        <f>IF(A115="","",IF(H115&lt;=I115,"Drop",IF(AND(J115&gt;0,IFERROR((H115-I115)/H115,0)&gt;=0.65),"Profit product",IF(IFERROR((H115-I115)/H115,0)&gt;=0.5,"Traffic product","Thin - rework"))))</f>
        <v/>
      </c>
    </row>
    <row r="116">
      <c r="G116" s="4" t="n"/>
      <c r="H116" s="4" t="n"/>
      <c r="I116" s="4" t="n"/>
      <c r="J116" s="5">
        <f>IF(A116="","",G116-H116)</f>
        <v/>
      </c>
      <c r="K116" s="5">
        <f>IF(A116="","",H116-I116)</f>
        <v/>
      </c>
      <c r="L116" s="6">
        <f>IF(A116="","",IFERROR((H116-I116)/H116,0))</f>
        <v/>
      </c>
      <c r="M116" s="3">
        <f>IF(A116="","",IF(H116&lt;=I116,"Drop",IF(AND(J116&gt;0,IFERROR((H116-I116)/H116,0)&gt;=0.65),"Profit product",IF(IFERROR((H116-I116)/H116,0)&gt;=0.5,"Traffic product","Thin - rework"))))</f>
        <v/>
      </c>
    </row>
    <row r="117">
      <c r="G117" s="4" t="n"/>
      <c r="H117" s="4" t="n"/>
      <c r="I117" s="4" t="n"/>
      <c r="J117" s="5">
        <f>IF(A117="","",G117-H117)</f>
        <v/>
      </c>
      <c r="K117" s="5">
        <f>IF(A117="","",H117-I117)</f>
        <v/>
      </c>
      <c r="L117" s="6">
        <f>IF(A117="","",IFERROR((H117-I117)/H117,0))</f>
        <v/>
      </c>
      <c r="M117" s="3">
        <f>IF(A117="","",IF(H117&lt;=I117,"Drop",IF(AND(J117&gt;0,IFERROR((H117-I117)/H117,0)&gt;=0.65),"Profit product",IF(IFERROR((H117-I117)/H117,0)&gt;=0.5,"Traffic product","Thin - rework"))))</f>
        <v/>
      </c>
    </row>
    <row r="118">
      <c r="G118" s="4" t="n"/>
      <c r="H118" s="4" t="n"/>
      <c r="I118" s="4" t="n"/>
      <c r="J118" s="5">
        <f>IF(A118="","",G118-H118)</f>
        <v/>
      </c>
      <c r="K118" s="5">
        <f>IF(A118="","",H118-I118)</f>
        <v/>
      </c>
      <c r="L118" s="6">
        <f>IF(A118="","",IFERROR((H118-I118)/H118,0))</f>
        <v/>
      </c>
      <c r="M118" s="3">
        <f>IF(A118="","",IF(H118&lt;=I118,"Drop",IF(AND(J118&gt;0,IFERROR((H118-I118)/H118,0)&gt;=0.65),"Profit product",IF(IFERROR((H118-I118)/H118,0)&gt;=0.5,"Traffic product","Thin - rework"))))</f>
        <v/>
      </c>
    </row>
    <row r="119">
      <c r="G119" s="4" t="n"/>
      <c r="H119" s="4" t="n"/>
      <c r="I119" s="4" t="n"/>
      <c r="J119" s="5">
        <f>IF(A119="","",G119-H119)</f>
        <v/>
      </c>
      <c r="K119" s="5">
        <f>IF(A119="","",H119-I119)</f>
        <v/>
      </c>
      <c r="L119" s="6">
        <f>IF(A119="","",IFERROR((H119-I119)/H119,0))</f>
        <v/>
      </c>
      <c r="M119" s="3">
        <f>IF(A119="","",IF(H119&lt;=I119,"Drop",IF(AND(J119&gt;0,IFERROR((H119-I119)/H119,0)&gt;=0.65),"Profit product",IF(IFERROR((H119-I119)/H119,0)&gt;=0.5,"Traffic product","Thin - rework"))))</f>
        <v/>
      </c>
    </row>
    <row r="120">
      <c r="G120" s="4" t="n"/>
      <c r="H120" s="4" t="n"/>
      <c r="I120" s="4" t="n"/>
      <c r="J120" s="5">
        <f>IF(A120="","",G120-H120)</f>
        <v/>
      </c>
      <c r="K120" s="5">
        <f>IF(A120="","",H120-I120)</f>
        <v/>
      </c>
      <c r="L120" s="6">
        <f>IF(A120="","",IFERROR((H120-I120)/H120,0))</f>
        <v/>
      </c>
      <c r="M120" s="3">
        <f>IF(A120="","",IF(H120&lt;=I120,"Drop",IF(AND(J120&gt;0,IFERROR((H120-I120)/H120,0)&gt;=0.65),"Profit product",IF(IFERROR((H120-I120)/H120,0)&gt;=0.5,"Traffic product","Thin - rework"))))</f>
        <v/>
      </c>
    </row>
    <row r="121">
      <c r="G121" s="4" t="n"/>
      <c r="H121" s="4" t="n"/>
      <c r="I121" s="4" t="n"/>
      <c r="J121" s="5">
        <f>IF(A121="","",G121-H121)</f>
        <v/>
      </c>
      <c r="K121" s="5">
        <f>IF(A121="","",H121-I121)</f>
        <v/>
      </c>
      <c r="L121" s="6">
        <f>IF(A121="","",IFERROR((H121-I121)/H121,0))</f>
        <v/>
      </c>
      <c r="M121" s="3">
        <f>IF(A121="","",IF(H121&lt;=I121,"Drop",IF(AND(J121&gt;0,IFERROR((H121-I121)/H121,0)&gt;=0.65),"Profit product",IF(IFERROR((H121-I121)/H121,0)&gt;=0.5,"Traffic product","Thin - rework"))))</f>
        <v/>
      </c>
    </row>
    <row r="122">
      <c r="G122" s="4" t="n"/>
      <c r="H122" s="4" t="n"/>
      <c r="I122" s="4" t="n"/>
      <c r="J122" s="5">
        <f>IF(A122="","",G122-H122)</f>
        <v/>
      </c>
      <c r="K122" s="5">
        <f>IF(A122="","",H122-I122)</f>
        <v/>
      </c>
      <c r="L122" s="6">
        <f>IF(A122="","",IFERROR((H122-I122)/H122,0))</f>
        <v/>
      </c>
      <c r="M122" s="3">
        <f>IF(A122="","",IF(H122&lt;=I122,"Drop",IF(AND(J122&gt;0,IFERROR((H122-I122)/H122,0)&gt;=0.65),"Profit product",IF(IFERROR((H122-I122)/H122,0)&gt;=0.5,"Traffic product","Thin - rework"))))</f>
        <v/>
      </c>
    </row>
    <row r="123">
      <c r="G123" s="4" t="n"/>
      <c r="H123" s="4" t="n"/>
      <c r="I123" s="4" t="n"/>
      <c r="J123" s="5">
        <f>IF(A123="","",G123-H123)</f>
        <v/>
      </c>
      <c r="K123" s="5">
        <f>IF(A123="","",H123-I123)</f>
        <v/>
      </c>
      <c r="L123" s="6">
        <f>IF(A123="","",IFERROR((H123-I123)/H123,0))</f>
        <v/>
      </c>
      <c r="M123" s="3">
        <f>IF(A123="","",IF(H123&lt;=I123,"Drop",IF(AND(J123&gt;0,IFERROR((H123-I123)/H123,0)&gt;=0.65),"Profit product",IF(IFERROR((H123-I123)/H123,0)&gt;=0.5,"Traffic product","Thin - rework"))))</f>
        <v/>
      </c>
    </row>
    <row r="124">
      <c r="G124" s="4" t="n"/>
      <c r="H124" s="4" t="n"/>
      <c r="I124" s="4" t="n"/>
      <c r="J124" s="5">
        <f>IF(A124="","",G124-H124)</f>
        <v/>
      </c>
      <c r="K124" s="5">
        <f>IF(A124="","",H124-I124)</f>
        <v/>
      </c>
      <c r="L124" s="6">
        <f>IF(A124="","",IFERROR((H124-I124)/H124,0))</f>
        <v/>
      </c>
      <c r="M124" s="3">
        <f>IF(A124="","",IF(H124&lt;=I124,"Drop",IF(AND(J124&gt;0,IFERROR((H124-I124)/H124,0)&gt;=0.65),"Profit product",IF(IFERROR((H124-I124)/H124,0)&gt;=0.5,"Traffic product","Thin - rework"))))</f>
        <v/>
      </c>
    </row>
    <row r="125">
      <c r="G125" s="4" t="n"/>
      <c r="H125" s="4" t="n"/>
      <c r="I125" s="4" t="n"/>
      <c r="J125" s="5">
        <f>IF(A125="","",G125-H125)</f>
        <v/>
      </c>
      <c r="K125" s="5">
        <f>IF(A125="","",H125-I125)</f>
        <v/>
      </c>
      <c r="L125" s="6">
        <f>IF(A125="","",IFERROR((H125-I125)/H125,0))</f>
        <v/>
      </c>
      <c r="M125" s="3">
        <f>IF(A125="","",IF(H125&lt;=I125,"Drop",IF(AND(J125&gt;0,IFERROR((H125-I125)/H125,0)&gt;=0.65),"Profit product",IF(IFERROR((H125-I125)/H125,0)&gt;=0.5,"Traffic product","Thin - rework"))))</f>
        <v/>
      </c>
    </row>
    <row r="126">
      <c r="G126" s="4" t="n"/>
      <c r="H126" s="4" t="n"/>
      <c r="I126" s="4" t="n"/>
      <c r="J126" s="5">
        <f>IF(A126="","",G126-H126)</f>
        <v/>
      </c>
      <c r="K126" s="5">
        <f>IF(A126="","",H126-I126)</f>
        <v/>
      </c>
      <c r="L126" s="6">
        <f>IF(A126="","",IFERROR((H126-I126)/H126,0))</f>
        <v/>
      </c>
      <c r="M126" s="3">
        <f>IF(A126="","",IF(H126&lt;=I126,"Drop",IF(AND(J126&gt;0,IFERROR((H126-I126)/H126,0)&gt;=0.65),"Profit product",IF(IFERROR((H126-I126)/H126,0)&gt;=0.5,"Traffic product","Thin - rework"))))</f>
        <v/>
      </c>
    </row>
    <row r="127">
      <c r="G127" s="4" t="n"/>
      <c r="H127" s="4" t="n"/>
      <c r="I127" s="4" t="n"/>
      <c r="J127" s="5">
        <f>IF(A127="","",G127-H127)</f>
        <v/>
      </c>
      <c r="K127" s="5">
        <f>IF(A127="","",H127-I127)</f>
        <v/>
      </c>
      <c r="L127" s="6">
        <f>IF(A127="","",IFERROR((H127-I127)/H127,0))</f>
        <v/>
      </c>
      <c r="M127" s="3">
        <f>IF(A127="","",IF(H127&lt;=I127,"Drop",IF(AND(J127&gt;0,IFERROR((H127-I127)/H127,0)&gt;=0.65),"Profit product",IF(IFERROR((H127-I127)/H127,0)&gt;=0.5,"Traffic product","Thin - rework"))))</f>
        <v/>
      </c>
    </row>
    <row r="128">
      <c r="G128" s="4" t="n"/>
      <c r="H128" s="4" t="n"/>
      <c r="I128" s="4" t="n"/>
      <c r="J128" s="5">
        <f>IF(A128="","",G128-H128)</f>
        <v/>
      </c>
      <c r="K128" s="5">
        <f>IF(A128="","",H128-I128)</f>
        <v/>
      </c>
      <c r="L128" s="6">
        <f>IF(A128="","",IFERROR((H128-I128)/H128,0))</f>
        <v/>
      </c>
      <c r="M128" s="3">
        <f>IF(A128="","",IF(H128&lt;=I128,"Drop",IF(AND(J128&gt;0,IFERROR((H128-I128)/H128,0)&gt;=0.65),"Profit product",IF(IFERROR((H128-I128)/H128,0)&gt;=0.5,"Traffic product","Thin - rework"))))</f>
        <v/>
      </c>
    </row>
    <row r="129">
      <c r="G129" s="4" t="n"/>
      <c r="H129" s="4" t="n"/>
      <c r="I129" s="4" t="n"/>
      <c r="J129" s="5">
        <f>IF(A129="","",G129-H129)</f>
        <v/>
      </c>
      <c r="K129" s="5">
        <f>IF(A129="","",H129-I129)</f>
        <v/>
      </c>
      <c r="L129" s="6">
        <f>IF(A129="","",IFERROR((H129-I129)/H129,0))</f>
        <v/>
      </c>
      <c r="M129" s="3">
        <f>IF(A129="","",IF(H129&lt;=I129,"Drop",IF(AND(J129&gt;0,IFERROR((H129-I129)/H129,0)&gt;=0.65),"Profit product",IF(IFERROR((H129-I129)/H129,0)&gt;=0.5,"Traffic product","Thin - rework"))))</f>
        <v/>
      </c>
    </row>
    <row r="130">
      <c r="G130" s="4" t="n"/>
      <c r="H130" s="4" t="n"/>
      <c r="I130" s="4" t="n"/>
      <c r="J130" s="5">
        <f>IF(A130="","",G130-H130)</f>
        <v/>
      </c>
      <c r="K130" s="5">
        <f>IF(A130="","",H130-I130)</f>
        <v/>
      </c>
      <c r="L130" s="6">
        <f>IF(A130="","",IFERROR((H130-I130)/H130,0))</f>
        <v/>
      </c>
      <c r="M130" s="3">
        <f>IF(A130="","",IF(H130&lt;=I130,"Drop",IF(AND(J130&gt;0,IFERROR((H130-I130)/H130,0)&gt;=0.65),"Profit product",IF(IFERROR((H130-I130)/H130,0)&gt;=0.5,"Traffic product","Thin - rework"))))</f>
        <v/>
      </c>
    </row>
    <row r="131">
      <c r="G131" s="4" t="n"/>
      <c r="H131" s="4" t="n"/>
      <c r="I131" s="4" t="n"/>
      <c r="J131" s="5">
        <f>IF(A131="","",G131-H131)</f>
        <v/>
      </c>
      <c r="K131" s="5">
        <f>IF(A131="","",H131-I131)</f>
        <v/>
      </c>
      <c r="L131" s="6">
        <f>IF(A131="","",IFERROR((H131-I131)/H131,0))</f>
        <v/>
      </c>
      <c r="M131" s="3">
        <f>IF(A131="","",IF(H131&lt;=I131,"Drop",IF(AND(J131&gt;0,IFERROR((H131-I131)/H131,0)&gt;=0.65),"Profit product",IF(IFERROR((H131-I131)/H131,0)&gt;=0.5,"Traffic product","Thin - rework"))))</f>
        <v/>
      </c>
    </row>
    <row r="132">
      <c r="G132" s="4" t="n"/>
      <c r="H132" s="4" t="n"/>
      <c r="I132" s="4" t="n"/>
      <c r="J132" s="5">
        <f>IF(A132="","",G132-H132)</f>
        <v/>
      </c>
      <c r="K132" s="5">
        <f>IF(A132="","",H132-I132)</f>
        <v/>
      </c>
      <c r="L132" s="6">
        <f>IF(A132="","",IFERROR((H132-I132)/H132,0))</f>
        <v/>
      </c>
      <c r="M132" s="3">
        <f>IF(A132="","",IF(H132&lt;=I132,"Drop",IF(AND(J132&gt;0,IFERROR((H132-I132)/H132,0)&gt;=0.65),"Profit product",IF(IFERROR((H132-I132)/H132,0)&gt;=0.5,"Traffic product","Thin - rework"))))</f>
        <v/>
      </c>
    </row>
    <row r="133">
      <c r="G133" s="4" t="n"/>
      <c r="H133" s="4" t="n"/>
      <c r="I133" s="4" t="n"/>
      <c r="J133" s="5">
        <f>IF(A133="","",G133-H133)</f>
        <v/>
      </c>
      <c r="K133" s="5">
        <f>IF(A133="","",H133-I133)</f>
        <v/>
      </c>
      <c r="L133" s="6">
        <f>IF(A133="","",IFERROR((H133-I133)/H133,0))</f>
        <v/>
      </c>
      <c r="M133" s="3">
        <f>IF(A133="","",IF(H133&lt;=I133,"Drop",IF(AND(J133&gt;0,IFERROR((H133-I133)/H133,0)&gt;=0.65),"Profit product",IF(IFERROR((H133-I133)/H133,0)&gt;=0.5,"Traffic product","Thin - rework"))))</f>
        <v/>
      </c>
    </row>
    <row r="134">
      <c r="G134" s="4" t="n"/>
      <c r="H134" s="4" t="n"/>
      <c r="I134" s="4" t="n"/>
      <c r="J134" s="5">
        <f>IF(A134="","",G134-H134)</f>
        <v/>
      </c>
      <c r="K134" s="5">
        <f>IF(A134="","",H134-I134)</f>
        <v/>
      </c>
      <c r="L134" s="6">
        <f>IF(A134="","",IFERROR((H134-I134)/H134,0))</f>
        <v/>
      </c>
      <c r="M134" s="3">
        <f>IF(A134="","",IF(H134&lt;=I134,"Drop",IF(AND(J134&gt;0,IFERROR((H134-I134)/H134,0)&gt;=0.65),"Profit product",IF(IFERROR((H134-I134)/H134,0)&gt;=0.5,"Traffic product","Thin - rework"))))</f>
        <v/>
      </c>
    </row>
    <row r="135">
      <c r="G135" s="4" t="n"/>
      <c r="H135" s="4" t="n"/>
      <c r="I135" s="4" t="n"/>
      <c r="J135" s="5">
        <f>IF(A135="","",G135-H135)</f>
        <v/>
      </c>
      <c r="K135" s="5">
        <f>IF(A135="","",H135-I135)</f>
        <v/>
      </c>
      <c r="L135" s="6">
        <f>IF(A135="","",IFERROR((H135-I135)/H135,0))</f>
        <v/>
      </c>
      <c r="M135" s="3">
        <f>IF(A135="","",IF(H135&lt;=I135,"Drop",IF(AND(J135&gt;0,IFERROR((H135-I135)/H135,0)&gt;=0.65),"Profit product",IF(IFERROR((H135-I135)/H135,0)&gt;=0.5,"Traffic product","Thin - rework"))))</f>
        <v/>
      </c>
    </row>
    <row r="136">
      <c r="G136" s="4" t="n"/>
      <c r="H136" s="4" t="n"/>
      <c r="I136" s="4" t="n"/>
      <c r="J136" s="5">
        <f>IF(A136="","",G136-H136)</f>
        <v/>
      </c>
      <c r="K136" s="5">
        <f>IF(A136="","",H136-I136)</f>
        <v/>
      </c>
      <c r="L136" s="6">
        <f>IF(A136="","",IFERROR((H136-I136)/H136,0))</f>
        <v/>
      </c>
      <c r="M136" s="3">
        <f>IF(A136="","",IF(H136&lt;=I136,"Drop",IF(AND(J136&gt;0,IFERROR((H136-I136)/H136,0)&gt;=0.65),"Profit product",IF(IFERROR((H136-I136)/H136,0)&gt;=0.5,"Traffic product","Thin - rework"))))</f>
        <v/>
      </c>
    </row>
    <row r="137">
      <c r="G137" s="4" t="n"/>
      <c r="H137" s="4" t="n"/>
      <c r="I137" s="4" t="n"/>
      <c r="J137" s="5">
        <f>IF(A137="","",G137-H137)</f>
        <v/>
      </c>
      <c r="K137" s="5">
        <f>IF(A137="","",H137-I137)</f>
        <v/>
      </c>
      <c r="L137" s="6">
        <f>IF(A137="","",IFERROR((H137-I137)/H137,0))</f>
        <v/>
      </c>
      <c r="M137" s="3">
        <f>IF(A137="","",IF(H137&lt;=I137,"Drop",IF(AND(J137&gt;0,IFERROR((H137-I137)/H137,0)&gt;=0.65),"Profit product",IF(IFERROR((H137-I137)/H137,0)&gt;=0.5,"Traffic product","Thin - rework"))))</f>
        <v/>
      </c>
    </row>
    <row r="138">
      <c r="G138" s="4" t="n"/>
      <c r="H138" s="4" t="n"/>
      <c r="I138" s="4" t="n"/>
      <c r="J138" s="5">
        <f>IF(A138="","",G138-H138)</f>
        <v/>
      </c>
      <c r="K138" s="5">
        <f>IF(A138="","",H138-I138)</f>
        <v/>
      </c>
      <c r="L138" s="6">
        <f>IF(A138="","",IFERROR((H138-I138)/H138,0))</f>
        <v/>
      </c>
      <c r="M138" s="3">
        <f>IF(A138="","",IF(H138&lt;=I138,"Drop",IF(AND(J138&gt;0,IFERROR((H138-I138)/H138,0)&gt;=0.65),"Profit product",IF(IFERROR((H138-I138)/H138,0)&gt;=0.5,"Traffic product","Thin - rework"))))</f>
        <v/>
      </c>
    </row>
    <row r="139">
      <c r="G139" s="4" t="n"/>
      <c r="H139" s="4" t="n"/>
      <c r="I139" s="4" t="n"/>
      <c r="J139" s="5">
        <f>IF(A139="","",G139-H139)</f>
        <v/>
      </c>
      <c r="K139" s="5">
        <f>IF(A139="","",H139-I139)</f>
        <v/>
      </c>
      <c r="L139" s="6">
        <f>IF(A139="","",IFERROR((H139-I139)/H139,0))</f>
        <v/>
      </c>
      <c r="M139" s="3">
        <f>IF(A139="","",IF(H139&lt;=I139,"Drop",IF(AND(J139&gt;0,IFERROR((H139-I139)/H139,0)&gt;=0.65),"Profit product",IF(IFERROR((H139-I139)/H139,0)&gt;=0.5,"Traffic product","Thin - rework"))))</f>
        <v/>
      </c>
    </row>
    <row r="140">
      <c r="G140" s="4" t="n"/>
      <c r="H140" s="4" t="n"/>
      <c r="I140" s="4" t="n"/>
      <c r="J140" s="5">
        <f>IF(A140="","",G140-H140)</f>
        <v/>
      </c>
      <c r="K140" s="5">
        <f>IF(A140="","",H140-I140)</f>
        <v/>
      </c>
      <c r="L140" s="6">
        <f>IF(A140="","",IFERROR((H140-I140)/H140,0))</f>
        <v/>
      </c>
      <c r="M140" s="3">
        <f>IF(A140="","",IF(H140&lt;=I140,"Drop",IF(AND(J140&gt;0,IFERROR((H140-I140)/H140,0)&gt;=0.65),"Profit product",IF(IFERROR((H140-I140)/H140,0)&gt;=0.5,"Traffic product","Thin - rework"))))</f>
        <v/>
      </c>
    </row>
    <row r="141">
      <c r="G141" s="4" t="n"/>
      <c r="H141" s="4" t="n"/>
      <c r="I141" s="4" t="n"/>
      <c r="J141" s="5">
        <f>IF(A141="","",G141-H141)</f>
        <v/>
      </c>
      <c r="K141" s="5">
        <f>IF(A141="","",H141-I141)</f>
        <v/>
      </c>
      <c r="L141" s="6">
        <f>IF(A141="","",IFERROR((H141-I141)/H141,0))</f>
        <v/>
      </c>
      <c r="M141" s="3">
        <f>IF(A141="","",IF(H141&lt;=I141,"Drop",IF(AND(J141&gt;0,IFERROR((H141-I141)/H141,0)&gt;=0.65),"Profit product",IF(IFERROR((H141-I141)/H141,0)&gt;=0.5,"Traffic product","Thin - rework"))))</f>
        <v/>
      </c>
    </row>
    <row r="142">
      <c r="G142" s="4" t="n"/>
      <c r="H142" s="4" t="n"/>
      <c r="I142" s="4" t="n"/>
      <c r="J142" s="5">
        <f>IF(A142="","",G142-H142)</f>
        <v/>
      </c>
      <c r="K142" s="5">
        <f>IF(A142="","",H142-I142)</f>
        <v/>
      </c>
      <c r="L142" s="6">
        <f>IF(A142="","",IFERROR((H142-I142)/H142,0))</f>
        <v/>
      </c>
      <c r="M142" s="3">
        <f>IF(A142="","",IF(H142&lt;=I142,"Drop",IF(AND(J142&gt;0,IFERROR((H142-I142)/H142,0)&gt;=0.65),"Profit product",IF(IFERROR((H142-I142)/H142,0)&gt;=0.5,"Traffic product","Thin - rework"))))</f>
        <v/>
      </c>
    </row>
    <row r="143">
      <c r="G143" s="4" t="n"/>
      <c r="H143" s="4" t="n"/>
      <c r="I143" s="4" t="n"/>
      <c r="J143" s="5">
        <f>IF(A143="","",G143-H143)</f>
        <v/>
      </c>
      <c r="K143" s="5">
        <f>IF(A143="","",H143-I143)</f>
        <v/>
      </c>
      <c r="L143" s="6">
        <f>IF(A143="","",IFERROR((H143-I143)/H143,0))</f>
        <v/>
      </c>
      <c r="M143" s="3">
        <f>IF(A143="","",IF(H143&lt;=I143,"Drop",IF(AND(J143&gt;0,IFERROR((H143-I143)/H143,0)&gt;=0.65),"Profit product",IF(IFERROR((H143-I143)/H143,0)&gt;=0.5,"Traffic product","Thin - rework"))))</f>
        <v/>
      </c>
    </row>
    <row r="144">
      <c r="G144" s="4" t="n"/>
      <c r="H144" s="4" t="n"/>
      <c r="I144" s="4" t="n"/>
      <c r="J144" s="5">
        <f>IF(A144="","",G144-H144)</f>
        <v/>
      </c>
      <c r="K144" s="5">
        <f>IF(A144="","",H144-I144)</f>
        <v/>
      </c>
      <c r="L144" s="6">
        <f>IF(A144="","",IFERROR((H144-I144)/H144,0))</f>
        <v/>
      </c>
      <c r="M144" s="3">
        <f>IF(A144="","",IF(H144&lt;=I144,"Drop",IF(AND(J144&gt;0,IFERROR((H144-I144)/H144,0)&gt;=0.65),"Profit product",IF(IFERROR((H144-I144)/H144,0)&gt;=0.5,"Traffic product","Thin - rework"))))</f>
        <v/>
      </c>
    </row>
    <row r="145">
      <c r="G145" s="4" t="n"/>
      <c r="H145" s="4" t="n"/>
      <c r="I145" s="4" t="n"/>
      <c r="J145" s="5">
        <f>IF(A145="","",G145-H145)</f>
        <v/>
      </c>
      <c r="K145" s="5">
        <f>IF(A145="","",H145-I145)</f>
        <v/>
      </c>
      <c r="L145" s="6">
        <f>IF(A145="","",IFERROR((H145-I145)/H145,0))</f>
        <v/>
      </c>
      <c r="M145" s="3">
        <f>IF(A145="","",IF(H145&lt;=I145,"Drop",IF(AND(J145&gt;0,IFERROR((H145-I145)/H145,0)&gt;=0.65),"Profit product",IF(IFERROR((H145-I145)/H145,0)&gt;=0.5,"Traffic product","Thin - rework"))))</f>
        <v/>
      </c>
    </row>
    <row r="146">
      <c r="G146" s="4" t="n"/>
      <c r="H146" s="4" t="n"/>
      <c r="I146" s="4" t="n"/>
      <c r="J146" s="5">
        <f>IF(A146="","",G146-H146)</f>
        <v/>
      </c>
      <c r="K146" s="5">
        <f>IF(A146="","",H146-I146)</f>
        <v/>
      </c>
      <c r="L146" s="6">
        <f>IF(A146="","",IFERROR((H146-I146)/H146,0))</f>
        <v/>
      </c>
      <c r="M146" s="3">
        <f>IF(A146="","",IF(H146&lt;=I146,"Drop",IF(AND(J146&gt;0,IFERROR((H146-I146)/H146,0)&gt;=0.65),"Profit product",IF(IFERROR((H146-I146)/H146,0)&gt;=0.5,"Traffic product","Thin - rework"))))</f>
        <v/>
      </c>
    </row>
    <row r="147">
      <c r="G147" s="4" t="n"/>
      <c r="H147" s="4" t="n"/>
      <c r="I147" s="4" t="n"/>
      <c r="J147" s="5">
        <f>IF(A147="","",G147-H147)</f>
        <v/>
      </c>
      <c r="K147" s="5">
        <f>IF(A147="","",H147-I147)</f>
        <v/>
      </c>
      <c r="L147" s="6">
        <f>IF(A147="","",IFERROR((H147-I147)/H147,0))</f>
        <v/>
      </c>
      <c r="M147" s="3">
        <f>IF(A147="","",IF(H147&lt;=I147,"Drop",IF(AND(J147&gt;0,IFERROR((H147-I147)/H147,0)&gt;=0.65),"Profit product",IF(IFERROR((H147-I147)/H147,0)&gt;=0.5,"Traffic product","Thin - rework"))))</f>
        <v/>
      </c>
    </row>
    <row r="148">
      <c r="G148" s="4" t="n"/>
      <c r="H148" s="4" t="n"/>
      <c r="I148" s="4" t="n"/>
      <c r="J148" s="5">
        <f>IF(A148="","",G148-H148)</f>
        <v/>
      </c>
      <c r="K148" s="5">
        <f>IF(A148="","",H148-I148)</f>
        <v/>
      </c>
      <c r="L148" s="6">
        <f>IF(A148="","",IFERROR((H148-I148)/H148,0))</f>
        <v/>
      </c>
      <c r="M148" s="3">
        <f>IF(A148="","",IF(H148&lt;=I148,"Drop",IF(AND(J148&gt;0,IFERROR((H148-I148)/H148,0)&gt;=0.65),"Profit product",IF(IFERROR((H148-I148)/H148,0)&gt;=0.5,"Traffic product","Thin - rework"))))</f>
        <v/>
      </c>
    </row>
    <row r="149">
      <c r="G149" s="4" t="n"/>
      <c r="H149" s="4" t="n"/>
      <c r="I149" s="4" t="n"/>
      <c r="J149" s="5">
        <f>IF(A149="","",G149-H149)</f>
        <v/>
      </c>
      <c r="K149" s="5">
        <f>IF(A149="","",H149-I149)</f>
        <v/>
      </c>
      <c r="L149" s="6">
        <f>IF(A149="","",IFERROR((H149-I149)/H149,0))</f>
        <v/>
      </c>
      <c r="M149" s="3">
        <f>IF(A149="","",IF(H149&lt;=I149,"Drop",IF(AND(J149&gt;0,IFERROR((H149-I149)/H149,0)&gt;=0.65),"Profit product",IF(IFERROR((H149-I149)/H149,0)&gt;=0.5,"Traffic product","Thin - rework"))))</f>
        <v/>
      </c>
    </row>
    <row r="150">
      <c r="G150" s="4" t="n"/>
      <c r="H150" s="4" t="n"/>
      <c r="I150" s="4" t="n"/>
      <c r="J150" s="5">
        <f>IF(A150="","",G150-H150)</f>
        <v/>
      </c>
      <c r="K150" s="5">
        <f>IF(A150="","",H150-I150)</f>
        <v/>
      </c>
      <c r="L150" s="6">
        <f>IF(A150="","",IFERROR((H150-I150)/H150,0))</f>
        <v/>
      </c>
      <c r="M150" s="3">
        <f>IF(A150="","",IF(H150&lt;=I150,"Drop",IF(AND(J150&gt;0,IFERROR((H150-I150)/H150,0)&gt;=0.65),"Profit product",IF(IFERROR((H150-I150)/H150,0)&gt;=0.5,"Traffic product","Thin - rework"))))</f>
        <v/>
      </c>
    </row>
    <row r="151">
      <c r="G151" s="4" t="n"/>
      <c r="H151" s="4" t="n"/>
      <c r="I151" s="4" t="n"/>
      <c r="J151" s="5">
        <f>IF(A151="","",G151-H151)</f>
        <v/>
      </c>
      <c r="K151" s="5">
        <f>IF(A151="","",H151-I151)</f>
        <v/>
      </c>
      <c r="L151" s="6">
        <f>IF(A151="","",IFERROR((H151-I151)/H151,0))</f>
        <v/>
      </c>
      <c r="M151" s="3">
        <f>IF(A151="","",IF(H151&lt;=I151,"Drop",IF(AND(J151&gt;0,IFERROR((H151-I151)/H151,0)&gt;=0.65),"Profit product",IF(IFERROR((H151-I151)/H151,0)&gt;=0.5,"Traffic product","Thin - rework"))))</f>
        <v/>
      </c>
    </row>
    <row r="152">
      <c r="G152" s="4" t="n"/>
      <c r="H152" s="4" t="n"/>
      <c r="I152" s="4" t="n"/>
      <c r="J152" s="5">
        <f>IF(A152="","",G152-H152)</f>
        <v/>
      </c>
      <c r="K152" s="5">
        <f>IF(A152="","",H152-I152)</f>
        <v/>
      </c>
      <c r="L152" s="6">
        <f>IF(A152="","",IFERROR((H152-I152)/H152,0))</f>
        <v/>
      </c>
      <c r="M152" s="3">
        <f>IF(A152="","",IF(H152&lt;=I152,"Drop",IF(AND(J152&gt;0,IFERROR((H152-I152)/H152,0)&gt;=0.65),"Profit product",IF(IFERROR((H152-I152)/H152,0)&gt;=0.5,"Traffic product","Thin - rework"))))</f>
        <v/>
      </c>
    </row>
    <row r="153">
      <c r="G153" s="4" t="n"/>
      <c r="H153" s="4" t="n"/>
      <c r="I153" s="4" t="n"/>
      <c r="J153" s="5">
        <f>IF(A153="","",G153-H153)</f>
        <v/>
      </c>
      <c r="K153" s="5">
        <f>IF(A153="","",H153-I153)</f>
        <v/>
      </c>
      <c r="L153" s="6">
        <f>IF(A153="","",IFERROR((H153-I153)/H153,0))</f>
        <v/>
      </c>
      <c r="M153" s="3">
        <f>IF(A153="","",IF(H153&lt;=I153,"Drop",IF(AND(J153&gt;0,IFERROR((H153-I153)/H153,0)&gt;=0.65),"Profit product",IF(IFERROR((H153-I153)/H153,0)&gt;=0.5,"Traffic product","Thin - rework"))))</f>
        <v/>
      </c>
    </row>
    <row r="154">
      <c r="G154" s="4" t="n"/>
      <c r="H154" s="4" t="n"/>
      <c r="I154" s="4" t="n"/>
      <c r="J154" s="5">
        <f>IF(A154="","",G154-H154)</f>
        <v/>
      </c>
      <c r="K154" s="5">
        <f>IF(A154="","",H154-I154)</f>
        <v/>
      </c>
      <c r="L154" s="6">
        <f>IF(A154="","",IFERROR((H154-I154)/H154,0))</f>
        <v/>
      </c>
      <c r="M154" s="3">
        <f>IF(A154="","",IF(H154&lt;=I154,"Drop",IF(AND(J154&gt;0,IFERROR((H154-I154)/H154,0)&gt;=0.65),"Profit product",IF(IFERROR((H154-I154)/H154,0)&gt;=0.5,"Traffic product","Thin - rework"))))</f>
        <v/>
      </c>
    </row>
    <row r="155">
      <c r="G155" s="4" t="n"/>
      <c r="H155" s="4" t="n"/>
      <c r="I155" s="4" t="n"/>
      <c r="J155" s="5">
        <f>IF(A155="","",G155-H155)</f>
        <v/>
      </c>
      <c r="K155" s="5">
        <f>IF(A155="","",H155-I155)</f>
        <v/>
      </c>
      <c r="L155" s="6">
        <f>IF(A155="","",IFERROR((H155-I155)/H155,0))</f>
        <v/>
      </c>
      <c r="M155" s="3">
        <f>IF(A155="","",IF(H155&lt;=I155,"Drop",IF(AND(J155&gt;0,IFERROR((H155-I155)/H155,0)&gt;=0.65),"Profit product",IF(IFERROR((H155-I155)/H155,0)&gt;=0.5,"Traffic product","Thin - rework"))))</f>
        <v/>
      </c>
    </row>
    <row r="156">
      <c r="G156" s="4" t="n"/>
      <c r="H156" s="4" t="n"/>
      <c r="I156" s="4" t="n"/>
      <c r="J156" s="5">
        <f>IF(A156="","",G156-H156)</f>
        <v/>
      </c>
      <c r="K156" s="5">
        <f>IF(A156="","",H156-I156)</f>
        <v/>
      </c>
      <c r="L156" s="6">
        <f>IF(A156="","",IFERROR((H156-I156)/H156,0))</f>
        <v/>
      </c>
      <c r="M156" s="3">
        <f>IF(A156="","",IF(H156&lt;=I156,"Drop",IF(AND(J156&gt;0,IFERROR((H156-I156)/H156,0)&gt;=0.65),"Profit product",IF(IFERROR((H156-I156)/H156,0)&gt;=0.5,"Traffic product","Thin - rework"))))</f>
        <v/>
      </c>
    </row>
    <row r="157">
      <c r="G157" s="4" t="n"/>
      <c r="H157" s="4" t="n"/>
      <c r="I157" s="4" t="n"/>
      <c r="J157" s="5">
        <f>IF(A157="","",G157-H157)</f>
        <v/>
      </c>
      <c r="K157" s="5">
        <f>IF(A157="","",H157-I157)</f>
        <v/>
      </c>
      <c r="L157" s="6">
        <f>IF(A157="","",IFERROR((H157-I157)/H157,0))</f>
        <v/>
      </c>
      <c r="M157" s="3">
        <f>IF(A157="","",IF(H157&lt;=I157,"Drop",IF(AND(J157&gt;0,IFERROR((H157-I157)/H157,0)&gt;=0.65),"Profit product",IF(IFERROR((H157-I157)/H157,0)&gt;=0.5,"Traffic product","Thin - rework"))))</f>
        <v/>
      </c>
    </row>
    <row r="158">
      <c r="G158" s="4" t="n"/>
      <c r="H158" s="4" t="n"/>
      <c r="I158" s="4" t="n"/>
      <c r="J158" s="5">
        <f>IF(A158="","",G158-H158)</f>
        <v/>
      </c>
      <c r="K158" s="5">
        <f>IF(A158="","",H158-I158)</f>
        <v/>
      </c>
      <c r="L158" s="6">
        <f>IF(A158="","",IFERROR((H158-I158)/H158,0))</f>
        <v/>
      </c>
      <c r="M158" s="3">
        <f>IF(A158="","",IF(H158&lt;=I158,"Drop",IF(AND(J158&gt;0,IFERROR((H158-I158)/H158,0)&gt;=0.65),"Profit product",IF(IFERROR((H158-I158)/H158,0)&gt;=0.5,"Traffic product","Thin - rework"))))</f>
        <v/>
      </c>
    </row>
    <row r="159">
      <c r="G159" s="4" t="n"/>
      <c r="H159" s="4" t="n"/>
      <c r="I159" s="4" t="n"/>
      <c r="J159" s="5">
        <f>IF(A159="","",G159-H159)</f>
        <v/>
      </c>
      <c r="K159" s="5">
        <f>IF(A159="","",H159-I159)</f>
        <v/>
      </c>
      <c r="L159" s="6">
        <f>IF(A159="","",IFERROR((H159-I159)/H159,0))</f>
        <v/>
      </c>
      <c r="M159" s="3">
        <f>IF(A159="","",IF(H159&lt;=I159,"Drop",IF(AND(J159&gt;0,IFERROR((H159-I159)/H159,0)&gt;=0.65),"Profit product",IF(IFERROR((H159-I159)/H159,0)&gt;=0.5,"Traffic product","Thin - rework"))))</f>
        <v/>
      </c>
    </row>
    <row r="160">
      <c r="G160" s="4" t="n"/>
      <c r="H160" s="4" t="n"/>
      <c r="I160" s="4" t="n"/>
      <c r="J160" s="5">
        <f>IF(A160="","",G160-H160)</f>
        <v/>
      </c>
      <c r="K160" s="5">
        <f>IF(A160="","",H160-I160)</f>
        <v/>
      </c>
      <c r="L160" s="6">
        <f>IF(A160="","",IFERROR((H160-I160)/H160,0))</f>
        <v/>
      </c>
      <c r="M160" s="3">
        <f>IF(A160="","",IF(H160&lt;=I160,"Drop",IF(AND(J160&gt;0,IFERROR((H160-I160)/H160,0)&gt;=0.65),"Profit product",IF(IFERROR((H160-I160)/H160,0)&gt;=0.5,"Traffic product","Thin - rework"))))</f>
        <v/>
      </c>
    </row>
    <row r="161">
      <c r="G161" s="4" t="n"/>
      <c r="H161" s="4" t="n"/>
      <c r="I161" s="4" t="n"/>
      <c r="J161" s="5">
        <f>IF(A161="","",G161-H161)</f>
        <v/>
      </c>
      <c r="K161" s="5">
        <f>IF(A161="","",H161-I161)</f>
        <v/>
      </c>
      <c r="L161" s="6">
        <f>IF(A161="","",IFERROR((H161-I161)/H161,0))</f>
        <v/>
      </c>
      <c r="M161" s="3">
        <f>IF(A161="","",IF(H161&lt;=I161,"Drop",IF(AND(J161&gt;0,IFERROR((H161-I161)/H161,0)&gt;=0.65),"Profit product",IF(IFERROR((H161-I161)/H161,0)&gt;=0.5,"Traffic product","Thin - rework"))))</f>
        <v/>
      </c>
    </row>
    <row r="162">
      <c r="G162" s="4" t="n"/>
      <c r="H162" s="4" t="n"/>
      <c r="I162" s="4" t="n"/>
      <c r="J162" s="5">
        <f>IF(A162="","",G162-H162)</f>
        <v/>
      </c>
      <c r="K162" s="5">
        <f>IF(A162="","",H162-I162)</f>
        <v/>
      </c>
      <c r="L162" s="6">
        <f>IF(A162="","",IFERROR((H162-I162)/H162,0))</f>
        <v/>
      </c>
      <c r="M162" s="3">
        <f>IF(A162="","",IF(H162&lt;=I162,"Drop",IF(AND(J162&gt;0,IFERROR((H162-I162)/H162,0)&gt;=0.65),"Profit product",IF(IFERROR((H162-I162)/H162,0)&gt;=0.5,"Traffic product","Thin - rework"))))</f>
        <v/>
      </c>
    </row>
    <row r="163">
      <c r="G163" s="4" t="n"/>
      <c r="H163" s="4" t="n"/>
      <c r="I163" s="4" t="n"/>
      <c r="J163" s="5">
        <f>IF(A163="","",G163-H163)</f>
        <v/>
      </c>
      <c r="K163" s="5">
        <f>IF(A163="","",H163-I163)</f>
        <v/>
      </c>
      <c r="L163" s="6">
        <f>IF(A163="","",IFERROR((H163-I163)/H163,0))</f>
        <v/>
      </c>
      <c r="M163" s="3">
        <f>IF(A163="","",IF(H163&lt;=I163,"Drop",IF(AND(J163&gt;0,IFERROR((H163-I163)/H163,0)&gt;=0.65),"Profit product",IF(IFERROR((H163-I163)/H163,0)&gt;=0.5,"Traffic product","Thin - rework"))))</f>
        <v/>
      </c>
    </row>
    <row r="164">
      <c r="G164" s="4" t="n"/>
      <c r="H164" s="4" t="n"/>
      <c r="I164" s="4" t="n"/>
      <c r="J164" s="5">
        <f>IF(A164="","",G164-H164)</f>
        <v/>
      </c>
      <c r="K164" s="5">
        <f>IF(A164="","",H164-I164)</f>
        <v/>
      </c>
      <c r="L164" s="6">
        <f>IF(A164="","",IFERROR((H164-I164)/H164,0))</f>
        <v/>
      </c>
      <c r="M164" s="3">
        <f>IF(A164="","",IF(H164&lt;=I164,"Drop",IF(AND(J164&gt;0,IFERROR((H164-I164)/H164,0)&gt;=0.65),"Profit product",IF(IFERROR((H164-I164)/H164,0)&gt;=0.5,"Traffic product","Thin - rework"))))</f>
        <v/>
      </c>
    </row>
    <row r="165">
      <c r="G165" s="4" t="n"/>
      <c r="H165" s="4" t="n"/>
      <c r="I165" s="4" t="n"/>
      <c r="J165" s="5">
        <f>IF(A165="","",G165-H165)</f>
        <v/>
      </c>
      <c r="K165" s="5">
        <f>IF(A165="","",H165-I165)</f>
        <v/>
      </c>
      <c r="L165" s="6">
        <f>IF(A165="","",IFERROR((H165-I165)/H165,0))</f>
        <v/>
      </c>
      <c r="M165" s="3">
        <f>IF(A165="","",IF(H165&lt;=I165,"Drop",IF(AND(J165&gt;0,IFERROR((H165-I165)/H165,0)&gt;=0.65),"Profit product",IF(IFERROR((H165-I165)/H165,0)&gt;=0.5,"Traffic product","Thin - rework"))))</f>
        <v/>
      </c>
    </row>
    <row r="166">
      <c r="G166" s="4" t="n"/>
      <c r="H166" s="4" t="n"/>
      <c r="I166" s="4" t="n"/>
      <c r="J166" s="5">
        <f>IF(A166="","",G166-H166)</f>
        <v/>
      </c>
      <c r="K166" s="5">
        <f>IF(A166="","",H166-I166)</f>
        <v/>
      </c>
      <c r="L166" s="6">
        <f>IF(A166="","",IFERROR((H166-I166)/H166,0))</f>
        <v/>
      </c>
      <c r="M166" s="3">
        <f>IF(A166="","",IF(H166&lt;=I166,"Drop",IF(AND(J166&gt;0,IFERROR((H166-I166)/H166,0)&gt;=0.65),"Profit product",IF(IFERROR((H166-I166)/H166,0)&gt;=0.5,"Traffic product","Thin - rework"))))</f>
        <v/>
      </c>
    </row>
    <row r="167">
      <c r="G167" s="4" t="n"/>
      <c r="H167" s="4" t="n"/>
      <c r="I167" s="4" t="n"/>
      <c r="J167" s="5">
        <f>IF(A167="","",G167-H167)</f>
        <v/>
      </c>
      <c r="K167" s="5">
        <f>IF(A167="","",H167-I167)</f>
        <v/>
      </c>
      <c r="L167" s="6">
        <f>IF(A167="","",IFERROR((H167-I167)/H167,0))</f>
        <v/>
      </c>
      <c r="M167" s="3">
        <f>IF(A167="","",IF(H167&lt;=I167,"Drop",IF(AND(J167&gt;0,IFERROR((H167-I167)/H167,0)&gt;=0.65),"Profit product",IF(IFERROR((H167-I167)/H167,0)&gt;=0.5,"Traffic product","Thin - rework"))))</f>
        <v/>
      </c>
    </row>
    <row r="168">
      <c r="G168" s="4" t="n"/>
      <c r="H168" s="4" t="n"/>
      <c r="I168" s="4" t="n"/>
      <c r="J168" s="5">
        <f>IF(A168="","",G168-H168)</f>
        <v/>
      </c>
      <c r="K168" s="5">
        <f>IF(A168="","",H168-I168)</f>
        <v/>
      </c>
      <c r="L168" s="6">
        <f>IF(A168="","",IFERROR((H168-I168)/H168,0))</f>
        <v/>
      </c>
      <c r="M168" s="3">
        <f>IF(A168="","",IF(H168&lt;=I168,"Drop",IF(AND(J168&gt;0,IFERROR((H168-I168)/H168,0)&gt;=0.65),"Profit product",IF(IFERROR((H168-I168)/H168,0)&gt;=0.5,"Traffic product","Thin - rework"))))</f>
        <v/>
      </c>
    </row>
    <row r="169">
      <c r="G169" s="4" t="n"/>
      <c r="H169" s="4" t="n"/>
      <c r="I169" s="4" t="n"/>
      <c r="J169" s="5">
        <f>IF(A169="","",G169-H169)</f>
        <v/>
      </c>
      <c r="K169" s="5">
        <f>IF(A169="","",H169-I169)</f>
        <v/>
      </c>
      <c r="L169" s="6">
        <f>IF(A169="","",IFERROR((H169-I169)/H169,0))</f>
        <v/>
      </c>
      <c r="M169" s="3">
        <f>IF(A169="","",IF(H169&lt;=I169,"Drop",IF(AND(J169&gt;0,IFERROR((H169-I169)/H169,0)&gt;=0.65),"Profit product",IF(IFERROR((H169-I169)/H169,0)&gt;=0.5,"Traffic product","Thin - rework"))))</f>
        <v/>
      </c>
    </row>
    <row r="170">
      <c r="G170" s="4" t="n"/>
      <c r="H170" s="4" t="n"/>
      <c r="I170" s="4" t="n"/>
      <c r="J170" s="5">
        <f>IF(A170="","",G170-H170)</f>
        <v/>
      </c>
      <c r="K170" s="5">
        <f>IF(A170="","",H170-I170)</f>
        <v/>
      </c>
      <c r="L170" s="6">
        <f>IF(A170="","",IFERROR((H170-I170)/H170,0))</f>
        <v/>
      </c>
      <c r="M170" s="3">
        <f>IF(A170="","",IF(H170&lt;=I170,"Drop",IF(AND(J170&gt;0,IFERROR((H170-I170)/H170,0)&gt;=0.65),"Profit product",IF(IFERROR((H170-I170)/H170,0)&gt;=0.5,"Traffic product","Thin - rework"))))</f>
        <v/>
      </c>
    </row>
    <row r="171">
      <c r="G171" s="4" t="n"/>
      <c r="H171" s="4" t="n"/>
      <c r="I171" s="4" t="n"/>
      <c r="J171" s="5">
        <f>IF(A171="","",G171-H171)</f>
        <v/>
      </c>
      <c r="K171" s="5">
        <f>IF(A171="","",H171-I171)</f>
        <v/>
      </c>
      <c r="L171" s="6">
        <f>IF(A171="","",IFERROR((H171-I171)/H171,0))</f>
        <v/>
      </c>
      <c r="M171" s="3">
        <f>IF(A171="","",IF(H171&lt;=I171,"Drop",IF(AND(J171&gt;0,IFERROR((H171-I171)/H171,0)&gt;=0.65),"Profit product",IF(IFERROR((H171-I171)/H171,0)&gt;=0.5,"Traffic product","Thin - rework"))))</f>
        <v/>
      </c>
    </row>
    <row r="172">
      <c r="G172" s="4" t="n"/>
      <c r="H172" s="4" t="n"/>
      <c r="I172" s="4" t="n"/>
      <c r="J172" s="5">
        <f>IF(A172="","",G172-H172)</f>
        <v/>
      </c>
      <c r="K172" s="5">
        <f>IF(A172="","",H172-I172)</f>
        <v/>
      </c>
      <c r="L172" s="6">
        <f>IF(A172="","",IFERROR((H172-I172)/H172,0))</f>
        <v/>
      </c>
      <c r="M172" s="3">
        <f>IF(A172="","",IF(H172&lt;=I172,"Drop",IF(AND(J172&gt;0,IFERROR((H172-I172)/H172,0)&gt;=0.65),"Profit product",IF(IFERROR((H172-I172)/H172,0)&gt;=0.5,"Traffic product","Thin - rework"))))</f>
        <v/>
      </c>
    </row>
    <row r="173">
      <c r="G173" s="4" t="n"/>
      <c r="H173" s="4" t="n"/>
      <c r="I173" s="4" t="n"/>
      <c r="J173" s="5">
        <f>IF(A173="","",G173-H173)</f>
        <v/>
      </c>
      <c r="K173" s="5">
        <f>IF(A173="","",H173-I173)</f>
        <v/>
      </c>
      <c r="L173" s="6">
        <f>IF(A173="","",IFERROR((H173-I173)/H173,0))</f>
        <v/>
      </c>
      <c r="M173" s="3">
        <f>IF(A173="","",IF(H173&lt;=I173,"Drop",IF(AND(J173&gt;0,IFERROR((H173-I173)/H173,0)&gt;=0.65),"Profit product",IF(IFERROR((H173-I173)/H173,0)&gt;=0.5,"Traffic product","Thin - rework"))))</f>
        <v/>
      </c>
    </row>
    <row r="174">
      <c r="G174" s="4" t="n"/>
      <c r="H174" s="4" t="n"/>
      <c r="I174" s="4" t="n"/>
      <c r="J174" s="5">
        <f>IF(A174="","",G174-H174)</f>
        <v/>
      </c>
      <c r="K174" s="5">
        <f>IF(A174="","",H174-I174)</f>
        <v/>
      </c>
      <c r="L174" s="6">
        <f>IF(A174="","",IFERROR((H174-I174)/H174,0))</f>
        <v/>
      </c>
      <c r="M174" s="3">
        <f>IF(A174="","",IF(H174&lt;=I174,"Drop",IF(AND(J174&gt;0,IFERROR((H174-I174)/H174,0)&gt;=0.65),"Profit product",IF(IFERROR((H174-I174)/H174,0)&gt;=0.5,"Traffic product","Thin - rework"))))</f>
        <v/>
      </c>
    </row>
    <row r="175">
      <c r="G175" s="4" t="n"/>
      <c r="H175" s="4" t="n"/>
      <c r="I175" s="4" t="n"/>
      <c r="J175" s="5">
        <f>IF(A175="","",G175-H175)</f>
        <v/>
      </c>
      <c r="K175" s="5">
        <f>IF(A175="","",H175-I175)</f>
        <v/>
      </c>
      <c r="L175" s="6">
        <f>IF(A175="","",IFERROR((H175-I175)/H175,0))</f>
        <v/>
      </c>
      <c r="M175" s="3">
        <f>IF(A175="","",IF(H175&lt;=I175,"Drop",IF(AND(J175&gt;0,IFERROR((H175-I175)/H175,0)&gt;=0.65),"Profit product",IF(IFERROR((H175-I175)/H175,0)&gt;=0.5,"Traffic product","Thin - rework"))))</f>
        <v/>
      </c>
    </row>
    <row r="176">
      <c r="G176" s="4" t="n"/>
      <c r="H176" s="4" t="n"/>
      <c r="I176" s="4" t="n"/>
      <c r="J176" s="5">
        <f>IF(A176="","",G176-H176)</f>
        <v/>
      </c>
      <c r="K176" s="5">
        <f>IF(A176="","",H176-I176)</f>
        <v/>
      </c>
      <c r="L176" s="6">
        <f>IF(A176="","",IFERROR((H176-I176)/H176,0))</f>
        <v/>
      </c>
      <c r="M176" s="3">
        <f>IF(A176="","",IF(H176&lt;=I176,"Drop",IF(AND(J176&gt;0,IFERROR((H176-I176)/H176,0)&gt;=0.65),"Profit product",IF(IFERROR((H176-I176)/H176,0)&gt;=0.5,"Traffic product","Thin - rework"))))</f>
        <v/>
      </c>
    </row>
    <row r="177">
      <c r="G177" s="4" t="n"/>
      <c r="H177" s="4" t="n"/>
      <c r="I177" s="4" t="n"/>
      <c r="J177" s="5">
        <f>IF(A177="","",G177-H177)</f>
        <v/>
      </c>
      <c r="K177" s="5">
        <f>IF(A177="","",H177-I177)</f>
        <v/>
      </c>
      <c r="L177" s="6">
        <f>IF(A177="","",IFERROR((H177-I177)/H177,0))</f>
        <v/>
      </c>
      <c r="M177" s="3">
        <f>IF(A177="","",IF(H177&lt;=I177,"Drop",IF(AND(J177&gt;0,IFERROR((H177-I177)/H177,0)&gt;=0.65),"Profit product",IF(IFERROR((H177-I177)/H177,0)&gt;=0.5,"Traffic product","Thin - rework"))))</f>
        <v/>
      </c>
    </row>
    <row r="178">
      <c r="G178" s="4" t="n"/>
      <c r="H178" s="4" t="n"/>
      <c r="I178" s="4" t="n"/>
      <c r="J178" s="5">
        <f>IF(A178="","",G178-H178)</f>
        <v/>
      </c>
      <c r="K178" s="5">
        <f>IF(A178="","",H178-I178)</f>
        <v/>
      </c>
      <c r="L178" s="6">
        <f>IF(A178="","",IFERROR((H178-I178)/H178,0))</f>
        <v/>
      </c>
      <c r="M178" s="3">
        <f>IF(A178="","",IF(H178&lt;=I178,"Drop",IF(AND(J178&gt;0,IFERROR((H178-I178)/H178,0)&gt;=0.65),"Profit product",IF(IFERROR((H178-I178)/H178,0)&gt;=0.5,"Traffic product","Thin - rework"))))</f>
        <v/>
      </c>
    </row>
    <row r="179">
      <c r="G179" s="4" t="n"/>
      <c r="H179" s="4" t="n"/>
      <c r="I179" s="4" t="n"/>
      <c r="J179" s="5">
        <f>IF(A179="","",G179-H179)</f>
        <v/>
      </c>
      <c r="K179" s="5">
        <f>IF(A179="","",H179-I179)</f>
        <v/>
      </c>
      <c r="L179" s="6">
        <f>IF(A179="","",IFERROR((H179-I179)/H179,0))</f>
        <v/>
      </c>
      <c r="M179" s="3">
        <f>IF(A179="","",IF(H179&lt;=I179,"Drop",IF(AND(J179&gt;0,IFERROR((H179-I179)/H179,0)&gt;=0.65),"Profit product",IF(IFERROR((H179-I179)/H179,0)&gt;=0.5,"Traffic product","Thin - rework"))))</f>
        <v/>
      </c>
    </row>
    <row r="180">
      <c r="G180" s="4" t="n"/>
      <c r="H180" s="4" t="n"/>
      <c r="I180" s="4" t="n"/>
      <c r="J180" s="5">
        <f>IF(A180="","",G180-H180)</f>
        <v/>
      </c>
      <c r="K180" s="5">
        <f>IF(A180="","",H180-I180)</f>
        <v/>
      </c>
      <c r="L180" s="6">
        <f>IF(A180="","",IFERROR((H180-I180)/H180,0))</f>
        <v/>
      </c>
      <c r="M180" s="3">
        <f>IF(A180="","",IF(H180&lt;=I180,"Drop",IF(AND(J180&gt;0,IFERROR((H180-I180)/H180,0)&gt;=0.65),"Profit product",IF(IFERROR((H180-I180)/H180,0)&gt;=0.5,"Traffic product","Thin - rework"))))</f>
        <v/>
      </c>
    </row>
    <row r="181">
      <c r="G181" s="4" t="n"/>
      <c r="H181" s="4" t="n"/>
      <c r="I181" s="4" t="n"/>
      <c r="J181" s="5">
        <f>IF(A181="","",G181-H181)</f>
        <v/>
      </c>
      <c r="K181" s="5">
        <f>IF(A181="","",H181-I181)</f>
        <v/>
      </c>
      <c r="L181" s="6">
        <f>IF(A181="","",IFERROR((H181-I181)/H181,0))</f>
        <v/>
      </c>
      <c r="M181" s="3">
        <f>IF(A181="","",IF(H181&lt;=I181,"Drop",IF(AND(J181&gt;0,IFERROR((H181-I181)/H181,0)&gt;=0.65),"Profit product",IF(IFERROR((H181-I181)/H181,0)&gt;=0.5,"Traffic product","Thin - rework"))))</f>
        <v/>
      </c>
    </row>
    <row r="182">
      <c r="G182" s="4" t="n"/>
      <c r="H182" s="4" t="n"/>
      <c r="I182" s="4" t="n"/>
      <c r="J182" s="5">
        <f>IF(A182="","",G182-H182)</f>
        <v/>
      </c>
      <c r="K182" s="5">
        <f>IF(A182="","",H182-I182)</f>
        <v/>
      </c>
      <c r="L182" s="6">
        <f>IF(A182="","",IFERROR((H182-I182)/H182,0))</f>
        <v/>
      </c>
      <c r="M182" s="3">
        <f>IF(A182="","",IF(H182&lt;=I182,"Drop",IF(AND(J182&gt;0,IFERROR((H182-I182)/H182,0)&gt;=0.65),"Profit product",IF(IFERROR((H182-I182)/H182,0)&gt;=0.5,"Traffic product","Thin - rework"))))</f>
        <v/>
      </c>
    </row>
    <row r="183">
      <c r="G183" s="4" t="n"/>
      <c r="H183" s="4" t="n"/>
      <c r="I183" s="4" t="n"/>
      <c r="J183" s="5">
        <f>IF(A183="","",G183-H183)</f>
        <v/>
      </c>
      <c r="K183" s="5">
        <f>IF(A183="","",H183-I183)</f>
        <v/>
      </c>
      <c r="L183" s="6">
        <f>IF(A183="","",IFERROR((H183-I183)/H183,0))</f>
        <v/>
      </c>
      <c r="M183" s="3">
        <f>IF(A183="","",IF(H183&lt;=I183,"Drop",IF(AND(J183&gt;0,IFERROR((H183-I183)/H183,0)&gt;=0.65),"Profit product",IF(IFERROR((H183-I183)/H183,0)&gt;=0.5,"Traffic product","Thin - rework"))))</f>
        <v/>
      </c>
    </row>
    <row r="184">
      <c r="G184" s="4" t="n"/>
      <c r="H184" s="4" t="n"/>
      <c r="I184" s="4" t="n"/>
      <c r="J184" s="5">
        <f>IF(A184="","",G184-H184)</f>
        <v/>
      </c>
      <c r="K184" s="5">
        <f>IF(A184="","",H184-I184)</f>
        <v/>
      </c>
      <c r="L184" s="6">
        <f>IF(A184="","",IFERROR((H184-I184)/H184,0))</f>
        <v/>
      </c>
      <c r="M184" s="3">
        <f>IF(A184="","",IF(H184&lt;=I184,"Drop",IF(AND(J184&gt;0,IFERROR((H184-I184)/H184,0)&gt;=0.65),"Profit product",IF(IFERROR((H184-I184)/H184,0)&gt;=0.5,"Traffic product","Thin - rework"))))</f>
        <v/>
      </c>
    </row>
    <row r="185">
      <c r="G185" s="4" t="n"/>
      <c r="H185" s="4" t="n"/>
      <c r="I185" s="4" t="n"/>
      <c r="J185" s="5">
        <f>IF(A185="","",G185-H185)</f>
        <v/>
      </c>
      <c r="K185" s="5">
        <f>IF(A185="","",H185-I185)</f>
        <v/>
      </c>
      <c r="L185" s="6">
        <f>IF(A185="","",IFERROR((H185-I185)/H185,0))</f>
        <v/>
      </c>
      <c r="M185" s="3">
        <f>IF(A185="","",IF(H185&lt;=I185,"Drop",IF(AND(J185&gt;0,IFERROR((H185-I185)/H185,0)&gt;=0.65),"Profit product",IF(IFERROR((H185-I185)/H185,0)&gt;=0.5,"Traffic product","Thin - rework"))))</f>
        <v/>
      </c>
    </row>
    <row r="186">
      <c r="G186" s="4" t="n"/>
      <c r="H186" s="4" t="n"/>
      <c r="I186" s="4" t="n"/>
      <c r="J186" s="5">
        <f>IF(A186="","",G186-H186)</f>
        <v/>
      </c>
      <c r="K186" s="5">
        <f>IF(A186="","",H186-I186)</f>
        <v/>
      </c>
      <c r="L186" s="6">
        <f>IF(A186="","",IFERROR((H186-I186)/H186,0))</f>
        <v/>
      </c>
      <c r="M186" s="3">
        <f>IF(A186="","",IF(H186&lt;=I186,"Drop",IF(AND(J186&gt;0,IFERROR((H186-I186)/H186,0)&gt;=0.65),"Profit product",IF(IFERROR((H186-I186)/H186,0)&gt;=0.5,"Traffic product","Thin - rework"))))</f>
        <v/>
      </c>
    </row>
    <row r="187">
      <c r="G187" s="4" t="n"/>
      <c r="H187" s="4" t="n"/>
      <c r="I187" s="4" t="n"/>
      <c r="J187" s="5">
        <f>IF(A187="","",G187-H187)</f>
        <v/>
      </c>
      <c r="K187" s="5">
        <f>IF(A187="","",H187-I187)</f>
        <v/>
      </c>
      <c r="L187" s="6">
        <f>IF(A187="","",IFERROR((H187-I187)/H187,0))</f>
        <v/>
      </c>
      <c r="M187" s="3">
        <f>IF(A187="","",IF(H187&lt;=I187,"Drop",IF(AND(J187&gt;0,IFERROR((H187-I187)/H187,0)&gt;=0.65),"Profit product",IF(IFERROR((H187-I187)/H187,0)&gt;=0.5,"Traffic product","Thin - rework"))))</f>
        <v/>
      </c>
    </row>
    <row r="188">
      <c r="G188" s="4" t="n"/>
      <c r="H188" s="4" t="n"/>
      <c r="I188" s="4" t="n"/>
      <c r="J188" s="5">
        <f>IF(A188="","",G188-H188)</f>
        <v/>
      </c>
      <c r="K188" s="5">
        <f>IF(A188="","",H188-I188)</f>
        <v/>
      </c>
      <c r="L188" s="6">
        <f>IF(A188="","",IFERROR((H188-I188)/H188,0))</f>
        <v/>
      </c>
      <c r="M188" s="3">
        <f>IF(A188="","",IF(H188&lt;=I188,"Drop",IF(AND(J188&gt;0,IFERROR((H188-I188)/H188,0)&gt;=0.65),"Profit product",IF(IFERROR((H188-I188)/H188,0)&gt;=0.5,"Traffic product","Thin - rework"))))</f>
        <v/>
      </c>
    </row>
    <row r="189">
      <c r="G189" s="4" t="n"/>
      <c r="H189" s="4" t="n"/>
      <c r="I189" s="4" t="n"/>
      <c r="J189" s="5">
        <f>IF(A189="","",G189-H189)</f>
        <v/>
      </c>
      <c r="K189" s="5">
        <f>IF(A189="","",H189-I189)</f>
        <v/>
      </c>
      <c r="L189" s="6">
        <f>IF(A189="","",IFERROR((H189-I189)/H189,0))</f>
        <v/>
      </c>
      <c r="M189" s="3">
        <f>IF(A189="","",IF(H189&lt;=I189,"Drop",IF(AND(J189&gt;0,IFERROR((H189-I189)/H189,0)&gt;=0.65),"Profit product",IF(IFERROR((H189-I189)/H189,0)&gt;=0.5,"Traffic product","Thin - rework"))))</f>
        <v/>
      </c>
    </row>
    <row r="190">
      <c r="G190" s="4" t="n"/>
      <c r="H190" s="4" t="n"/>
      <c r="I190" s="4" t="n"/>
      <c r="J190" s="5">
        <f>IF(A190="","",G190-H190)</f>
        <v/>
      </c>
      <c r="K190" s="5">
        <f>IF(A190="","",H190-I190)</f>
        <v/>
      </c>
      <c r="L190" s="6">
        <f>IF(A190="","",IFERROR((H190-I190)/H190,0))</f>
        <v/>
      </c>
      <c r="M190" s="3">
        <f>IF(A190="","",IF(H190&lt;=I190,"Drop",IF(AND(J190&gt;0,IFERROR((H190-I190)/H190,0)&gt;=0.65),"Profit product",IF(IFERROR((H190-I190)/H190,0)&gt;=0.5,"Traffic product","Thin - rework"))))</f>
        <v/>
      </c>
    </row>
    <row r="191">
      <c r="G191" s="4" t="n"/>
      <c r="H191" s="4" t="n"/>
      <c r="I191" s="4" t="n"/>
      <c r="J191" s="5">
        <f>IF(A191="","",G191-H191)</f>
        <v/>
      </c>
      <c r="K191" s="5">
        <f>IF(A191="","",H191-I191)</f>
        <v/>
      </c>
      <c r="L191" s="6">
        <f>IF(A191="","",IFERROR((H191-I191)/H191,0))</f>
        <v/>
      </c>
      <c r="M191" s="3">
        <f>IF(A191="","",IF(H191&lt;=I191,"Drop",IF(AND(J191&gt;0,IFERROR((H191-I191)/H191,0)&gt;=0.65),"Profit product",IF(IFERROR((H191-I191)/H191,0)&gt;=0.5,"Traffic product","Thin - rework"))))</f>
        <v/>
      </c>
    </row>
    <row r="192">
      <c r="G192" s="4" t="n"/>
      <c r="H192" s="4" t="n"/>
      <c r="I192" s="4" t="n"/>
      <c r="J192" s="5">
        <f>IF(A192="","",G192-H192)</f>
        <v/>
      </c>
      <c r="K192" s="5">
        <f>IF(A192="","",H192-I192)</f>
        <v/>
      </c>
      <c r="L192" s="6">
        <f>IF(A192="","",IFERROR((H192-I192)/H192,0))</f>
        <v/>
      </c>
      <c r="M192" s="3">
        <f>IF(A192="","",IF(H192&lt;=I192,"Drop",IF(AND(J192&gt;0,IFERROR((H192-I192)/H192,0)&gt;=0.65),"Profit product",IF(IFERROR((H192-I192)/H192,0)&gt;=0.5,"Traffic product","Thin - rework"))))</f>
        <v/>
      </c>
    </row>
    <row r="193">
      <c r="G193" s="4" t="n"/>
      <c r="H193" s="4" t="n"/>
      <c r="I193" s="4" t="n"/>
      <c r="J193" s="5">
        <f>IF(A193="","",G193-H193)</f>
        <v/>
      </c>
      <c r="K193" s="5">
        <f>IF(A193="","",H193-I193)</f>
        <v/>
      </c>
      <c r="L193" s="6">
        <f>IF(A193="","",IFERROR((H193-I193)/H193,0))</f>
        <v/>
      </c>
      <c r="M193" s="3">
        <f>IF(A193="","",IF(H193&lt;=I193,"Drop",IF(AND(J193&gt;0,IFERROR((H193-I193)/H193,0)&gt;=0.65),"Profit product",IF(IFERROR((H193-I193)/H193,0)&gt;=0.5,"Traffic product","Thin - rework"))))</f>
        <v/>
      </c>
    </row>
    <row r="194">
      <c r="G194" s="4" t="n"/>
      <c r="H194" s="4" t="n"/>
      <c r="I194" s="4" t="n"/>
      <c r="J194" s="5">
        <f>IF(A194="","",G194-H194)</f>
        <v/>
      </c>
      <c r="K194" s="5">
        <f>IF(A194="","",H194-I194)</f>
        <v/>
      </c>
      <c r="L194" s="6">
        <f>IF(A194="","",IFERROR((H194-I194)/H194,0))</f>
        <v/>
      </c>
      <c r="M194" s="3">
        <f>IF(A194="","",IF(H194&lt;=I194,"Drop",IF(AND(J194&gt;0,IFERROR((H194-I194)/H194,0)&gt;=0.65),"Profit product",IF(IFERROR((H194-I194)/H194,0)&gt;=0.5,"Traffic product","Thin - rework"))))</f>
        <v/>
      </c>
    </row>
    <row r="195">
      <c r="G195" s="4" t="n"/>
      <c r="H195" s="4" t="n"/>
      <c r="I195" s="4" t="n"/>
      <c r="J195" s="5">
        <f>IF(A195="","",G195-H195)</f>
        <v/>
      </c>
      <c r="K195" s="5">
        <f>IF(A195="","",H195-I195)</f>
        <v/>
      </c>
      <c r="L195" s="6">
        <f>IF(A195="","",IFERROR((H195-I195)/H195,0))</f>
        <v/>
      </c>
      <c r="M195" s="3">
        <f>IF(A195="","",IF(H195&lt;=I195,"Drop",IF(AND(J195&gt;0,IFERROR((H195-I195)/H195,0)&gt;=0.65),"Profit product",IF(IFERROR((H195-I195)/H195,0)&gt;=0.5,"Traffic product","Thin - rework"))))</f>
        <v/>
      </c>
    </row>
    <row r="196">
      <c r="G196" s="4" t="n"/>
      <c r="H196" s="4" t="n"/>
      <c r="I196" s="4" t="n"/>
      <c r="J196" s="5">
        <f>IF(A196="","",G196-H196)</f>
        <v/>
      </c>
      <c r="K196" s="5">
        <f>IF(A196="","",H196-I196)</f>
        <v/>
      </c>
      <c r="L196" s="6">
        <f>IF(A196="","",IFERROR((H196-I196)/H196,0))</f>
        <v/>
      </c>
      <c r="M196" s="3">
        <f>IF(A196="","",IF(H196&lt;=I196,"Drop",IF(AND(J196&gt;0,IFERROR((H196-I196)/H196,0)&gt;=0.65),"Profit product",IF(IFERROR((H196-I196)/H196,0)&gt;=0.5,"Traffic product","Thin - rework"))))</f>
        <v/>
      </c>
    </row>
    <row r="197">
      <c r="G197" s="4" t="n"/>
      <c r="H197" s="4" t="n"/>
      <c r="I197" s="4" t="n"/>
      <c r="J197" s="5">
        <f>IF(A197="","",G197-H197)</f>
        <v/>
      </c>
      <c r="K197" s="5">
        <f>IF(A197="","",H197-I197)</f>
        <v/>
      </c>
      <c r="L197" s="6">
        <f>IF(A197="","",IFERROR((H197-I197)/H197,0))</f>
        <v/>
      </c>
      <c r="M197" s="3">
        <f>IF(A197="","",IF(H197&lt;=I197,"Drop",IF(AND(J197&gt;0,IFERROR((H197-I197)/H197,0)&gt;=0.65),"Profit product",IF(IFERROR((H197-I197)/H197,0)&gt;=0.5,"Traffic product","Thin - rework"))))</f>
        <v/>
      </c>
    </row>
    <row r="198">
      <c r="G198" s="4" t="n"/>
      <c r="H198" s="4" t="n"/>
      <c r="I198" s="4" t="n"/>
      <c r="J198" s="5">
        <f>IF(A198="","",G198-H198)</f>
        <v/>
      </c>
      <c r="K198" s="5">
        <f>IF(A198="","",H198-I198)</f>
        <v/>
      </c>
      <c r="L198" s="6">
        <f>IF(A198="","",IFERROR((H198-I198)/H198,0))</f>
        <v/>
      </c>
      <c r="M198" s="3">
        <f>IF(A198="","",IF(H198&lt;=I198,"Drop",IF(AND(J198&gt;0,IFERROR((H198-I198)/H198,0)&gt;=0.65),"Profit product",IF(IFERROR((H198-I198)/H198,0)&gt;=0.5,"Traffic product","Thin - rework"))))</f>
        <v/>
      </c>
    </row>
    <row r="199">
      <c r="G199" s="4" t="n"/>
      <c r="H199" s="4" t="n"/>
      <c r="I199" s="4" t="n"/>
      <c r="J199" s="5">
        <f>IF(A199="","",G199-H199)</f>
        <v/>
      </c>
      <c r="K199" s="5">
        <f>IF(A199="","",H199-I199)</f>
        <v/>
      </c>
      <c r="L199" s="6">
        <f>IF(A199="","",IFERROR((H199-I199)/H199,0))</f>
        <v/>
      </c>
      <c r="M199" s="3">
        <f>IF(A199="","",IF(H199&lt;=I199,"Drop",IF(AND(J199&gt;0,IFERROR((H199-I199)/H199,0)&gt;=0.65),"Profit product",IF(IFERROR((H199-I199)/H199,0)&gt;=0.5,"Traffic product","Thin - rework"))))</f>
        <v/>
      </c>
    </row>
    <row r="200">
      <c r="G200" s="4" t="n"/>
      <c r="H200" s="4" t="n"/>
      <c r="I200" s="4" t="n"/>
      <c r="J200" s="5">
        <f>IF(A200="","",G200-H200)</f>
        <v/>
      </c>
      <c r="K200" s="5">
        <f>IF(A200="","",H200-I200)</f>
        <v/>
      </c>
      <c r="L200" s="6">
        <f>IF(A200="","",IFERROR((H200-I200)/H200,0))</f>
        <v/>
      </c>
      <c r="M200" s="3">
        <f>IF(A200="","",IF(H200&lt;=I200,"Drop",IF(AND(J200&gt;0,IFERROR((H200-I200)/H200,0)&gt;=0.65),"Profit product",IF(IFERROR((H200-I200)/H200,0)&gt;=0.5,"Traffic product","Thin - rework"))))</f>
        <v/>
      </c>
    </row>
    <row r="201">
      <c r="G201" s="4" t="n"/>
      <c r="H201" s="4" t="n"/>
      <c r="I201" s="4" t="n"/>
      <c r="J201" s="5">
        <f>IF(A201="","",G201-H201)</f>
        <v/>
      </c>
      <c r="K201" s="5">
        <f>IF(A201="","",H201-I201)</f>
        <v/>
      </c>
      <c r="L201" s="6">
        <f>IF(A201="","",IFERROR((H201-I201)/H201,0))</f>
        <v/>
      </c>
      <c r="M201" s="3">
        <f>IF(A201="","",IF(H201&lt;=I201,"Drop",IF(AND(J201&gt;0,IFERROR((H201-I201)/H201,0)&gt;=0.65),"Profit product",IF(IFERROR((H201-I201)/H201,0)&gt;=0.5,"Traffic product","Thin - rework"))))</f>
        <v/>
      </c>
    </row>
    <row r="203">
      <c r="A203" s="7">
        <f>COUNTA(A2:A201)</f>
        <v/>
      </c>
    </row>
  </sheetData>
  <dataValidations count="1">
    <dataValidation sqref="O2:O201" showDropDown="0" showInputMessage="0" showErrorMessage="0" allowBlank="1" type="list">
      <formula1>"Test,Hold,Drop,Scale"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5.71428571428571" customWidth="1" min="13" max="13"/>
    <col width="15.71428571428571" customWidth="1" min="14" max="14"/>
  </cols>
  <sheetData>
    <row r="1" ht="48" customHeight="1">
      <c r="A1" s="1" t="inlineStr">
        <is>
          <t>Offer</t>
        </is>
      </c>
      <c r="B1" s="1" t="inlineStr">
        <is>
          <t>Price ($)</t>
        </is>
      </c>
      <c r="C1" s="1" t="inlineStr">
        <is>
          <t>Production cost ($)</t>
        </is>
      </c>
      <c r="D1" s="1" t="inlineStr">
        <is>
          <t>Logistics in+out ($)</t>
        </is>
      </c>
      <c r="E1" s="1" t="inlineStr">
        <is>
          <t>Platform commission %</t>
        </is>
      </c>
      <c r="F1" s="1" t="inlineStr">
        <is>
          <t>Payment / payout fees %</t>
        </is>
      </c>
      <c r="G1" s="1" t="inlineStr">
        <is>
          <t>Refund rate %</t>
        </is>
      </c>
      <c r="H1" s="1" t="inlineStr">
        <is>
          <t>Marketing reserve % (creators+ads)</t>
        </is>
      </c>
      <c r="I1" s="2" t="inlineStr">
        <is>
          <t>Contribution ($) ƒ</t>
        </is>
      </c>
      <c r="J1" s="2" t="inlineStr">
        <is>
          <t>Gross margin % ƒ</t>
        </is>
      </c>
      <c r="K1" s="2" t="inlineStr">
        <is>
          <t>Operating margin ($) ƒ</t>
        </is>
      </c>
      <c r="L1" s="2" t="inlineStr">
        <is>
          <t>Operating margin % ƒ</t>
        </is>
      </c>
      <c r="M1" s="2" t="inlineStr">
        <is>
          <t>Break-even ad ROAS ƒ</t>
        </is>
      </c>
      <c r="N1" s="2" t="inlineStr">
        <is>
          <t>Verdict ƒ</t>
        </is>
      </c>
    </row>
    <row r="2">
      <c r="A2" t="inlineStr">
        <is>
          <t>Example</t>
        </is>
      </c>
      <c r="B2" s="4" t="n">
        <v>49.99</v>
      </c>
      <c r="C2" s="4" t="n">
        <v>8</v>
      </c>
      <c r="D2" s="4" t="n">
        <v>7</v>
      </c>
      <c r="E2" s="8" t="n">
        <v>0.06</v>
      </c>
      <c r="F2" s="8" t="n">
        <v>0.03</v>
      </c>
      <c r="G2" s="8" t="n">
        <v>0.05</v>
      </c>
      <c r="H2" s="8" t="n">
        <v>0.3</v>
      </c>
      <c r="I2" s="5">
        <f>IF(A2="","",B2-C2-D2-B2*(E2+F2+G2))</f>
        <v/>
      </c>
      <c r="J2" s="6">
        <f>IF(A2="","",IFERROR(I2/B2,0))</f>
        <v/>
      </c>
      <c r="K2" s="5">
        <f>IF(A2="","",I2-B2*H2)</f>
        <v/>
      </c>
      <c r="L2" s="6">
        <f>IF(A2="","",IFERROR(K2/B2,0))</f>
        <v/>
      </c>
      <c r="M2" s="9">
        <f>IF(A2="","",IFERROR(B2/I2,0))</f>
        <v/>
      </c>
      <c r="N2" s="3">
        <f>IF(A2="","",IF(K2&lt;=0,"Drop",IF(J2&gt;=0.65,"Profit product",IF(J2&gt;=0.5,"Traffic product","Thin"))))</f>
        <v/>
      </c>
    </row>
    <row r="3">
      <c r="B3" s="4" t="n"/>
      <c r="C3" s="4" t="n"/>
      <c r="D3" s="4" t="n"/>
      <c r="E3" s="8" t="n"/>
      <c r="F3" s="8" t="n"/>
      <c r="G3" s="8" t="n"/>
      <c r="H3" s="8" t="n"/>
      <c r="I3" s="5">
        <f>IF(A3="","",B3-C3-D3-B3*(E3+F3+G3))</f>
        <v/>
      </c>
      <c r="J3" s="6">
        <f>IF(A3="","",IFERROR(I3/B3,0))</f>
        <v/>
      </c>
      <c r="K3" s="5">
        <f>IF(A3="","",I3-B3*H3)</f>
        <v/>
      </c>
      <c r="L3" s="6">
        <f>IF(A3="","",IFERROR(K3/B3,0))</f>
        <v/>
      </c>
      <c r="M3" s="9">
        <f>IF(A3="","",IFERROR(B3/I3,0))</f>
        <v/>
      </c>
      <c r="N3" s="3">
        <f>IF(A3="","",IF(K3&lt;=0,"Drop",IF(J3&gt;=0.65,"Profit product",IF(J3&gt;=0.5,"Traffic product","Thin"))))</f>
        <v/>
      </c>
    </row>
    <row r="4">
      <c r="B4" s="4" t="n"/>
      <c r="C4" s="4" t="n"/>
      <c r="D4" s="4" t="n"/>
      <c r="E4" s="8" t="n"/>
      <c r="F4" s="8" t="n"/>
      <c r="G4" s="8" t="n"/>
      <c r="H4" s="8" t="n"/>
      <c r="I4" s="5">
        <f>IF(A4="","",B4-C4-D4-B4*(E4+F4+G4))</f>
        <v/>
      </c>
      <c r="J4" s="6">
        <f>IF(A4="","",IFERROR(I4/B4,0))</f>
        <v/>
      </c>
      <c r="K4" s="5">
        <f>IF(A4="","",I4-B4*H4)</f>
        <v/>
      </c>
      <c r="L4" s="6">
        <f>IF(A4="","",IFERROR(K4/B4,0))</f>
        <v/>
      </c>
      <c r="M4" s="9">
        <f>IF(A4="","",IFERROR(B4/I4,0))</f>
        <v/>
      </c>
      <c r="N4" s="3">
        <f>IF(A4="","",IF(K4&lt;=0,"Drop",IF(J4&gt;=0.65,"Profit product",IF(J4&gt;=0.5,"Traffic product","Thin"))))</f>
        <v/>
      </c>
    </row>
    <row r="5">
      <c r="B5" s="4" t="n"/>
      <c r="C5" s="4" t="n"/>
      <c r="D5" s="4" t="n"/>
      <c r="E5" s="8" t="n"/>
      <c r="F5" s="8" t="n"/>
      <c r="G5" s="8" t="n"/>
      <c r="H5" s="8" t="n"/>
      <c r="I5" s="5">
        <f>IF(A5="","",B5-C5-D5-B5*(E5+F5+G5))</f>
        <v/>
      </c>
      <c r="J5" s="6">
        <f>IF(A5="","",IFERROR(I5/B5,0))</f>
        <v/>
      </c>
      <c r="K5" s="5">
        <f>IF(A5="","",I5-B5*H5)</f>
        <v/>
      </c>
      <c r="L5" s="6">
        <f>IF(A5="","",IFERROR(K5/B5,0))</f>
        <v/>
      </c>
      <c r="M5" s="9">
        <f>IF(A5="","",IFERROR(B5/I5,0))</f>
        <v/>
      </c>
      <c r="N5" s="3">
        <f>IF(A5="","",IF(K5&lt;=0,"Drop",IF(J5&gt;=0.65,"Profit product",IF(J5&gt;=0.5,"Traffic product","Thin"))))</f>
        <v/>
      </c>
    </row>
    <row r="6">
      <c r="B6" s="4" t="n"/>
      <c r="C6" s="4" t="n"/>
      <c r="D6" s="4" t="n"/>
      <c r="E6" s="8" t="n"/>
      <c r="F6" s="8" t="n"/>
      <c r="G6" s="8" t="n"/>
      <c r="H6" s="8" t="n"/>
      <c r="I6" s="5">
        <f>IF(A6="","",B6-C6-D6-B6*(E6+F6+G6))</f>
        <v/>
      </c>
      <c r="J6" s="6">
        <f>IF(A6="","",IFERROR(I6/B6,0))</f>
        <v/>
      </c>
      <c r="K6" s="5">
        <f>IF(A6="","",I6-B6*H6)</f>
        <v/>
      </c>
      <c r="L6" s="6">
        <f>IF(A6="","",IFERROR(K6/B6,0))</f>
        <v/>
      </c>
      <c r="M6" s="9">
        <f>IF(A6="","",IFERROR(B6/I6,0))</f>
        <v/>
      </c>
      <c r="N6" s="3">
        <f>IF(A6="","",IF(K6&lt;=0,"Drop",IF(J6&gt;=0.65,"Profit product",IF(J6&gt;=0.5,"Traffic product","Thin"))))</f>
        <v/>
      </c>
    </row>
    <row r="7">
      <c r="B7" s="4" t="n"/>
      <c r="C7" s="4" t="n"/>
      <c r="D7" s="4" t="n"/>
      <c r="E7" s="8" t="n"/>
      <c r="F7" s="8" t="n"/>
      <c r="G7" s="8" t="n"/>
      <c r="H7" s="8" t="n"/>
      <c r="I7" s="5">
        <f>IF(A7="","",B7-C7-D7-B7*(E7+F7+G7))</f>
        <v/>
      </c>
      <c r="J7" s="6">
        <f>IF(A7="","",IFERROR(I7/B7,0))</f>
        <v/>
      </c>
      <c r="K7" s="5">
        <f>IF(A7="","",I7-B7*H7)</f>
        <v/>
      </c>
      <c r="L7" s="6">
        <f>IF(A7="","",IFERROR(K7/B7,0))</f>
        <v/>
      </c>
      <c r="M7" s="9">
        <f>IF(A7="","",IFERROR(B7/I7,0))</f>
        <v/>
      </c>
      <c r="N7" s="3">
        <f>IF(A7="","",IF(K7&lt;=0,"Drop",IF(J7&gt;=0.65,"Profit product",IF(J7&gt;=0.5,"Traffic product","Thin"))))</f>
        <v/>
      </c>
    </row>
    <row r="8">
      <c r="B8" s="4" t="n"/>
      <c r="C8" s="4" t="n"/>
      <c r="D8" s="4" t="n"/>
      <c r="E8" s="8" t="n"/>
      <c r="F8" s="8" t="n"/>
      <c r="G8" s="8" t="n"/>
      <c r="H8" s="8" t="n"/>
      <c r="I8" s="5">
        <f>IF(A8="","",B8-C8-D8-B8*(E8+F8+G8))</f>
        <v/>
      </c>
      <c r="J8" s="6">
        <f>IF(A8="","",IFERROR(I8/B8,0))</f>
        <v/>
      </c>
      <c r="K8" s="5">
        <f>IF(A8="","",I8-B8*H8)</f>
        <v/>
      </c>
      <c r="L8" s="6">
        <f>IF(A8="","",IFERROR(K8/B8,0))</f>
        <v/>
      </c>
      <c r="M8" s="9">
        <f>IF(A8="","",IFERROR(B8/I8,0))</f>
        <v/>
      </c>
      <c r="N8" s="3">
        <f>IF(A8="","",IF(K8&lt;=0,"Drop",IF(J8&gt;=0.65,"Profit product",IF(J8&gt;=0.5,"Traffic product","Thin"))))</f>
        <v/>
      </c>
    </row>
    <row r="9">
      <c r="B9" s="4" t="n"/>
      <c r="C9" s="4" t="n"/>
      <c r="D9" s="4" t="n"/>
      <c r="E9" s="8" t="n"/>
      <c r="F9" s="8" t="n"/>
      <c r="G9" s="8" t="n"/>
      <c r="H9" s="8" t="n"/>
      <c r="I9" s="5">
        <f>IF(A9="","",B9-C9-D9-B9*(E9+F9+G9))</f>
        <v/>
      </c>
      <c r="J9" s="6">
        <f>IF(A9="","",IFERROR(I9/B9,0))</f>
        <v/>
      </c>
      <c r="K9" s="5">
        <f>IF(A9="","",I9-B9*H9)</f>
        <v/>
      </c>
      <c r="L9" s="6">
        <f>IF(A9="","",IFERROR(K9/B9,0))</f>
        <v/>
      </c>
      <c r="M9" s="9">
        <f>IF(A9="","",IFERROR(B9/I9,0))</f>
        <v/>
      </c>
      <c r="N9" s="3">
        <f>IF(A9="","",IF(K9&lt;=0,"Drop",IF(J9&gt;=0.65,"Profit product",IF(J9&gt;=0.5,"Traffic product","Thin"))))</f>
        <v/>
      </c>
    </row>
    <row r="10">
      <c r="B10" s="4" t="n"/>
      <c r="C10" s="4" t="n"/>
      <c r="D10" s="4" t="n"/>
      <c r="E10" s="8" t="n"/>
      <c r="F10" s="8" t="n"/>
      <c r="G10" s="8" t="n"/>
      <c r="H10" s="8" t="n"/>
      <c r="I10" s="5">
        <f>IF(A10="","",B10-C10-D10-B10*(E10+F10+G10))</f>
        <v/>
      </c>
      <c r="J10" s="6">
        <f>IF(A10="","",IFERROR(I10/B10,0))</f>
        <v/>
      </c>
      <c r="K10" s="5">
        <f>IF(A10="","",I10-B10*H10)</f>
        <v/>
      </c>
      <c r="L10" s="6">
        <f>IF(A10="","",IFERROR(K10/B10,0))</f>
        <v/>
      </c>
      <c r="M10" s="9">
        <f>IF(A10="","",IFERROR(B10/I10,0))</f>
        <v/>
      </c>
      <c r="N10" s="3">
        <f>IF(A10="","",IF(K10&lt;=0,"Drop",IF(J10&gt;=0.65,"Profit product",IF(J10&gt;=0.5,"Traffic product","Thin"))))</f>
        <v/>
      </c>
    </row>
    <row r="11">
      <c r="B11" s="4" t="n"/>
      <c r="C11" s="4" t="n"/>
      <c r="D11" s="4" t="n"/>
      <c r="E11" s="8" t="n"/>
      <c r="F11" s="8" t="n"/>
      <c r="G11" s="8" t="n"/>
      <c r="H11" s="8" t="n"/>
      <c r="I11" s="5">
        <f>IF(A11="","",B11-C11-D11-B11*(E11+F11+G11))</f>
        <v/>
      </c>
      <c r="J11" s="6">
        <f>IF(A11="","",IFERROR(I11/B11,0))</f>
        <v/>
      </c>
      <c r="K11" s="5">
        <f>IF(A11="","",I11-B11*H11)</f>
        <v/>
      </c>
      <c r="L11" s="6">
        <f>IF(A11="","",IFERROR(K11/B11,0))</f>
        <v/>
      </c>
      <c r="M11" s="9">
        <f>IF(A11="","",IFERROR(B11/I11,0))</f>
        <v/>
      </c>
      <c r="N11" s="3">
        <f>IF(A11="","",IF(K11&lt;=0,"Drop",IF(J11&gt;=0.65,"Profit product",IF(J11&gt;=0.5,"Traffic product","Thin"))))</f>
        <v/>
      </c>
    </row>
    <row r="12">
      <c r="B12" s="4" t="n"/>
      <c r="C12" s="4" t="n"/>
      <c r="D12" s="4" t="n"/>
      <c r="E12" s="8" t="n"/>
      <c r="F12" s="8" t="n"/>
      <c r="G12" s="8" t="n"/>
      <c r="H12" s="8" t="n"/>
      <c r="I12" s="5">
        <f>IF(A12="","",B12-C12-D12-B12*(E12+F12+G12))</f>
        <v/>
      </c>
      <c r="J12" s="6">
        <f>IF(A12="","",IFERROR(I12/B12,0))</f>
        <v/>
      </c>
      <c r="K12" s="5">
        <f>IF(A12="","",I12-B12*H12)</f>
        <v/>
      </c>
      <c r="L12" s="6">
        <f>IF(A12="","",IFERROR(K12/B12,0))</f>
        <v/>
      </c>
      <c r="M12" s="9">
        <f>IF(A12="","",IFERROR(B12/I12,0))</f>
        <v/>
      </c>
      <c r="N12" s="3">
        <f>IF(A12="","",IF(K12&lt;=0,"Drop",IF(J12&gt;=0.65,"Profit product",IF(J12&gt;=0.5,"Traffic product","Thin"))))</f>
        <v/>
      </c>
    </row>
    <row r="13">
      <c r="B13" s="4" t="n"/>
      <c r="C13" s="4" t="n"/>
      <c r="D13" s="4" t="n"/>
      <c r="E13" s="8" t="n"/>
      <c r="F13" s="8" t="n"/>
      <c r="G13" s="8" t="n"/>
      <c r="H13" s="8" t="n"/>
      <c r="I13" s="5">
        <f>IF(A13="","",B13-C13-D13-B13*(E13+F13+G13))</f>
        <v/>
      </c>
      <c r="J13" s="6">
        <f>IF(A13="","",IFERROR(I13/B13,0))</f>
        <v/>
      </c>
      <c r="K13" s="5">
        <f>IF(A13="","",I13-B13*H13)</f>
        <v/>
      </c>
      <c r="L13" s="6">
        <f>IF(A13="","",IFERROR(K13/B13,0))</f>
        <v/>
      </c>
      <c r="M13" s="9">
        <f>IF(A13="","",IFERROR(B13/I13,0))</f>
        <v/>
      </c>
      <c r="N13" s="3">
        <f>IF(A13="","",IF(K13&lt;=0,"Drop",IF(J13&gt;=0.65,"Profit product",IF(J13&gt;=0.5,"Traffic product","Thin"))))</f>
        <v/>
      </c>
    </row>
    <row r="14">
      <c r="B14" s="4" t="n"/>
      <c r="C14" s="4" t="n"/>
      <c r="D14" s="4" t="n"/>
      <c r="E14" s="8" t="n"/>
      <c r="F14" s="8" t="n"/>
      <c r="G14" s="8" t="n"/>
      <c r="H14" s="8" t="n"/>
      <c r="I14" s="5">
        <f>IF(A14="","",B14-C14-D14-B14*(E14+F14+G14))</f>
        <v/>
      </c>
      <c r="J14" s="6">
        <f>IF(A14="","",IFERROR(I14/B14,0))</f>
        <v/>
      </c>
      <c r="K14" s="5">
        <f>IF(A14="","",I14-B14*H14)</f>
        <v/>
      </c>
      <c r="L14" s="6">
        <f>IF(A14="","",IFERROR(K14/B14,0))</f>
        <v/>
      </c>
      <c r="M14" s="9">
        <f>IF(A14="","",IFERROR(B14/I14,0))</f>
        <v/>
      </c>
      <c r="N14" s="3">
        <f>IF(A14="","",IF(K14&lt;=0,"Drop",IF(J14&gt;=0.65,"Profit product",IF(J14&gt;=0.5,"Traffic product","Thin"))))</f>
        <v/>
      </c>
    </row>
    <row r="15">
      <c r="B15" s="4" t="n"/>
      <c r="C15" s="4" t="n"/>
      <c r="D15" s="4" t="n"/>
      <c r="E15" s="8" t="n"/>
      <c r="F15" s="8" t="n"/>
      <c r="G15" s="8" t="n"/>
      <c r="H15" s="8" t="n"/>
      <c r="I15" s="5">
        <f>IF(A15="","",B15-C15-D15-B15*(E15+F15+G15))</f>
        <v/>
      </c>
      <c r="J15" s="6">
        <f>IF(A15="","",IFERROR(I15/B15,0))</f>
        <v/>
      </c>
      <c r="K15" s="5">
        <f>IF(A15="","",I15-B15*H15)</f>
        <v/>
      </c>
      <c r="L15" s="6">
        <f>IF(A15="","",IFERROR(K15/B15,0))</f>
        <v/>
      </c>
      <c r="M15" s="9">
        <f>IF(A15="","",IFERROR(B15/I15,0))</f>
        <v/>
      </c>
      <c r="N15" s="3">
        <f>IF(A15="","",IF(K15&lt;=0,"Drop",IF(J15&gt;=0.65,"Profit product",IF(J15&gt;=0.5,"Traffic product","Thin"))))</f>
        <v/>
      </c>
    </row>
    <row r="16">
      <c r="B16" s="4" t="n"/>
      <c r="C16" s="4" t="n"/>
      <c r="D16" s="4" t="n"/>
      <c r="E16" s="8" t="n"/>
      <c r="F16" s="8" t="n"/>
      <c r="G16" s="8" t="n"/>
      <c r="H16" s="8" t="n"/>
      <c r="I16" s="5">
        <f>IF(A16="","",B16-C16-D16-B16*(E16+F16+G16))</f>
        <v/>
      </c>
      <c r="J16" s="6">
        <f>IF(A16="","",IFERROR(I16/B16,0))</f>
        <v/>
      </c>
      <c r="K16" s="5">
        <f>IF(A16="","",I16-B16*H16)</f>
        <v/>
      </c>
      <c r="L16" s="6">
        <f>IF(A16="","",IFERROR(K16/B16,0))</f>
        <v/>
      </c>
      <c r="M16" s="9">
        <f>IF(A16="","",IFERROR(B16/I16,0))</f>
        <v/>
      </c>
      <c r="N16" s="3">
        <f>IF(A16="","",IF(K16&lt;=0,"Drop",IF(J16&gt;=0.65,"Profit product",IF(J16&gt;=0.5,"Traffic product","Thin"))))</f>
        <v/>
      </c>
    </row>
    <row r="17">
      <c r="B17" s="4" t="n"/>
      <c r="C17" s="4" t="n"/>
      <c r="D17" s="4" t="n"/>
      <c r="E17" s="8" t="n"/>
      <c r="F17" s="8" t="n"/>
      <c r="G17" s="8" t="n"/>
      <c r="H17" s="8" t="n"/>
      <c r="I17" s="5">
        <f>IF(A17="","",B17-C17-D17-B17*(E17+F17+G17))</f>
        <v/>
      </c>
      <c r="J17" s="6">
        <f>IF(A17="","",IFERROR(I17/B17,0))</f>
        <v/>
      </c>
      <c r="K17" s="5">
        <f>IF(A17="","",I17-B17*H17)</f>
        <v/>
      </c>
      <c r="L17" s="6">
        <f>IF(A17="","",IFERROR(K17/B17,0))</f>
        <v/>
      </c>
      <c r="M17" s="9">
        <f>IF(A17="","",IFERROR(B17/I17,0))</f>
        <v/>
      </c>
      <c r="N17" s="3">
        <f>IF(A17="","",IF(K17&lt;=0,"Drop",IF(J17&gt;=0.65,"Profit product",IF(J17&gt;=0.5,"Traffic product","Thin"))))</f>
        <v/>
      </c>
    </row>
    <row r="18">
      <c r="B18" s="4" t="n"/>
      <c r="C18" s="4" t="n"/>
      <c r="D18" s="4" t="n"/>
      <c r="E18" s="8" t="n"/>
      <c r="F18" s="8" t="n"/>
      <c r="G18" s="8" t="n"/>
      <c r="H18" s="8" t="n"/>
      <c r="I18" s="5">
        <f>IF(A18="","",B18-C18-D18-B18*(E18+F18+G18))</f>
        <v/>
      </c>
      <c r="J18" s="6">
        <f>IF(A18="","",IFERROR(I18/B18,0))</f>
        <v/>
      </c>
      <c r="K18" s="5">
        <f>IF(A18="","",I18-B18*H18)</f>
        <v/>
      </c>
      <c r="L18" s="6">
        <f>IF(A18="","",IFERROR(K18/B18,0))</f>
        <v/>
      </c>
      <c r="M18" s="9">
        <f>IF(A18="","",IFERROR(B18/I18,0))</f>
        <v/>
      </c>
      <c r="N18" s="3">
        <f>IF(A18="","",IF(K18&lt;=0,"Drop",IF(J18&gt;=0.65,"Profit product",IF(J18&gt;=0.5,"Traffic product","Thin"))))</f>
        <v/>
      </c>
    </row>
    <row r="19">
      <c r="B19" s="4" t="n"/>
      <c r="C19" s="4" t="n"/>
      <c r="D19" s="4" t="n"/>
      <c r="E19" s="8" t="n"/>
      <c r="F19" s="8" t="n"/>
      <c r="G19" s="8" t="n"/>
      <c r="H19" s="8" t="n"/>
      <c r="I19" s="5">
        <f>IF(A19="","",B19-C19-D19-B19*(E19+F19+G19))</f>
        <v/>
      </c>
      <c r="J19" s="6">
        <f>IF(A19="","",IFERROR(I19/B19,0))</f>
        <v/>
      </c>
      <c r="K19" s="5">
        <f>IF(A19="","",I19-B19*H19)</f>
        <v/>
      </c>
      <c r="L19" s="6">
        <f>IF(A19="","",IFERROR(K19/B19,0))</f>
        <v/>
      </c>
      <c r="M19" s="9">
        <f>IF(A19="","",IFERROR(B19/I19,0))</f>
        <v/>
      </c>
      <c r="N19" s="3">
        <f>IF(A19="","",IF(K19&lt;=0,"Drop",IF(J19&gt;=0.65,"Profit product",IF(J19&gt;=0.5,"Traffic product","Thin"))))</f>
        <v/>
      </c>
    </row>
    <row r="20">
      <c r="B20" s="4" t="n"/>
      <c r="C20" s="4" t="n"/>
      <c r="D20" s="4" t="n"/>
      <c r="E20" s="8" t="n"/>
      <c r="F20" s="8" t="n"/>
      <c r="G20" s="8" t="n"/>
      <c r="H20" s="8" t="n"/>
      <c r="I20" s="5">
        <f>IF(A20="","",B20-C20-D20-B20*(E20+F20+G20))</f>
        <v/>
      </c>
      <c r="J20" s="6">
        <f>IF(A20="","",IFERROR(I20/B20,0))</f>
        <v/>
      </c>
      <c r="K20" s="5">
        <f>IF(A20="","",I20-B20*H20)</f>
        <v/>
      </c>
      <c r="L20" s="6">
        <f>IF(A20="","",IFERROR(K20/B20,0))</f>
        <v/>
      </c>
      <c r="M20" s="9">
        <f>IF(A20="","",IFERROR(B20/I20,0))</f>
        <v/>
      </c>
      <c r="N20" s="3">
        <f>IF(A20="","",IF(K20&lt;=0,"Drop",IF(J20&gt;=0.65,"Profit product",IF(J20&gt;=0.5,"Traffic product","Thin"))))</f>
        <v/>
      </c>
    </row>
    <row r="21">
      <c r="B21" s="4" t="n"/>
      <c r="C21" s="4" t="n"/>
      <c r="D21" s="4" t="n"/>
      <c r="E21" s="8" t="n"/>
      <c r="F21" s="8" t="n"/>
      <c r="G21" s="8" t="n"/>
      <c r="H21" s="8" t="n"/>
      <c r="I21" s="5">
        <f>IF(A21="","",B21-C21-D21-B21*(E21+F21+G21))</f>
        <v/>
      </c>
      <c r="J21" s="6">
        <f>IF(A21="","",IFERROR(I21/B21,0))</f>
        <v/>
      </c>
      <c r="K21" s="5">
        <f>IF(A21="","",I21-B21*H21)</f>
        <v/>
      </c>
      <c r="L21" s="6">
        <f>IF(A21="","",IFERROR(K21/B21,0))</f>
        <v/>
      </c>
      <c r="M21" s="9">
        <f>IF(A21="","",IFERROR(B21/I21,0))</f>
        <v/>
      </c>
      <c r="N21" s="3">
        <f>IF(A21="","",IF(K21&lt;=0,"Drop",IF(J21&gt;=0.65,"Profit product",IF(J21&gt;=0.5,"Traffic product","Thin"))))</f>
        <v/>
      </c>
    </row>
    <row r="22">
      <c r="B22" s="4" t="n"/>
      <c r="C22" s="4" t="n"/>
      <c r="D22" s="4" t="n"/>
      <c r="E22" s="8" t="n"/>
      <c r="F22" s="8" t="n"/>
      <c r="G22" s="8" t="n"/>
      <c r="H22" s="8" t="n"/>
      <c r="I22" s="5">
        <f>IF(A22="","",B22-C22-D22-B22*(E22+F22+G22))</f>
        <v/>
      </c>
      <c r="J22" s="6">
        <f>IF(A22="","",IFERROR(I22/B22,0))</f>
        <v/>
      </c>
      <c r="K22" s="5">
        <f>IF(A22="","",I22-B22*H22)</f>
        <v/>
      </c>
      <c r="L22" s="6">
        <f>IF(A22="","",IFERROR(K22/B22,0))</f>
        <v/>
      </c>
      <c r="M22" s="9">
        <f>IF(A22="","",IFERROR(B22/I22,0))</f>
        <v/>
      </c>
      <c r="N22" s="3">
        <f>IF(A22="","",IF(K22&lt;=0,"Drop",IF(J22&gt;=0.65,"Profit product",IF(J22&gt;=0.5,"Traffic product","Thin"))))</f>
        <v/>
      </c>
    </row>
    <row r="23">
      <c r="B23" s="4" t="n"/>
      <c r="C23" s="4" t="n"/>
      <c r="D23" s="4" t="n"/>
      <c r="E23" s="8" t="n"/>
      <c r="F23" s="8" t="n"/>
      <c r="G23" s="8" t="n"/>
      <c r="H23" s="8" t="n"/>
      <c r="I23" s="5">
        <f>IF(A23="","",B23-C23-D23-B23*(E23+F23+G23))</f>
        <v/>
      </c>
      <c r="J23" s="6">
        <f>IF(A23="","",IFERROR(I23/B23,0))</f>
        <v/>
      </c>
      <c r="K23" s="5">
        <f>IF(A23="","",I23-B23*H23)</f>
        <v/>
      </c>
      <c r="L23" s="6">
        <f>IF(A23="","",IFERROR(K23/B23,0))</f>
        <v/>
      </c>
      <c r="M23" s="9">
        <f>IF(A23="","",IFERROR(B23/I23,0))</f>
        <v/>
      </c>
      <c r="N23" s="3">
        <f>IF(A23="","",IF(K23&lt;=0,"Drop",IF(J23&gt;=0.65,"Profit product",IF(J23&gt;=0.5,"Traffic product","Thin"))))</f>
        <v/>
      </c>
    </row>
    <row r="24">
      <c r="B24" s="4" t="n"/>
      <c r="C24" s="4" t="n"/>
      <c r="D24" s="4" t="n"/>
      <c r="E24" s="8" t="n"/>
      <c r="F24" s="8" t="n"/>
      <c r="G24" s="8" t="n"/>
      <c r="H24" s="8" t="n"/>
      <c r="I24" s="5">
        <f>IF(A24="","",B24-C24-D24-B24*(E24+F24+G24))</f>
        <v/>
      </c>
      <c r="J24" s="6">
        <f>IF(A24="","",IFERROR(I24/B24,0))</f>
        <v/>
      </c>
      <c r="K24" s="5">
        <f>IF(A24="","",I24-B24*H24)</f>
        <v/>
      </c>
      <c r="L24" s="6">
        <f>IF(A24="","",IFERROR(K24/B24,0))</f>
        <v/>
      </c>
      <c r="M24" s="9">
        <f>IF(A24="","",IFERROR(B24/I24,0))</f>
        <v/>
      </c>
      <c r="N24" s="3">
        <f>IF(A24="","",IF(K24&lt;=0,"Drop",IF(J24&gt;=0.65,"Profit product",IF(J24&gt;=0.5,"Traffic product","Thin"))))</f>
        <v/>
      </c>
    </row>
    <row r="25">
      <c r="B25" s="4" t="n"/>
      <c r="C25" s="4" t="n"/>
      <c r="D25" s="4" t="n"/>
      <c r="E25" s="8" t="n"/>
      <c r="F25" s="8" t="n"/>
      <c r="G25" s="8" t="n"/>
      <c r="H25" s="8" t="n"/>
      <c r="I25" s="5">
        <f>IF(A25="","",B25-C25-D25-B25*(E25+F25+G25))</f>
        <v/>
      </c>
      <c r="J25" s="6">
        <f>IF(A25="","",IFERROR(I25/B25,0))</f>
        <v/>
      </c>
      <c r="K25" s="5">
        <f>IF(A25="","",I25-B25*H25)</f>
        <v/>
      </c>
      <c r="L25" s="6">
        <f>IF(A25="","",IFERROR(K25/B25,0))</f>
        <v/>
      </c>
      <c r="M25" s="9">
        <f>IF(A25="","",IFERROR(B25/I25,0))</f>
        <v/>
      </c>
      <c r="N25" s="3">
        <f>IF(A25="","",IF(K25&lt;=0,"Drop",IF(J25&gt;=0.65,"Profit product",IF(J25&gt;=0.5,"Traffic product","Thin"))))</f>
        <v/>
      </c>
    </row>
    <row r="26">
      <c r="B26" s="4" t="n"/>
      <c r="C26" s="4" t="n"/>
      <c r="D26" s="4" t="n"/>
      <c r="E26" s="8" t="n"/>
      <c r="F26" s="8" t="n"/>
      <c r="G26" s="8" t="n"/>
      <c r="H26" s="8" t="n"/>
      <c r="I26" s="5">
        <f>IF(A26="","",B26-C26-D26-B26*(E26+F26+G26))</f>
        <v/>
      </c>
      <c r="J26" s="6">
        <f>IF(A26="","",IFERROR(I26/B26,0))</f>
        <v/>
      </c>
      <c r="K26" s="5">
        <f>IF(A26="","",I26-B26*H26)</f>
        <v/>
      </c>
      <c r="L26" s="6">
        <f>IF(A26="","",IFERROR(K26/B26,0))</f>
        <v/>
      </c>
      <c r="M26" s="9">
        <f>IF(A26="","",IFERROR(B26/I26,0))</f>
        <v/>
      </c>
      <c r="N26" s="3">
        <f>IF(A26="","",IF(K26&lt;=0,"Drop",IF(J26&gt;=0.65,"Profit product",IF(J26&gt;=0.5,"Traffic product","Thin"))))</f>
        <v/>
      </c>
    </row>
    <row r="27">
      <c r="B27" s="4" t="n"/>
      <c r="C27" s="4" t="n"/>
      <c r="D27" s="4" t="n"/>
      <c r="E27" s="8" t="n"/>
      <c r="F27" s="8" t="n"/>
      <c r="G27" s="8" t="n"/>
      <c r="H27" s="8" t="n"/>
      <c r="I27" s="5">
        <f>IF(A27="","",B27-C27-D27-B27*(E27+F27+G27))</f>
        <v/>
      </c>
      <c r="J27" s="6">
        <f>IF(A27="","",IFERROR(I27/B27,0))</f>
        <v/>
      </c>
      <c r="K27" s="5">
        <f>IF(A27="","",I27-B27*H27)</f>
        <v/>
      </c>
      <c r="L27" s="6">
        <f>IF(A27="","",IFERROR(K27/B27,0))</f>
        <v/>
      </c>
      <c r="M27" s="9">
        <f>IF(A27="","",IFERROR(B27/I27,0))</f>
        <v/>
      </c>
      <c r="N27" s="3">
        <f>IF(A27="","",IF(K27&lt;=0,"Drop",IF(J27&gt;=0.65,"Profit product",IF(J27&gt;=0.5,"Traffic product","Thin"))))</f>
        <v/>
      </c>
    </row>
    <row r="28">
      <c r="B28" s="4" t="n"/>
      <c r="C28" s="4" t="n"/>
      <c r="D28" s="4" t="n"/>
      <c r="E28" s="8" t="n"/>
      <c r="F28" s="8" t="n"/>
      <c r="G28" s="8" t="n"/>
      <c r="H28" s="8" t="n"/>
      <c r="I28" s="5">
        <f>IF(A28="","",B28-C28-D28-B28*(E28+F28+G28))</f>
        <v/>
      </c>
      <c r="J28" s="6">
        <f>IF(A28="","",IFERROR(I28/B28,0))</f>
        <v/>
      </c>
      <c r="K28" s="5">
        <f>IF(A28="","",I28-B28*H28)</f>
        <v/>
      </c>
      <c r="L28" s="6">
        <f>IF(A28="","",IFERROR(K28/B28,0))</f>
        <v/>
      </c>
      <c r="M28" s="9">
        <f>IF(A28="","",IFERROR(B28/I28,0))</f>
        <v/>
      </c>
      <c r="N28" s="3">
        <f>IF(A28="","",IF(K28&lt;=0,"Drop",IF(J28&gt;=0.65,"Profit product",IF(J28&gt;=0.5,"Traffic product","Thin"))))</f>
        <v/>
      </c>
    </row>
    <row r="29">
      <c r="B29" s="4" t="n"/>
      <c r="C29" s="4" t="n"/>
      <c r="D29" s="4" t="n"/>
      <c r="E29" s="8" t="n"/>
      <c r="F29" s="8" t="n"/>
      <c r="G29" s="8" t="n"/>
      <c r="H29" s="8" t="n"/>
      <c r="I29" s="5">
        <f>IF(A29="","",B29-C29-D29-B29*(E29+F29+G29))</f>
        <v/>
      </c>
      <c r="J29" s="6">
        <f>IF(A29="","",IFERROR(I29/B29,0))</f>
        <v/>
      </c>
      <c r="K29" s="5">
        <f>IF(A29="","",I29-B29*H29)</f>
        <v/>
      </c>
      <c r="L29" s="6">
        <f>IF(A29="","",IFERROR(K29/B29,0))</f>
        <v/>
      </c>
      <c r="M29" s="9">
        <f>IF(A29="","",IFERROR(B29/I29,0))</f>
        <v/>
      </c>
      <c r="N29" s="3">
        <f>IF(A29="","",IF(K29&lt;=0,"Drop",IF(J29&gt;=0.65,"Profit product",IF(J29&gt;=0.5,"Traffic product","Thin"))))</f>
        <v/>
      </c>
    </row>
    <row r="30">
      <c r="B30" s="4" t="n"/>
      <c r="C30" s="4" t="n"/>
      <c r="D30" s="4" t="n"/>
      <c r="E30" s="8" t="n"/>
      <c r="F30" s="8" t="n"/>
      <c r="G30" s="8" t="n"/>
      <c r="H30" s="8" t="n"/>
      <c r="I30" s="5">
        <f>IF(A30="","",B30-C30-D30-B30*(E30+F30+G30))</f>
        <v/>
      </c>
      <c r="J30" s="6">
        <f>IF(A30="","",IFERROR(I30/B30,0))</f>
        <v/>
      </c>
      <c r="K30" s="5">
        <f>IF(A30="","",I30-B30*H30)</f>
        <v/>
      </c>
      <c r="L30" s="6">
        <f>IF(A30="","",IFERROR(K30/B30,0))</f>
        <v/>
      </c>
      <c r="M30" s="9">
        <f>IF(A30="","",IFERROR(B30/I30,0))</f>
        <v/>
      </c>
      <c r="N30" s="3">
        <f>IF(A30="","",IF(K30&lt;=0,"Drop",IF(J30&gt;=0.65,"Profit product",IF(J30&gt;=0.5,"Traffic product","Thin"))))</f>
        <v/>
      </c>
    </row>
    <row r="31">
      <c r="B31" s="4" t="n"/>
      <c r="C31" s="4" t="n"/>
      <c r="D31" s="4" t="n"/>
      <c r="E31" s="8" t="n"/>
      <c r="F31" s="8" t="n"/>
      <c r="G31" s="8" t="n"/>
      <c r="H31" s="8" t="n"/>
      <c r="I31" s="5">
        <f>IF(A31="","",B31-C31-D31-B31*(E31+F31+G31))</f>
        <v/>
      </c>
      <c r="J31" s="6">
        <f>IF(A31="","",IFERROR(I31/B31,0))</f>
        <v/>
      </c>
      <c r="K31" s="5">
        <f>IF(A31="","",I31-B31*H31)</f>
        <v/>
      </c>
      <c r="L31" s="6">
        <f>IF(A31="","",IFERROR(K31/B31,0))</f>
        <v/>
      </c>
      <c r="M31" s="9">
        <f>IF(A31="","",IFERROR(B31/I31,0))</f>
        <v/>
      </c>
      <c r="N31" s="3">
        <f>IF(A31="","",IF(K31&lt;=0,"Drop",IF(J31&gt;=0.65,"Profit product",IF(J31&gt;=0.5,"Traffic product","Thin"))))</f>
        <v/>
      </c>
    </row>
    <row r="32">
      <c r="B32" s="4" t="n"/>
      <c r="C32" s="4" t="n"/>
      <c r="D32" s="4" t="n"/>
      <c r="E32" s="8" t="n"/>
      <c r="F32" s="8" t="n"/>
      <c r="G32" s="8" t="n"/>
      <c r="H32" s="8" t="n"/>
      <c r="I32" s="5">
        <f>IF(A32="","",B32-C32-D32-B32*(E32+F32+G32))</f>
        <v/>
      </c>
      <c r="J32" s="6">
        <f>IF(A32="","",IFERROR(I32/B32,0))</f>
        <v/>
      </c>
      <c r="K32" s="5">
        <f>IF(A32="","",I32-B32*H32)</f>
        <v/>
      </c>
      <c r="L32" s="6">
        <f>IF(A32="","",IFERROR(K32/B32,0))</f>
        <v/>
      </c>
      <c r="M32" s="9">
        <f>IF(A32="","",IFERROR(B32/I32,0))</f>
        <v/>
      </c>
      <c r="N32" s="3">
        <f>IF(A32="","",IF(K32&lt;=0,"Drop",IF(J32&gt;=0.65,"Profit product",IF(J32&gt;=0.5,"Traffic product","Thin"))))</f>
        <v/>
      </c>
    </row>
    <row r="33">
      <c r="B33" s="4" t="n"/>
      <c r="C33" s="4" t="n"/>
      <c r="D33" s="4" t="n"/>
      <c r="E33" s="8" t="n"/>
      <c r="F33" s="8" t="n"/>
      <c r="G33" s="8" t="n"/>
      <c r="H33" s="8" t="n"/>
      <c r="I33" s="5">
        <f>IF(A33="","",B33-C33-D33-B33*(E33+F33+G33))</f>
        <v/>
      </c>
      <c r="J33" s="6">
        <f>IF(A33="","",IFERROR(I33/B33,0))</f>
        <v/>
      </c>
      <c r="K33" s="5">
        <f>IF(A33="","",I33-B33*H33)</f>
        <v/>
      </c>
      <c r="L33" s="6">
        <f>IF(A33="","",IFERROR(K33/B33,0))</f>
        <v/>
      </c>
      <c r="M33" s="9">
        <f>IF(A33="","",IFERROR(B33/I33,0))</f>
        <v/>
      </c>
      <c r="N33" s="3">
        <f>IF(A33="","",IF(K33&lt;=0,"Drop",IF(J33&gt;=0.65,"Profit product",IF(J33&gt;=0.5,"Traffic product","Thin"))))</f>
        <v/>
      </c>
    </row>
    <row r="34">
      <c r="B34" s="4" t="n"/>
      <c r="C34" s="4" t="n"/>
      <c r="D34" s="4" t="n"/>
      <c r="E34" s="8" t="n"/>
      <c r="F34" s="8" t="n"/>
      <c r="G34" s="8" t="n"/>
      <c r="H34" s="8" t="n"/>
      <c r="I34" s="5">
        <f>IF(A34="","",B34-C34-D34-B34*(E34+F34+G34))</f>
        <v/>
      </c>
      <c r="J34" s="6">
        <f>IF(A34="","",IFERROR(I34/B34,0))</f>
        <v/>
      </c>
      <c r="K34" s="5">
        <f>IF(A34="","",I34-B34*H34)</f>
        <v/>
      </c>
      <c r="L34" s="6">
        <f>IF(A34="","",IFERROR(K34/B34,0))</f>
        <v/>
      </c>
      <c r="M34" s="9">
        <f>IF(A34="","",IFERROR(B34/I34,0))</f>
        <v/>
      </c>
      <c r="N34" s="3">
        <f>IF(A34="","",IF(K34&lt;=0,"Drop",IF(J34&gt;=0.65,"Profit product",IF(J34&gt;=0.5,"Traffic product","Thin"))))</f>
        <v/>
      </c>
    </row>
    <row r="35">
      <c r="B35" s="4" t="n"/>
      <c r="C35" s="4" t="n"/>
      <c r="D35" s="4" t="n"/>
      <c r="E35" s="8" t="n"/>
      <c r="F35" s="8" t="n"/>
      <c r="G35" s="8" t="n"/>
      <c r="H35" s="8" t="n"/>
      <c r="I35" s="5">
        <f>IF(A35="","",B35-C35-D35-B35*(E35+F35+G35))</f>
        <v/>
      </c>
      <c r="J35" s="6">
        <f>IF(A35="","",IFERROR(I35/B35,0))</f>
        <v/>
      </c>
      <c r="K35" s="5">
        <f>IF(A35="","",I35-B35*H35)</f>
        <v/>
      </c>
      <c r="L35" s="6">
        <f>IF(A35="","",IFERROR(K35/B35,0))</f>
        <v/>
      </c>
      <c r="M35" s="9">
        <f>IF(A35="","",IFERROR(B35/I35,0))</f>
        <v/>
      </c>
      <c r="N35" s="3">
        <f>IF(A35="","",IF(K35&lt;=0,"Drop",IF(J35&gt;=0.65,"Profit product",IF(J35&gt;=0.5,"Traffic product","Thin"))))</f>
        <v/>
      </c>
    </row>
    <row r="36">
      <c r="B36" s="4" t="n"/>
      <c r="C36" s="4" t="n"/>
      <c r="D36" s="4" t="n"/>
      <c r="E36" s="8" t="n"/>
      <c r="F36" s="8" t="n"/>
      <c r="G36" s="8" t="n"/>
      <c r="H36" s="8" t="n"/>
      <c r="I36" s="5">
        <f>IF(A36="","",B36-C36-D36-B36*(E36+F36+G36))</f>
        <v/>
      </c>
      <c r="J36" s="6">
        <f>IF(A36="","",IFERROR(I36/B36,0))</f>
        <v/>
      </c>
      <c r="K36" s="5">
        <f>IF(A36="","",I36-B36*H36)</f>
        <v/>
      </c>
      <c r="L36" s="6">
        <f>IF(A36="","",IFERROR(K36/B36,0))</f>
        <v/>
      </c>
      <c r="M36" s="9">
        <f>IF(A36="","",IFERROR(B36/I36,0))</f>
        <v/>
      </c>
      <c r="N36" s="3">
        <f>IF(A36="","",IF(K36&lt;=0,"Drop",IF(J36&gt;=0.65,"Profit product",IF(J36&gt;=0.5,"Traffic product","Thin"))))</f>
        <v/>
      </c>
    </row>
    <row r="37">
      <c r="B37" s="4" t="n"/>
      <c r="C37" s="4" t="n"/>
      <c r="D37" s="4" t="n"/>
      <c r="E37" s="8" t="n"/>
      <c r="F37" s="8" t="n"/>
      <c r="G37" s="8" t="n"/>
      <c r="H37" s="8" t="n"/>
      <c r="I37" s="5">
        <f>IF(A37="","",B37-C37-D37-B37*(E37+F37+G37))</f>
        <v/>
      </c>
      <c r="J37" s="6">
        <f>IF(A37="","",IFERROR(I37/B37,0))</f>
        <v/>
      </c>
      <c r="K37" s="5">
        <f>IF(A37="","",I37-B37*H37)</f>
        <v/>
      </c>
      <c r="L37" s="6">
        <f>IF(A37="","",IFERROR(K37/B37,0))</f>
        <v/>
      </c>
      <c r="M37" s="9">
        <f>IF(A37="","",IFERROR(B37/I37,0))</f>
        <v/>
      </c>
      <c r="N37" s="3">
        <f>IF(A37="","",IF(K37&lt;=0,"Drop",IF(J37&gt;=0.65,"Profit product",IF(J37&gt;=0.5,"Traffic product","Thin"))))</f>
        <v/>
      </c>
    </row>
    <row r="38">
      <c r="B38" s="4" t="n"/>
      <c r="C38" s="4" t="n"/>
      <c r="D38" s="4" t="n"/>
      <c r="E38" s="8" t="n"/>
      <c r="F38" s="8" t="n"/>
      <c r="G38" s="8" t="n"/>
      <c r="H38" s="8" t="n"/>
      <c r="I38" s="5">
        <f>IF(A38="","",B38-C38-D38-B38*(E38+F38+G38))</f>
        <v/>
      </c>
      <c r="J38" s="6">
        <f>IF(A38="","",IFERROR(I38/B38,0))</f>
        <v/>
      </c>
      <c r="K38" s="5">
        <f>IF(A38="","",I38-B38*H38)</f>
        <v/>
      </c>
      <c r="L38" s="6">
        <f>IF(A38="","",IFERROR(K38/B38,0))</f>
        <v/>
      </c>
      <c r="M38" s="9">
        <f>IF(A38="","",IFERROR(B38/I38,0))</f>
        <v/>
      </c>
      <c r="N38" s="3">
        <f>IF(A38="","",IF(K38&lt;=0,"Drop",IF(J38&gt;=0.65,"Profit product",IF(J38&gt;=0.5,"Traffic product","Thin"))))</f>
        <v/>
      </c>
    </row>
    <row r="39">
      <c r="B39" s="4" t="n"/>
      <c r="C39" s="4" t="n"/>
      <c r="D39" s="4" t="n"/>
      <c r="E39" s="8" t="n"/>
      <c r="F39" s="8" t="n"/>
      <c r="G39" s="8" t="n"/>
      <c r="H39" s="8" t="n"/>
      <c r="I39" s="5">
        <f>IF(A39="","",B39-C39-D39-B39*(E39+F39+G39))</f>
        <v/>
      </c>
      <c r="J39" s="6">
        <f>IF(A39="","",IFERROR(I39/B39,0))</f>
        <v/>
      </c>
      <c r="K39" s="5">
        <f>IF(A39="","",I39-B39*H39)</f>
        <v/>
      </c>
      <c r="L39" s="6">
        <f>IF(A39="","",IFERROR(K39/B39,0))</f>
        <v/>
      </c>
      <c r="M39" s="9">
        <f>IF(A39="","",IFERROR(B39/I39,0))</f>
        <v/>
      </c>
      <c r="N39" s="3">
        <f>IF(A39="","",IF(K39&lt;=0,"Drop",IF(J39&gt;=0.65,"Profit product",IF(J39&gt;=0.5,"Traffic product","Thin"))))</f>
        <v/>
      </c>
    </row>
    <row r="40">
      <c r="B40" s="4" t="n"/>
      <c r="C40" s="4" t="n"/>
      <c r="D40" s="4" t="n"/>
      <c r="E40" s="8" t="n"/>
      <c r="F40" s="8" t="n"/>
      <c r="G40" s="8" t="n"/>
      <c r="H40" s="8" t="n"/>
      <c r="I40" s="5">
        <f>IF(A40="","",B40-C40-D40-B40*(E40+F40+G40))</f>
        <v/>
      </c>
      <c r="J40" s="6">
        <f>IF(A40="","",IFERROR(I40/B40,0))</f>
        <v/>
      </c>
      <c r="K40" s="5">
        <f>IF(A40="","",I40-B40*H40)</f>
        <v/>
      </c>
      <c r="L40" s="6">
        <f>IF(A40="","",IFERROR(K40/B40,0))</f>
        <v/>
      </c>
      <c r="M40" s="9">
        <f>IF(A40="","",IFERROR(B40/I40,0))</f>
        <v/>
      </c>
      <c r="N40" s="3">
        <f>IF(A40="","",IF(K40&lt;=0,"Drop",IF(J40&gt;=0.65,"Profit product",IF(J40&gt;=0.5,"Traffic product","Thin"))))</f>
        <v/>
      </c>
    </row>
    <row r="41">
      <c r="B41" s="4" t="n"/>
      <c r="C41" s="4" t="n"/>
      <c r="D41" s="4" t="n"/>
      <c r="E41" s="8" t="n"/>
      <c r="F41" s="8" t="n"/>
      <c r="G41" s="8" t="n"/>
      <c r="H41" s="8" t="n"/>
      <c r="I41" s="5">
        <f>IF(A41="","",B41-C41-D41-B41*(E41+F41+G41))</f>
        <v/>
      </c>
      <c r="J41" s="6">
        <f>IF(A41="","",IFERROR(I41/B41,0))</f>
        <v/>
      </c>
      <c r="K41" s="5">
        <f>IF(A41="","",I41-B41*H41)</f>
        <v/>
      </c>
      <c r="L41" s="6">
        <f>IF(A41="","",IFERROR(K41/B41,0))</f>
        <v/>
      </c>
      <c r="M41" s="9">
        <f>IF(A41="","",IFERROR(B41/I41,0))</f>
        <v/>
      </c>
      <c r="N41" s="3">
        <f>IF(A41="","",IF(K41&lt;=0,"Drop",IF(J41&gt;=0.65,"Profit product",IF(J41&gt;=0.5,"Traffic product","Thin"))))</f>
        <v/>
      </c>
    </row>
    <row r="42">
      <c r="B42" s="4" t="n"/>
      <c r="C42" s="4" t="n"/>
      <c r="D42" s="4" t="n"/>
      <c r="E42" s="8" t="n"/>
      <c r="F42" s="8" t="n"/>
      <c r="G42" s="8" t="n"/>
      <c r="H42" s="8" t="n"/>
      <c r="I42" s="5">
        <f>IF(A42="","",B42-C42-D42-B42*(E42+F42+G42))</f>
        <v/>
      </c>
      <c r="J42" s="6">
        <f>IF(A42="","",IFERROR(I42/B42,0))</f>
        <v/>
      </c>
      <c r="K42" s="5">
        <f>IF(A42="","",I42-B42*H42)</f>
        <v/>
      </c>
      <c r="L42" s="6">
        <f>IF(A42="","",IFERROR(K42/B42,0))</f>
        <v/>
      </c>
      <c r="M42" s="9">
        <f>IF(A42="","",IFERROR(B42/I42,0))</f>
        <v/>
      </c>
      <c r="N42" s="3">
        <f>IF(A42="","",IF(K42&lt;=0,"Drop",IF(J42&gt;=0.65,"Profit product",IF(J42&gt;=0.5,"Traffic product","Thin"))))</f>
        <v/>
      </c>
    </row>
    <row r="43">
      <c r="B43" s="4" t="n"/>
      <c r="C43" s="4" t="n"/>
      <c r="D43" s="4" t="n"/>
      <c r="E43" s="8" t="n"/>
      <c r="F43" s="8" t="n"/>
      <c r="G43" s="8" t="n"/>
      <c r="H43" s="8" t="n"/>
      <c r="I43" s="5">
        <f>IF(A43="","",B43-C43-D43-B43*(E43+F43+G43))</f>
        <v/>
      </c>
      <c r="J43" s="6">
        <f>IF(A43="","",IFERROR(I43/B43,0))</f>
        <v/>
      </c>
      <c r="K43" s="5">
        <f>IF(A43="","",I43-B43*H43)</f>
        <v/>
      </c>
      <c r="L43" s="6">
        <f>IF(A43="","",IFERROR(K43/B43,0))</f>
        <v/>
      </c>
      <c r="M43" s="9">
        <f>IF(A43="","",IFERROR(B43/I43,0))</f>
        <v/>
      </c>
      <c r="N43" s="3">
        <f>IF(A43="","",IF(K43&lt;=0,"Drop",IF(J43&gt;=0.65,"Profit product",IF(J43&gt;=0.5,"Traffic product","Thin"))))</f>
        <v/>
      </c>
    </row>
    <row r="44">
      <c r="B44" s="4" t="n"/>
      <c r="C44" s="4" t="n"/>
      <c r="D44" s="4" t="n"/>
      <c r="E44" s="8" t="n"/>
      <c r="F44" s="8" t="n"/>
      <c r="G44" s="8" t="n"/>
      <c r="H44" s="8" t="n"/>
      <c r="I44" s="5">
        <f>IF(A44="","",B44-C44-D44-B44*(E44+F44+G44))</f>
        <v/>
      </c>
      <c r="J44" s="6">
        <f>IF(A44="","",IFERROR(I44/B44,0))</f>
        <v/>
      </c>
      <c r="K44" s="5">
        <f>IF(A44="","",I44-B44*H44)</f>
        <v/>
      </c>
      <c r="L44" s="6">
        <f>IF(A44="","",IFERROR(K44/B44,0))</f>
        <v/>
      </c>
      <c r="M44" s="9">
        <f>IF(A44="","",IFERROR(B44/I44,0))</f>
        <v/>
      </c>
      <c r="N44" s="3">
        <f>IF(A44="","",IF(K44&lt;=0,"Drop",IF(J44&gt;=0.65,"Profit product",IF(J44&gt;=0.5,"Traffic product","Thin"))))</f>
        <v/>
      </c>
    </row>
    <row r="45">
      <c r="B45" s="4" t="n"/>
      <c r="C45" s="4" t="n"/>
      <c r="D45" s="4" t="n"/>
      <c r="E45" s="8" t="n"/>
      <c r="F45" s="8" t="n"/>
      <c r="G45" s="8" t="n"/>
      <c r="H45" s="8" t="n"/>
      <c r="I45" s="5">
        <f>IF(A45="","",B45-C45-D45-B45*(E45+F45+G45))</f>
        <v/>
      </c>
      <c r="J45" s="6">
        <f>IF(A45="","",IFERROR(I45/B45,0))</f>
        <v/>
      </c>
      <c r="K45" s="5">
        <f>IF(A45="","",I45-B45*H45)</f>
        <v/>
      </c>
      <c r="L45" s="6">
        <f>IF(A45="","",IFERROR(K45/B45,0))</f>
        <v/>
      </c>
      <c r="M45" s="9">
        <f>IF(A45="","",IFERROR(B45/I45,0))</f>
        <v/>
      </c>
      <c r="N45" s="3">
        <f>IF(A45="","",IF(K45&lt;=0,"Drop",IF(J45&gt;=0.65,"Profit product",IF(J45&gt;=0.5,"Traffic product","Thin"))))</f>
        <v/>
      </c>
    </row>
    <row r="46">
      <c r="B46" s="4" t="n"/>
      <c r="C46" s="4" t="n"/>
      <c r="D46" s="4" t="n"/>
      <c r="E46" s="8" t="n"/>
      <c r="F46" s="8" t="n"/>
      <c r="G46" s="8" t="n"/>
      <c r="H46" s="8" t="n"/>
      <c r="I46" s="5">
        <f>IF(A46="","",B46-C46-D46-B46*(E46+F46+G46))</f>
        <v/>
      </c>
      <c r="J46" s="6">
        <f>IF(A46="","",IFERROR(I46/B46,0))</f>
        <v/>
      </c>
      <c r="K46" s="5">
        <f>IF(A46="","",I46-B46*H46)</f>
        <v/>
      </c>
      <c r="L46" s="6">
        <f>IF(A46="","",IFERROR(K46/B46,0))</f>
        <v/>
      </c>
      <c r="M46" s="9">
        <f>IF(A46="","",IFERROR(B46/I46,0))</f>
        <v/>
      </c>
      <c r="N46" s="3">
        <f>IF(A46="","",IF(K46&lt;=0,"Drop",IF(J46&gt;=0.65,"Profit product",IF(J46&gt;=0.5,"Traffic product","Thin"))))</f>
        <v/>
      </c>
    </row>
    <row r="47">
      <c r="B47" s="4" t="n"/>
      <c r="C47" s="4" t="n"/>
      <c r="D47" s="4" t="n"/>
      <c r="E47" s="8" t="n"/>
      <c r="F47" s="8" t="n"/>
      <c r="G47" s="8" t="n"/>
      <c r="H47" s="8" t="n"/>
      <c r="I47" s="5">
        <f>IF(A47="","",B47-C47-D47-B47*(E47+F47+G47))</f>
        <v/>
      </c>
      <c r="J47" s="6">
        <f>IF(A47="","",IFERROR(I47/B47,0))</f>
        <v/>
      </c>
      <c r="K47" s="5">
        <f>IF(A47="","",I47-B47*H47)</f>
        <v/>
      </c>
      <c r="L47" s="6">
        <f>IF(A47="","",IFERROR(K47/B47,0))</f>
        <v/>
      </c>
      <c r="M47" s="9">
        <f>IF(A47="","",IFERROR(B47/I47,0))</f>
        <v/>
      </c>
      <c r="N47" s="3">
        <f>IF(A47="","",IF(K47&lt;=0,"Drop",IF(J47&gt;=0.65,"Profit product",IF(J47&gt;=0.5,"Traffic product","Thin"))))</f>
        <v/>
      </c>
    </row>
    <row r="48">
      <c r="B48" s="4" t="n"/>
      <c r="C48" s="4" t="n"/>
      <c r="D48" s="4" t="n"/>
      <c r="E48" s="8" t="n"/>
      <c r="F48" s="8" t="n"/>
      <c r="G48" s="8" t="n"/>
      <c r="H48" s="8" t="n"/>
      <c r="I48" s="5">
        <f>IF(A48="","",B48-C48-D48-B48*(E48+F48+G48))</f>
        <v/>
      </c>
      <c r="J48" s="6">
        <f>IF(A48="","",IFERROR(I48/B48,0))</f>
        <v/>
      </c>
      <c r="K48" s="5">
        <f>IF(A48="","",I48-B48*H48)</f>
        <v/>
      </c>
      <c r="L48" s="6">
        <f>IF(A48="","",IFERROR(K48/B48,0))</f>
        <v/>
      </c>
      <c r="M48" s="9">
        <f>IF(A48="","",IFERROR(B48/I48,0))</f>
        <v/>
      </c>
      <c r="N48" s="3">
        <f>IF(A48="","",IF(K48&lt;=0,"Drop",IF(J48&gt;=0.65,"Profit product",IF(J48&gt;=0.5,"Traffic product","Thin"))))</f>
        <v/>
      </c>
    </row>
    <row r="49">
      <c r="B49" s="4" t="n"/>
      <c r="C49" s="4" t="n"/>
      <c r="D49" s="4" t="n"/>
      <c r="E49" s="8" t="n"/>
      <c r="F49" s="8" t="n"/>
      <c r="G49" s="8" t="n"/>
      <c r="H49" s="8" t="n"/>
      <c r="I49" s="5">
        <f>IF(A49="","",B49-C49-D49-B49*(E49+F49+G49))</f>
        <v/>
      </c>
      <c r="J49" s="6">
        <f>IF(A49="","",IFERROR(I49/B49,0))</f>
        <v/>
      </c>
      <c r="K49" s="5">
        <f>IF(A49="","",I49-B49*H49)</f>
        <v/>
      </c>
      <c r="L49" s="6">
        <f>IF(A49="","",IFERROR(K49/B49,0))</f>
        <v/>
      </c>
      <c r="M49" s="9">
        <f>IF(A49="","",IFERROR(B49/I49,0))</f>
        <v/>
      </c>
      <c r="N49" s="3">
        <f>IF(A49="","",IF(K49&lt;=0,"Drop",IF(J49&gt;=0.65,"Profit product",IF(J49&gt;=0.5,"Traffic product","Thin"))))</f>
        <v/>
      </c>
    </row>
    <row r="50">
      <c r="B50" s="4" t="n"/>
      <c r="C50" s="4" t="n"/>
      <c r="D50" s="4" t="n"/>
      <c r="E50" s="8" t="n"/>
      <c r="F50" s="8" t="n"/>
      <c r="G50" s="8" t="n"/>
      <c r="H50" s="8" t="n"/>
      <c r="I50" s="5">
        <f>IF(A50="","",B50-C50-D50-B50*(E50+F50+G50))</f>
        <v/>
      </c>
      <c r="J50" s="6">
        <f>IF(A50="","",IFERROR(I50/B50,0))</f>
        <v/>
      </c>
      <c r="K50" s="5">
        <f>IF(A50="","",I50-B50*H50)</f>
        <v/>
      </c>
      <c r="L50" s="6">
        <f>IF(A50="","",IFERROR(K50/B50,0))</f>
        <v/>
      </c>
      <c r="M50" s="9">
        <f>IF(A50="","",IFERROR(B50/I50,0))</f>
        <v/>
      </c>
      <c r="N50" s="3">
        <f>IF(A50="","",IF(K50&lt;=0,"Drop",IF(J50&gt;=0.65,"Profit product",IF(J50&gt;=0.5,"Traffic product","Thin"))))</f>
        <v/>
      </c>
    </row>
    <row r="51">
      <c r="B51" s="4" t="n"/>
      <c r="C51" s="4" t="n"/>
      <c r="D51" s="4" t="n"/>
      <c r="E51" s="8" t="n"/>
      <c r="F51" s="8" t="n"/>
      <c r="G51" s="8" t="n"/>
      <c r="H51" s="8" t="n"/>
      <c r="I51" s="5">
        <f>IF(A51="","",B51-C51-D51-B51*(E51+F51+G51))</f>
        <v/>
      </c>
      <c r="J51" s="6">
        <f>IF(A51="","",IFERROR(I51/B51,0))</f>
        <v/>
      </c>
      <c r="K51" s="5">
        <f>IF(A51="","",I51-B51*H51)</f>
        <v/>
      </c>
      <c r="L51" s="6">
        <f>IF(A51="","",IFERROR(K51/B51,0))</f>
        <v/>
      </c>
      <c r="M51" s="9">
        <f>IF(A51="","",IFERROR(B51/I51,0))</f>
        <v/>
      </c>
      <c r="N51" s="3">
        <f>IF(A51="","",IF(K51&lt;=0,"Drop",IF(J51&gt;=0.65,"Profit product",IF(J51&gt;=0.5,"Traffic product","Thin"))))</f>
        <v/>
      </c>
    </row>
    <row r="52">
      <c r="B52" s="4" t="n"/>
      <c r="C52" s="4" t="n"/>
      <c r="D52" s="4" t="n"/>
      <c r="E52" s="8" t="n"/>
      <c r="F52" s="8" t="n"/>
      <c r="G52" s="8" t="n"/>
      <c r="H52" s="8" t="n"/>
      <c r="I52" s="5">
        <f>IF(A52="","",B52-C52-D52-B52*(E52+F52+G52))</f>
        <v/>
      </c>
      <c r="J52" s="6">
        <f>IF(A52="","",IFERROR(I52/B52,0))</f>
        <v/>
      </c>
      <c r="K52" s="5">
        <f>IF(A52="","",I52-B52*H52)</f>
        <v/>
      </c>
      <c r="L52" s="6">
        <f>IF(A52="","",IFERROR(K52/B52,0))</f>
        <v/>
      </c>
      <c r="M52" s="9">
        <f>IF(A52="","",IFERROR(B52/I52,0))</f>
        <v/>
      </c>
      <c r="N52" s="3">
        <f>IF(A52="","",IF(K52&lt;=0,"Drop",IF(J52&gt;=0.65,"Profit product",IF(J52&gt;=0.5,"Traffic product","Thin"))))</f>
        <v/>
      </c>
    </row>
    <row r="53">
      <c r="B53" s="4" t="n"/>
      <c r="C53" s="4" t="n"/>
      <c r="D53" s="4" t="n"/>
      <c r="E53" s="8" t="n"/>
      <c r="F53" s="8" t="n"/>
      <c r="G53" s="8" t="n"/>
      <c r="H53" s="8" t="n"/>
      <c r="I53" s="5">
        <f>IF(A53="","",B53-C53-D53-B53*(E53+F53+G53))</f>
        <v/>
      </c>
      <c r="J53" s="6">
        <f>IF(A53="","",IFERROR(I53/B53,0))</f>
        <v/>
      </c>
      <c r="K53" s="5">
        <f>IF(A53="","",I53-B53*H53)</f>
        <v/>
      </c>
      <c r="L53" s="6">
        <f>IF(A53="","",IFERROR(K53/B53,0))</f>
        <v/>
      </c>
      <c r="M53" s="9">
        <f>IF(A53="","",IFERROR(B53/I53,0))</f>
        <v/>
      </c>
      <c r="N53" s="3">
        <f>IF(A53="","",IF(K53&lt;=0,"Drop",IF(J53&gt;=0.65,"Profit product",IF(J53&gt;=0.5,"Traffic product","Thin"))))</f>
        <v/>
      </c>
    </row>
    <row r="54">
      <c r="B54" s="4" t="n"/>
      <c r="C54" s="4" t="n"/>
      <c r="D54" s="4" t="n"/>
      <c r="E54" s="8" t="n"/>
      <c r="F54" s="8" t="n"/>
      <c r="G54" s="8" t="n"/>
      <c r="H54" s="8" t="n"/>
      <c r="I54" s="5">
        <f>IF(A54="","",B54-C54-D54-B54*(E54+F54+G54))</f>
        <v/>
      </c>
      <c r="J54" s="6">
        <f>IF(A54="","",IFERROR(I54/B54,0))</f>
        <v/>
      </c>
      <c r="K54" s="5">
        <f>IF(A54="","",I54-B54*H54)</f>
        <v/>
      </c>
      <c r="L54" s="6">
        <f>IF(A54="","",IFERROR(K54/B54,0))</f>
        <v/>
      </c>
      <c r="M54" s="9">
        <f>IF(A54="","",IFERROR(B54/I54,0))</f>
        <v/>
      </c>
      <c r="N54" s="3">
        <f>IF(A54="","",IF(K54&lt;=0,"Drop",IF(J54&gt;=0.65,"Profit product",IF(J54&gt;=0.5,"Traffic product","Thin"))))</f>
        <v/>
      </c>
    </row>
    <row r="55">
      <c r="B55" s="4" t="n"/>
      <c r="C55" s="4" t="n"/>
      <c r="D55" s="4" t="n"/>
      <c r="E55" s="8" t="n"/>
      <c r="F55" s="8" t="n"/>
      <c r="G55" s="8" t="n"/>
      <c r="H55" s="8" t="n"/>
      <c r="I55" s="5">
        <f>IF(A55="","",B55-C55-D55-B55*(E55+F55+G55))</f>
        <v/>
      </c>
      <c r="J55" s="6">
        <f>IF(A55="","",IFERROR(I55/B55,0))</f>
        <v/>
      </c>
      <c r="K55" s="5">
        <f>IF(A55="","",I55-B55*H55)</f>
        <v/>
      </c>
      <c r="L55" s="6">
        <f>IF(A55="","",IFERROR(K55/B55,0))</f>
        <v/>
      </c>
      <c r="M55" s="9">
        <f>IF(A55="","",IFERROR(B55/I55,0))</f>
        <v/>
      </c>
      <c r="N55" s="3">
        <f>IF(A55="","",IF(K55&lt;=0,"Drop",IF(J55&gt;=0.65,"Profit product",IF(J55&gt;=0.5,"Traffic product","Thin"))))</f>
        <v/>
      </c>
    </row>
    <row r="56">
      <c r="B56" s="4" t="n"/>
      <c r="C56" s="4" t="n"/>
      <c r="D56" s="4" t="n"/>
      <c r="E56" s="8" t="n"/>
      <c r="F56" s="8" t="n"/>
      <c r="G56" s="8" t="n"/>
      <c r="H56" s="8" t="n"/>
      <c r="I56" s="5">
        <f>IF(A56="","",B56-C56-D56-B56*(E56+F56+G56))</f>
        <v/>
      </c>
      <c r="J56" s="6">
        <f>IF(A56="","",IFERROR(I56/B56,0))</f>
        <v/>
      </c>
      <c r="K56" s="5">
        <f>IF(A56="","",I56-B56*H56)</f>
        <v/>
      </c>
      <c r="L56" s="6">
        <f>IF(A56="","",IFERROR(K56/B56,0))</f>
        <v/>
      </c>
      <c r="M56" s="9">
        <f>IF(A56="","",IFERROR(B56/I56,0))</f>
        <v/>
      </c>
      <c r="N56" s="3">
        <f>IF(A56="","",IF(K56&lt;=0,"Drop",IF(J56&gt;=0.65,"Profit product",IF(J56&gt;=0.5,"Traffic product","Thin"))))</f>
        <v/>
      </c>
    </row>
    <row r="57">
      <c r="B57" s="4" t="n"/>
      <c r="C57" s="4" t="n"/>
      <c r="D57" s="4" t="n"/>
      <c r="E57" s="8" t="n"/>
      <c r="F57" s="8" t="n"/>
      <c r="G57" s="8" t="n"/>
      <c r="H57" s="8" t="n"/>
      <c r="I57" s="5">
        <f>IF(A57="","",B57-C57-D57-B57*(E57+F57+G57))</f>
        <v/>
      </c>
      <c r="J57" s="6">
        <f>IF(A57="","",IFERROR(I57/B57,0))</f>
        <v/>
      </c>
      <c r="K57" s="5">
        <f>IF(A57="","",I57-B57*H57)</f>
        <v/>
      </c>
      <c r="L57" s="6">
        <f>IF(A57="","",IFERROR(K57/B57,0))</f>
        <v/>
      </c>
      <c r="M57" s="9">
        <f>IF(A57="","",IFERROR(B57/I57,0))</f>
        <v/>
      </c>
      <c r="N57" s="3">
        <f>IF(A57="","",IF(K57&lt;=0,"Drop",IF(J57&gt;=0.65,"Profit product",IF(J57&gt;=0.5,"Traffic product","Thin"))))</f>
        <v/>
      </c>
    </row>
    <row r="58">
      <c r="B58" s="4" t="n"/>
      <c r="C58" s="4" t="n"/>
      <c r="D58" s="4" t="n"/>
      <c r="E58" s="8" t="n"/>
      <c r="F58" s="8" t="n"/>
      <c r="G58" s="8" t="n"/>
      <c r="H58" s="8" t="n"/>
      <c r="I58" s="5">
        <f>IF(A58="","",B58-C58-D58-B58*(E58+F58+G58))</f>
        <v/>
      </c>
      <c r="J58" s="6">
        <f>IF(A58="","",IFERROR(I58/B58,0))</f>
        <v/>
      </c>
      <c r="K58" s="5">
        <f>IF(A58="","",I58-B58*H58)</f>
        <v/>
      </c>
      <c r="L58" s="6">
        <f>IF(A58="","",IFERROR(K58/B58,0))</f>
        <v/>
      </c>
      <c r="M58" s="9">
        <f>IF(A58="","",IFERROR(B58/I58,0))</f>
        <v/>
      </c>
      <c r="N58" s="3">
        <f>IF(A58="","",IF(K58&lt;=0,"Drop",IF(J58&gt;=0.65,"Profit product",IF(J58&gt;=0.5,"Traffic product","Thin"))))</f>
        <v/>
      </c>
    </row>
    <row r="59">
      <c r="B59" s="4" t="n"/>
      <c r="C59" s="4" t="n"/>
      <c r="D59" s="4" t="n"/>
      <c r="E59" s="8" t="n"/>
      <c r="F59" s="8" t="n"/>
      <c r="G59" s="8" t="n"/>
      <c r="H59" s="8" t="n"/>
      <c r="I59" s="5">
        <f>IF(A59="","",B59-C59-D59-B59*(E59+F59+G59))</f>
        <v/>
      </c>
      <c r="J59" s="6">
        <f>IF(A59="","",IFERROR(I59/B59,0))</f>
        <v/>
      </c>
      <c r="K59" s="5">
        <f>IF(A59="","",I59-B59*H59)</f>
        <v/>
      </c>
      <c r="L59" s="6">
        <f>IF(A59="","",IFERROR(K59/B59,0))</f>
        <v/>
      </c>
      <c r="M59" s="9">
        <f>IF(A59="","",IFERROR(B59/I59,0))</f>
        <v/>
      </c>
      <c r="N59" s="3">
        <f>IF(A59="","",IF(K59&lt;=0,"Drop",IF(J59&gt;=0.65,"Profit product",IF(J59&gt;=0.5,"Traffic product","Thin"))))</f>
        <v/>
      </c>
    </row>
    <row r="60">
      <c r="B60" s="4" t="n"/>
      <c r="C60" s="4" t="n"/>
      <c r="D60" s="4" t="n"/>
      <c r="E60" s="8" t="n"/>
      <c r="F60" s="8" t="n"/>
      <c r="G60" s="8" t="n"/>
      <c r="H60" s="8" t="n"/>
      <c r="I60" s="5">
        <f>IF(A60="","",B60-C60-D60-B60*(E60+F60+G60))</f>
        <v/>
      </c>
      <c r="J60" s="6">
        <f>IF(A60="","",IFERROR(I60/B60,0))</f>
        <v/>
      </c>
      <c r="K60" s="5">
        <f>IF(A60="","",I60-B60*H60)</f>
        <v/>
      </c>
      <c r="L60" s="6">
        <f>IF(A60="","",IFERROR(K60/B60,0))</f>
        <v/>
      </c>
      <c r="M60" s="9">
        <f>IF(A60="","",IFERROR(B60/I60,0))</f>
        <v/>
      </c>
      <c r="N60" s="3">
        <f>IF(A60="","",IF(K60&lt;=0,"Drop",IF(J60&gt;=0.65,"Profit product",IF(J60&gt;=0.5,"Traffic product","Thin"))))</f>
        <v/>
      </c>
    </row>
    <row r="61">
      <c r="B61" s="4" t="n"/>
      <c r="C61" s="4" t="n"/>
      <c r="D61" s="4" t="n"/>
      <c r="E61" s="8" t="n"/>
      <c r="F61" s="8" t="n"/>
      <c r="G61" s="8" t="n"/>
      <c r="H61" s="8" t="n"/>
      <c r="I61" s="5">
        <f>IF(A61="","",B61-C61-D61-B61*(E61+F61+G61))</f>
        <v/>
      </c>
      <c r="J61" s="6">
        <f>IF(A61="","",IFERROR(I61/B61,0))</f>
        <v/>
      </c>
      <c r="K61" s="5">
        <f>IF(A61="","",I61-B61*H61)</f>
        <v/>
      </c>
      <c r="L61" s="6">
        <f>IF(A61="","",IFERROR(K61/B61,0))</f>
        <v/>
      </c>
      <c r="M61" s="9">
        <f>IF(A61="","",IFERROR(B61/I61,0))</f>
        <v/>
      </c>
      <c r="N61" s="3">
        <f>IF(A61="","",IF(K61&lt;=0,"Drop",IF(J61&gt;=0.65,"Profit product",IF(J61&gt;=0.5,"Traffic product","Thin"))))</f>
        <v/>
      </c>
    </row>
    <row r="62">
      <c r="B62" s="4" t="n"/>
      <c r="C62" s="4" t="n"/>
      <c r="D62" s="4" t="n"/>
      <c r="E62" s="8" t="n"/>
      <c r="F62" s="8" t="n"/>
      <c r="G62" s="8" t="n"/>
      <c r="H62" s="8" t="n"/>
      <c r="I62" s="5">
        <f>IF(A62="","",B62-C62-D62-B62*(E62+F62+G62))</f>
        <v/>
      </c>
      <c r="J62" s="6">
        <f>IF(A62="","",IFERROR(I62/B62,0))</f>
        <v/>
      </c>
      <c r="K62" s="5">
        <f>IF(A62="","",I62-B62*H62)</f>
        <v/>
      </c>
      <c r="L62" s="6">
        <f>IF(A62="","",IFERROR(K62/B62,0))</f>
        <v/>
      </c>
      <c r="M62" s="9">
        <f>IF(A62="","",IFERROR(B62/I62,0))</f>
        <v/>
      </c>
      <c r="N62" s="3">
        <f>IF(A62="","",IF(K62&lt;=0,"Drop",IF(J62&gt;=0.65,"Profit product",IF(J62&gt;=0.5,"Traffic product","Thin"))))</f>
        <v/>
      </c>
    </row>
    <row r="63">
      <c r="B63" s="4" t="n"/>
      <c r="C63" s="4" t="n"/>
      <c r="D63" s="4" t="n"/>
      <c r="E63" s="8" t="n"/>
      <c r="F63" s="8" t="n"/>
      <c r="G63" s="8" t="n"/>
      <c r="H63" s="8" t="n"/>
      <c r="I63" s="5">
        <f>IF(A63="","",B63-C63-D63-B63*(E63+F63+G63))</f>
        <v/>
      </c>
      <c r="J63" s="6">
        <f>IF(A63="","",IFERROR(I63/B63,0))</f>
        <v/>
      </c>
      <c r="K63" s="5">
        <f>IF(A63="","",I63-B63*H63)</f>
        <v/>
      </c>
      <c r="L63" s="6">
        <f>IF(A63="","",IFERROR(K63/B63,0))</f>
        <v/>
      </c>
      <c r="M63" s="9">
        <f>IF(A63="","",IFERROR(B63/I63,0))</f>
        <v/>
      </c>
      <c r="N63" s="3">
        <f>IF(A63="","",IF(K63&lt;=0,"Drop",IF(J63&gt;=0.65,"Profit product",IF(J63&gt;=0.5,"Traffic product","Thin"))))</f>
        <v/>
      </c>
    </row>
    <row r="64">
      <c r="B64" s="4" t="n"/>
      <c r="C64" s="4" t="n"/>
      <c r="D64" s="4" t="n"/>
      <c r="E64" s="8" t="n"/>
      <c r="F64" s="8" t="n"/>
      <c r="G64" s="8" t="n"/>
      <c r="H64" s="8" t="n"/>
      <c r="I64" s="5">
        <f>IF(A64="","",B64-C64-D64-B64*(E64+F64+G64))</f>
        <v/>
      </c>
      <c r="J64" s="6">
        <f>IF(A64="","",IFERROR(I64/B64,0))</f>
        <v/>
      </c>
      <c r="K64" s="5">
        <f>IF(A64="","",I64-B64*H64)</f>
        <v/>
      </c>
      <c r="L64" s="6">
        <f>IF(A64="","",IFERROR(K64/B64,0))</f>
        <v/>
      </c>
      <c r="M64" s="9">
        <f>IF(A64="","",IFERROR(B64/I64,0))</f>
        <v/>
      </c>
      <c r="N64" s="3">
        <f>IF(A64="","",IF(K64&lt;=0,"Drop",IF(J64&gt;=0.65,"Profit product",IF(J64&gt;=0.5,"Traffic product","Thin"))))</f>
        <v/>
      </c>
    </row>
    <row r="65">
      <c r="B65" s="4" t="n"/>
      <c r="C65" s="4" t="n"/>
      <c r="D65" s="4" t="n"/>
      <c r="E65" s="8" t="n"/>
      <c r="F65" s="8" t="n"/>
      <c r="G65" s="8" t="n"/>
      <c r="H65" s="8" t="n"/>
      <c r="I65" s="5">
        <f>IF(A65="","",B65-C65-D65-B65*(E65+F65+G65))</f>
        <v/>
      </c>
      <c r="J65" s="6">
        <f>IF(A65="","",IFERROR(I65/B65,0))</f>
        <v/>
      </c>
      <c r="K65" s="5">
        <f>IF(A65="","",I65-B65*H65)</f>
        <v/>
      </c>
      <c r="L65" s="6">
        <f>IF(A65="","",IFERROR(K65/B65,0))</f>
        <v/>
      </c>
      <c r="M65" s="9">
        <f>IF(A65="","",IFERROR(B65/I65,0))</f>
        <v/>
      </c>
      <c r="N65" s="3">
        <f>IF(A65="","",IF(K65&lt;=0,"Drop",IF(J65&gt;=0.65,"Profit product",IF(J65&gt;=0.5,"Traffic product","Thin"))))</f>
        <v/>
      </c>
    </row>
    <row r="66">
      <c r="B66" s="4" t="n"/>
      <c r="C66" s="4" t="n"/>
      <c r="D66" s="4" t="n"/>
      <c r="E66" s="8" t="n"/>
      <c r="F66" s="8" t="n"/>
      <c r="G66" s="8" t="n"/>
      <c r="H66" s="8" t="n"/>
      <c r="I66" s="5">
        <f>IF(A66="","",B66-C66-D66-B66*(E66+F66+G66))</f>
        <v/>
      </c>
      <c r="J66" s="6">
        <f>IF(A66="","",IFERROR(I66/B66,0))</f>
        <v/>
      </c>
      <c r="K66" s="5">
        <f>IF(A66="","",I66-B66*H66)</f>
        <v/>
      </c>
      <c r="L66" s="6">
        <f>IF(A66="","",IFERROR(K66/B66,0))</f>
        <v/>
      </c>
      <c r="M66" s="9">
        <f>IF(A66="","",IFERROR(B66/I66,0))</f>
        <v/>
      </c>
      <c r="N66" s="3">
        <f>IF(A66="","",IF(K66&lt;=0,"Drop",IF(J66&gt;=0.65,"Profit product",IF(J66&gt;=0.5,"Traffic product","Thin"))))</f>
        <v/>
      </c>
    </row>
    <row r="67">
      <c r="B67" s="4" t="n"/>
      <c r="C67" s="4" t="n"/>
      <c r="D67" s="4" t="n"/>
      <c r="E67" s="8" t="n"/>
      <c r="F67" s="8" t="n"/>
      <c r="G67" s="8" t="n"/>
      <c r="H67" s="8" t="n"/>
      <c r="I67" s="5">
        <f>IF(A67="","",B67-C67-D67-B67*(E67+F67+G67))</f>
        <v/>
      </c>
      <c r="J67" s="6">
        <f>IF(A67="","",IFERROR(I67/B67,0))</f>
        <v/>
      </c>
      <c r="K67" s="5">
        <f>IF(A67="","",I67-B67*H67)</f>
        <v/>
      </c>
      <c r="L67" s="6">
        <f>IF(A67="","",IFERROR(K67/B67,0))</f>
        <v/>
      </c>
      <c r="M67" s="9">
        <f>IF(A67="","",IFERROR(B67/I67,0))</f>
        <v/>
      </c>
      <c r="N67" s="3">
        <f>IF(A67="","",IF(K67&lt;=0,"Drop",IF(J67&gt;=0.65,"Profit product",IF(J67&gt;=0.5,"Traffic product","Thin"))))</f>
        <v/>
      </c>
    </row>
    <row r="68">
      <c r="B68" s="4" t="n"/>
      <c r="C68" s="4" t="n"/>
      <c r="D68" s="4" t="n"/>
      <c r="E68" s="8" t="n"/>
      <c r="F68" s="8" t="n"/>
      <c r="G68" s="8" t="n"/>
      <c r="H68" s="8" t="n"/>
      <c r="I68" s="5">
        <f>IF(A68="","",B68-C68-D68-B68*(E68+F68+G68))</f>
        <v/>
      </c>
      <c r="J68" s="6">
        <f>IF(A68="","",IFERROR(I68/B68,0))</f>
        <v/>
      </c>
      <c r="K68" s="5">
        <f>IF(A68="","",I68-B68*H68)</f>
        <v/>
      </c>
      <c r="L68" s="6">
        <f>IF(A68="","",IFERROR(K68/B68,0))</f>
        <v/>
      </c>
      <c r="M68" s="9">
        <f>IF(A68="","",IFERROR(B68/I68,0))</f>
        <v/>
      </c>
      <c r="N68" s="3">
        <f>IF(A68="","",IF(K68&lt;=0,"Drop",IF(J68&gt;=0.65,"Profit product",IF(J68&gt;=0.5,"Traffic product","Thin"))))</f>
        <v/>
      </c>
    </row>
    <row r="69">
      <c r="B69" s="4" t="n"/>
      <c r="C69" s="4" t="n"/>
      <c r="D69" s="4" t="n"/>
      <c r="E69" s="8" t="n"/>
      <c r="F69" s="8" t="n"/>
      <c r="G69" s="8" t="n"/>
      <c r="H69" s="8" t="n"/>
      <c r="I69" s="5">
        <f>IF(A69="","",B69-C69-D69-B69*(E69+F69+G69))</f>
        <v/>
      </c>
      <c r="J69" s="6">
        <f>IF(A69="","",IFERROR(I69/B69,0))</f>
        <v/>
      </c>
      <c r="K69" s="5">
        <f>IF(A69="","",I69-B69*H69)</f>
        <v/>
      </c>
      <c r="L69" s="6">
        <f>IF(A69="","",IFERROR(K69/B69,0))</f>
        <v/>
      </c>
      <c r="M69" s="9">
        <f>IF(A69="","",IFERROR(B69/I69,0))</f>
        <v/>
      </c>
      <c r="N69" s="3">
        <f>IF(A69="","",IF(K69&lt;=0,"Drop",IF(J69&gt;=0.65,"Profit product",IF(J69&gt;=0.5,"Traffic product","Thin"))))</f>
        <v/>
      </c>
    </row>
    <row r="70">
      <c r="B70" s="4" t="n"/>
      <c r="C70" s="4" t="n"/>
      <c r="D70" s="4" t="n"/>
      <c r="E70" s="8" t="n"/>
      <c r="F70" s="8" t="n"/>
      <c r="G70" s="8" t="n"/>
      <c r="H70" s="8" t="n"/>
      <c r="I70" s="5">
        <f>IF(A70="","",B70-C70-D70-B70*(E70+F70+G70))</f>
        <v/>
      </c>
      <c r="J70" s="6">
        <f>IF(A70="","",IFERROR(I70/B70,0))</f>
        <v/>
      </c>
      <c r="K70" s="5">
        <f>IF(A70="","",I70-B70*H70)</f>
        <v/>
      </c>
      <c r="L70" s="6">
        <f>IF(A70="","",IFERROR(K70/B70,0))</f>
        <v/>
      </c>
      <c r="M70" s="9">
        <f>IF(A70="","",IFERROR(B70/I70,0))</f>
        <v/>
      </c>
      <c r="N70" s="3">
        <f>IF(A70="","",IF(K70&lt;=0,"Drop",IF(J70&gt;=0.65,"Profit product",IF(J70&gt;=0.5,"Traffic product","Thin"))))</f>
        <v/>
      </c>
    </row>
    <row r="71">
      <c r="B71" s="4" t="n"/>
      <c r="C71" s="4" t="n"/>
      <c r="D71" s="4" t="n"/>
      <c r="E71" s="8" t="n"/>
      <c r="F71" s="8" t="n"/>
      <c r="G71" s="8" t="n"/>
      <c r="H71" s="8" t="n"/>
      <c r="I71" s="5">
        <f>IF(A71="","",B71-C71-D71-B71*(E71+F71+G71))</f>
        <v/>
      </c>
      <c r="J71" s="6">
        <f>IF(A71="","",IFERROR(I71/B71,0))</f>
        <v/>
      </c>
      <c r="K71" s="5">
        <f>IF(A71="","",I71-B71*H71)</f>
        <v/>
      </c>
      <c r="L71" s="6">
        <f>IF(A71="","",IFERROR(K71/B71,0))</f>
        <v/>
      </c>
      <c r="M71" s="9">
        <f>IF(A71="","",IFERROR(B71/I71,0))</f>
        <v/>
      </c>
      <c r="N71" s="3">
        <f>IF(A71="","",IF(K71&lt;=0,"Drop",IF(J71&gt;=0.65,"Profit product",IF(J71&gt;=0.5,"Traffic product","Thin"))))</f>
        <v/>
      </c>
    </row>
    <row r="72">
      <c r="B72" s="4" t="n"/>
      <c r="C72" s="4" t="n"/>
      <c r="D72" s="4" t="n"/>
      <c r="E72" s="8" t="n"/>
      <c r="F72" s="8" t="n"/>
      <c r="G72" s="8" t="n"/>
      <c r="H72" s="8" t="n"/>
      <c r="I72" s="5">
        <f>IF(A72="","",B72-C72-D72-B72*(E72+F72+G72))</f>
        <v/>
      </c>
      <c r="J72" s="6">
        <f>IF(A72="","",IFERROR(I72/B72,0))</f>
        <v/>
      </c>
      <c r="K72" s="5">
        <f>IF(A72="","",I72-B72*H72)</f>
        <v/>
      </c>
      <c r="L72" s="6">
        <f>IF(A72="","",IFERROR(K72/B72,0))</f>
        <v/>
      </c>
      <c r="M72" s="9">
        <f>IF(A72="","",IFERROR(B72/I72,0))</f>
        <v/>
      </c>
      <c r="N72" s="3">
        <f>IF(A72="","",IF(K72&lt;=0,"Drop",IF(J72&gt;=0.65,"Profit product",IF(J72&gt;=0.5,"Traffic product","Thin"))))</f>
        <v/>
      </c>
    </row>
    <row r="73">
      <c r="B73" s="4" t="n"/>
      <c r="C73" s="4" t="n"/>
      <c r="D73" s="4" t="n"/>
      <c r="E73" s="8" t="n"/>
      <c r="F73" s="8" t="n"/>
      <c r="G73" s="8" t="n"/>
      <c r="H73" s="8" t="n"/>
      <c r="I73" s="5">
        <f>IF(A73="","",B73-C73-D73-B73*(E73+F73+G73))</f>
        <v/>
      </c>
      <c r="J73" s="6">
        <f>IF(A73="","",IFERROR(I73/B73,0))</f>
        <v/>
      </c>
      <c r="K73" s="5">
        <f>IF(A73="","",I73-B73*H73)</f>
        <v/>
      </c>
      <c r="L73" s="6">
        <f>IF(A73="","",IFERROR(K73/B73,0))</f>
        <v/>
      </c>
      <c r="M73" s="9">
        <f>IF(A73="","",IFERROR(B73/I73,0))</f>
        <v/>
      </c>
      <c r="N73" s="3">
        <f>IF(A73="","",IF(K73&lt;=0,"Drop",IF(J73&gt;=0.65,"Profit product",IF(J73&gt;=0.5,"Traffic product","Thin"))))</f>
        <v/>
      </c>
    </row>
    <row r="74">
      <c r="B74" s="4" t="n"/>
      <c r="C74" s="4" t="n"/>
      <c r="D74" s="4" t="n"/>
      <c r="E74" s="8" t="n"/>
      <c r="F74" s="8" t="n"/>
      <c r="G74" s="8" t="n"/>
      <c r="H74" s="8" t="n"/>
      <c r="I74" s="5">
        <f>IF(A74="","",B74-C74-D74-B74*(E74+F74+G74))</f>
        <v/>
      </c>
      <c r="J74" s="6">
        <f>IF(A74="","",IFERROR(I74/B74,0))</f>
        <v/>
      </c>
      <c r="K74" s="5">
        <f>IF(A74="","",I74-B74*H74)</f>
        <v/>
      </c>
      <c r="L74" s="6">
        <f>IF(A74="","",IFERROR(K74/B74,0))</f>
        <v/>
      </c>
      <c r="M74" s="9">
        <f>IF(A74="","",IFERROR(B74/I74,0))</f>
        <v/>
      </c>
      <c r="N74" s="3">
        <f>IF(A74="","",IF(K74&lt;=0,"Drop",IF(J74&gt;=0.65,"Profit product",IF(J74&gt;=0.5,"Traffic product","Thin"))))</f>
        <v/>
      </c>
    </row>
    <row r="75">
      <c r="B75" s="4" t="n"/>
      <c r="C75" s="4" t="n"/>
      <c r="D75" s="4" t="n"/>
      <c r="E75" s="8" t="n"/>
      <c r="F75" s="8" t="n"/>
      <c r="G75" s="8" t="n"/>
      <c r="H75" s="8" t="n"/>
      <c r="I75" s="5">
        <f>IF(A75="","",B75-C75-D75-B75*(E75+F75+G75))</f>
        <v/>
      </c>
      <c r="J75" s="6">
        <f>IF(A75="","",IFERROR(I75/B75,0))</f>
        <v/>
      </c>
      <c r="K75" s="5">
        <f>IF(A75="","",I75-B75*H75)</f>
        <v/>
      </c>
      <c r="L75" s="6">
        <f>IF(A75="","",IFERROR(K75/B75,0))</f>
        <v/>
      </c>
      <c r="M75" s="9">
        <f>IF(A75="","",IFERROR(B75/I75,0))</f>
        <v/>
      </c>
      <c r="N75" s="3">
        <f>IF(A75="","",IF(K75&lt;=0,"Drop",IF(J75&gt;=0.65,"Profit product",IF(J75&gt;=0.5,"Traffic product","Thin"))))</f>
        <v/>
      </c>
    </row>
    <row r="76">
      <c r="B76" s="4" t="n"/>
      <c r="C76" s="4" t="n"/>
      <c r="D76" s="4" t="n"/>
      <c r="E76" s="8" t="n"/>
      <c r="F76" s="8" t="n"/>
      <c r="G76" s="8" t="n"/>
      <c r="H76" s="8" t="n"/>
      <c r="I76" s="5">
        <f>IF(A76="","",B76-C76-D76-B76*(E76+F76+G76))</f>
        <v/>
      </c>
      <c r="J76" s="6">
        <f>IF(A76="","",IFERROR(I76/B76,0))</f>
        <v/>
      </c>
      <c r="K76" s="5">
        <f>IF(A76="","",I76-B76*H76)</f>
        <v/>
      </c>
      <c r="L76" s="6">
        <f>IF(A76="","",IFERROR(K76/B76,0))</f>
        <v/>
      </c>
      <c r="M76" s="9">
        <f>IF(A76="","",IFERROR(B76/I76,0))</f>
        <v/>
      </c>
      <c r="N76" s="3">
        <f>IF(A76="","",IF(K76&lt;=0,"Drop",IF(J76&gt;=0.65,"Profit product",IF(J76&gt;=0.5,"Traffic product","Thin"))))</f>
        <v/>
      </c>
    </row>
    <row r="77">
      <c r="B77" s="4" t="n"/>
      <c r="C77" s="4" t="n"/>
      <c r="D77" s="4" t="n"/>
      <c r="E77" s="8" t="n"/>
      <c r="F77" s="8" t="n"/>
      <c r="G77" s="8" t="n"/>
      <c r="H77" s="8" t="n"/>
      <c r="I77" s="5">
        <f>IF(A77="","",B77-C77-D77-B77*(E77+F77+G77))</f>
        <v/>
      </c>
      <c r="J77" s="6">
        <f>IF(A77="","",IFERROR(I77/B77,0))</f>
        <v/>
      </c>
      <c r="K77" s="5">
        <f>IF(A77="","",I77-B77*H77)</f>
        <v/>
      </c>
      <c r="L77" s="6">
        <f>IF(A77="","",IFERROR(K77/B77,0))</f>
        <v/>
      </c>
      <c r="M77" s="9">
        <f>IF(A77="","",IFERROR(B77/I77,0))</f>
        <v/>
      </c>
      <c r="N77" s="3">
        <f>IF(A77="","",IF(K77&lt;=0,"Drop",IF(J77&gt;=0.65,"Profit product",IF(J77&gt;=0.5,"Traffic product","Thin"))))</f>
        <v/>
      </c>
    </row>
    <row r="78">
      <c r="B78" s="4" t="n"/>
      <c r="C78" s="4" t="n"/>
      <c r="D78" s="4" t="n"/>
      <c r="E78" s="8" t="n"/>
      <c r="F78" s="8" t="n"/>
      <c r="G78" s="8" t="n"/>
      <c r="H78" s="8" t="n"/>
      <c r="I78" s="5">
        <f>IF(A78="","",B78-C78-D78-B78*(E78+F78+G78))</f>
        <v/>
      </c>
      <c r="J78" s="6">
        <f>IF(A78="","",IFERROR(I78/B78,0))</f>
        <v/>
      </c>
      <c r="K78" s="5">
        <f>IF(A78="","",I78-B78*H78)</f>
        <v/>
      </c>
      <c r="L78" s="6">
        <f>IF(A78="","",IFERROR(K78/B78,0))</f>
        <v/>
      </c>
      <c r="M78" s="9">
        <f>IF(A78="","",IFERROR(B78/I78,0))</f>
        <v/>
      </c>
      <c r="N78" s="3">
        <f>IF(A78="","",IF(K78&lt;=0,"Drop",IF(J78&gt;=0.65,"Profit product",IF(J78&gt;=0.5,"Traffic product","Thin"))))</f>
        <v/>
      </c>
    </row>
    <row r="79">
      <c r="B79" s="4" t="n"/>
      <c r="C79" s="4" t="n"/>
      <c r="D79" s="4" t="n"/>
      <c r="E79" s="8" t="n"/>
      <c r="F79" s="8" t="n"/>
      <c r="G79" s="8" t="n"/>
      <c r="H79" s="8" t="n"/>
      <c r="I79" s="5">
        <f>IF(A79="","",B79-C79-D79-B79*(E79+F79+G79))</f>
        <v/>
      </c>
      <c r="J79" s="6">
        <f>IF(A79="","",IFERROR(I79/B79,0))</f>
        <v/>
      </c>
      <c r="K79" s="5">
        <f>IF(A79="","",I79-B79*H79)</f>
        <v/>
      </c>
      <c r="L79" s="6">
        <f>IF(A79="","",IFERROR(K79/B79,0))</f>
        <v/>
      </c>
      <c r="M79" s="9">
        <f>IF(A79="","",IFERROR(B79/I79,0))</f>
        <v/>
      </c>
      <c r="N79" s="3">
        <f>IF(A79="","",IF(K79&lt;=0,"Drop",IF(J79&gt;=0.65,"Profit product",IF(J79&gt;=0.5,"Traffic product","Thin"))))</f>
        <v/>
      </c>
    </row>
    <row r="80">
      <c r="B80" s="4" t="n"/>
      <c r="C80" s="4" t="n"/>
      <c r="D80" s="4" t="n"/>
      <c r="E80" s="8" t="n"/>
      <c r="F80" s="8" t="n"/>
      <c r="G80" s="8" t="n"/>
      <c r="H80" s="8" t="n"/>
      <c r="I80" s="5">
        <f>IF(A80="","",B80-C80-D80-B80*(E80+F80+G80))</f>
        <v/>
      </c>
      <c r="J80" s="6">
        <f>IF(A80="","",IFERROR(I80/B80,0))</f>
        <v/>
      </c>
      <c r="K80" s="5">
        <f>IF(A80="","",I80-B80*H80)</f>
        <v/>
      </c>
      <c r="L80" s="6">
        <f>IF(A80="","",IFERROR(K80/B80,0))</f>
        <v/>
      </c>
      <c r="M80" s="9">
        <f>IF(A80="","",IFERROR(B80/I80,0))</f>
        <v/>
      </c>
      <c r="N80" s="3">
        <f>IF(A80="","",IF(K80&lt;=0,"Drop",IF(J80&gt;=0.65,"Profit product",IF(J80&gt;=0.5,"Traffic product","Thin"))))</f>
        <v/>
      </c>
    </row>
    <row r="81">
      <c r="B81" s="4" t="n"/>
      <c r="C81" s="4" t="n"/>
      <c r="D81" s="4" t="n"/>
      <c r="E81" s="8" t="n"/>
      <c r="F81" s="8" t="n"/>
      <c r="G81" s="8" t="n"/>
      <c r="H81" s="8" t="n"/>
      <c r="I81" s="5">
        <f>IF(A81="","",B81-C81-D81-B81*(E81+F81+G81))</f>
        <v/>
      </c>
      <c r="J81" s="6">
        <f>IF(A81="","",IFERROR(I81/B81,0))</f>
        <v/>
      </c>
      <c r="K81" s="5">
        <f>IF(A81="","",I81-B81*H81)</f>
        <v/>
      </c>
      <c r="L81" s="6">
        <f>IF(A81="","",IFERROR(K81/B81,0))</f>
        <v/>
      </c>
      <c r="M81" s="9">
        <f>IF(A81="","",IFERROR(B81/I81,0))</f>
        <v/>
      </c>
      <c r="N81" s="3">
        <f>IF(A81="","",IF(K81&lt;=0,"Drop",IF(J81&gt;=0.65,"Profit product",IF(J81&gt;=0.5,"Traffic product","Thin"))))</f>
        <v/>
      </c>
    </row>
    <row r="82">
      <c r="B82" s="4" t="n"/>
      <c r="C82" s="4" t="n"/>
      <c r="D82" s="4" t="n"/>
      <c r="E82" s="8" t="n"/>
      <c r="F82" s="8" t="n"/>
      <c r="G82" s="8" t="n"/>
      <c r="H82" s="8" t="n"/>
      <c r="I82" s="5">
        <f>IF(A82="","",B82-C82-D82-B82*(E82+F82+G82))</f>
        <v/>
      </c>
      <c r="J82" s="6">
        <f>IF(A82="","",IFERROR(I82/B82,0))</f>
        <v/>
      </c>
      <c r="K82" s="5">
        <f>IF(A82="","",I82-B82*H82)</f>
        <v/>
      </c>
      <c r="L82" s="6">
        <f>IF(A82="","",IFERROR(K82/B82,0))</f>
        <v/>
      </c>
      <c r="M82" s="9">
        <f>IF(A82="","",IFERROR(B82/I82,0))</f>
        <v/>
      </c>
      <c r="N82" s="3">
        <f>IF(A82="","",IF(K82&lt;=0,"Drop",IF(J82&gt;=0.65,"Profit product",IF(J82&gt;=0.5,"Traffic product","Thin"))))</f>
        <v/>
      </c>
    </row>
    <row r="83">
      <c r="B83" s="4" t="n"/>
      <c r="C83" s="4" t="n"/>
      <c r="D83" s="4" t="n"/>
      <c r="E83" s="8" t="n"/>
      <c r="F83" s="8" t="n"/>
      <c r="G83" s="8" t="n"/>
      <c r="H83" s="8" t="n"/>
      <c r="I83" s="5">
        <f>IF(A83="","",B83-C83-D83-B83*(E83+F83+G83))</f>
        <v/>
      </c>
      <c r="J83" s="6">
        <f>IF(A83="","",IFERROR(I83/B83,0))</f>
        <v/>
      </c>
      <c r="K83" s="5">
        <f>IF(A83="","",I83-B83*H83)</f>
        <v/>
      </c>
      <c r="L83" s="6">
        <f>IF(A83="","",IFERROR(K83/B83,0))</f>
        <v/>
      </c>
      <c r="M83" s="9">
        <f>IF(A83="","",IFERROR(B83/I83,0))</f>
        <v/>
      </c>
      <c r="N83" s="3">
        <f>IF(A83="","",IF(K83&lt;=0,"Drop",IF(J83&gt;=0.65,"Profit product",IF(J83&gt;=0.5,"Traffic product","Thin"))))</f>
        <v/>
      </c>
    </row>
    <row r="84">
      <c r="B84" s="4" t="n"/>
      <c r="C84" s="4" t="n"/>
      <c r="D84" s="4" t="n"/>
      <c r="E84" s="8" t="n"/>
      <c r="F84" s="8" t="n"/>
      <c r="G84" s="8" t="n"/>
      <c r="H84" s="8" t="n"/>
      <c r="I84" s="5">
        <f>IF(A84="","",B84-C84-D84-B84*(E84+F84+G84))</f>
        <v/>
      </c>
      <c r="J84" s="6">
        <f>IF(A84="","",IFERROR(I84/B84,0))</f>
        <v/>
      </c>
      <c r="K84" s="5">
        <f>IF(A84="","",I84-B84*H84)</f>
        <v/>
      </c>
      <c r="L84" s="6">
        <f>IF(A84="","",IFERROR(K84/B84,0))</f>
        <v/>
      </c>
      <c r="M84" s="9">
        <f>IF(A84="","",IFERROR(B84/I84,0))</f>
        <v/>
      </c>
      <c r="N84" s="3">
        <f>IF(A84="","",IF(K84&lt;=0,"Drop",IF(J84&gt;=0.65,"Profit product",IF(J84&gt;=0.5,"Traffic product","Thin"))))</f>
        <v/>
      </c>
    </row>
    <row r="85">
      <c r="B85" s="4" t="n"/>
      <c r="C85" s="4" t="n"/>
      <c r="D85" s="4" t="n"/>
      <c r="E85" s="8" t="n"/>
      <c r="F85" s="8" t="n"/>
      <c r="G85" s="8" t="n"/>
      <c r="H85" s="8" t="n"/>
      <c r="I85" s="5">
        <f>IF(A85="","",B85-C85-D85-B85*(E85+F85+G85))</f>
        <v/>
      </c>
      <c r="J85" s="6">
        <f>IF(A85="","",IFERROR(I85/B85,0))</f>
        <v/>
      </c>
      <c r="K85" s="5">
        <f>IF(A85="","",I85-B85*H85)</f>
        <v/>
      </c>
      <c r="L85" s="6">
        <f>IF(A85="","",IFERROR(K85/B85,0))</f>
        <v/>
      </c>
      <c r="M85" s="9">
        <f>IF(A85="","",IFERROR(B85/I85,0))</f>
        <v/>
      </c>
      <c r="N85" s="3">
        <f>IF(A85="","",IF(K85&lt;=0,"Drop",IF(J85&gt;=0.65,"Profit product",IF(J85&gt;=0.5,"Traffic product","Thin"))))</f>
        <v/>
      </c>
    </row>
    <row r="86">
      <c r="B86" s="4" t="n"/>
      <c r="C86" s="4" t="n"/>
      <c r="D86" s="4" t="n"/>
      <c r="E86" s="8" t="n"/>
      <c r="F86" s="8" t="n"/>
      <c r="G86" s="8" t="n"/>
      <c r="H86" s="8" t="n"/>
      <c r="I86" s="5">
        <f>IF(A86="","",B86-C86-D86-B86*(E86+F86+G86))</f>
        <v/>
      </c>
      <c r="J86" s="6">
        <f>IF(A86="","",IFERROR(I86/B86,0))</f>
        <v/>
      </c>
      <c r="K86" s="5">
        <f>IF(A86="","",I86-B86*H86)</f>
        <v/>
      </c>
      <c r="L86" s="6">
        <f>IF(A86="","",IFERROR(K86/B86,0))</f>
        <v/>
      </c>
      <c r="M86" s="9">
        <f>IF(A86="","",IFERROR(B86/I86,0))</f>
        <v/>
      </c>
      <c r="N86" s="3">
        <f>IF(A86="","",IF(K86&lt;=0,"Drop",IF(J86&gt;=0.65,"Profit product",IF(J86&gt;=0.5,"Traffic product","Thin"))))</f>
        <v/>
      </c>
    </row>
    <row r="87">
      <c r="B87" s="4" t="n"/>
      <c r="C87" s="4" t="n"/>
      <c r="D87" s="4" t="n"/>
      <c r="E87" s="8" t="n"/>
      <c r="F87" s="8" t="n"/>
      <c r="G87" s="8" t="n"/>
      <c r="H87" s="8" t="n"/>
      <c r="I87" s="5">
        <f>IF(A87="","",B87-C87-D87-B87*(E87+F87+G87))</f>
        <v/>
      </c>
      <c r="J87" s="6">
        <f>IF(A87="","",IFERROR(I87/B87,0))</f>
        <v/>
      </c>
      <c r="K87" s="5">
        <f>IF(A87="","",I87-B87*H87)</f>
        <v/>
      </c>
      <c r="L87" s="6">
        <f>IF(A87="","",IFERROR(K87/B87,0))</f>
        <v/>
      </c>
      <c r="M87" s="9">
        <f>IF(A87="","",IFERROR(B87/I87,0))</f>
        <v/>
      </c>
      <c r="N87" s="3">
        <f>IF(A87="","",IF(K87&lt;=0,"Drop",IF(J87&gt;=0.65,"Profit product",IF(J87&gt;=0.5,"Traffic product","Thin"))))</f>
        <v/>
      </c>
    </row>
    <row r="88">
      <c r="B88" s="4" t="n"/>
      <c r="C88" s="4" t="n"/>
      <c r="D88" s="4" t="n"/>
      <c r="E88" s="8" t="n"/>
      <c r="F88" s="8" t="n"/>
      <c r="G88" s="8" t="n"/>
      <c r="H88" s="8" t="n"/>
      <c r="I88" s="5">
        <f>IF(A88="","",B88-C88-D88-B88*(E88+F88+G88))</f>
        <v/>
      </c>
      <c r="J88" s="6">
        <f>IF(A88="","",IFERROR(I88/B88,0))</f>
        <v/>
      </c>
      <c r="K88" s="5">
        <f>IF(A88="","",I88-B88*H88)</f>
        <v/>
      </c>
      <c r="L88" s="6">
        <f>IF(A88="","",IFERROR(K88/B88,0))</f>
        <v/>
      </c>
      <c r="M88" s="9">
        <f>IF(A88="","",IFERROR(B88/I88,0))</f>
        <v/>
      </c>
      <c r="N88" s="3">
        <f>IF(A88="","",IF(K88&lt;=0,"Drop",IF(J88&gt;=0.65,"Profit product",IF(J88&gt;=0.5,"Traffic product","Thin"))))</f>
        <v/>
      </c>
    </row>
    <row r="89">
      <c r="B89" s="4" t="n"/>
      <c r="C89" s="4" t="n"/>
      <c r="D89" s="4" t="n"/>
      <c r="E89" s="8" t="n"/>
      <c r="F89" s="8" t="n"/>
      <c r="G89" s="8" t="n"/>
      <c r="H89" s="8" t="n"/>
      <c r="I89" s="5">
        <f>IF(A89="","",B89-C89-D89-B89*(E89+F89+G89))</f>
        <v/>
      </c>
      <c r="J89" s="6">
        <f>IF(A89="","",IFERROR(I89/B89,0))</f>
        <v/>
      </c>
      <c r="K89" s="5">
        <f>IF(A89="","",I89-B89*H89)</f>
        <v/>
      </c>
      <c r="L89" s="6">
        <f>IF(A89="","",IFERROR(K89/B89,0))</f>
        <v/>
      </c>
      <c r="M89" s="9">
        <f>IF(A89="","",IFERROR(B89/I89,0))</f>
        <v/>
      </c>
      <c r="N89" s="3">
        <f>IF(A89="","",IF(K89&lt;=0,"Drop",IF(J89&gt;=0.65,"Profit product",IF(J89&gt;=0.5,"Traffic product","Thin"))))</f>
        <v/>
      </c>
    </row>
    <row r="90">
      <c r="B90" s="4" t="n"/>
      <c r="C90" s="4" t="n"/>
      <c r="D90" s="4" t="n"/>
      <c r="E90" s="8" t="n"/>
      <c r="F90" s="8" t="n"/>
      <c r="G90" s="8" t="n"/>
      <c r="H90" s="8" t="n"/>
      <c r="I90" s="5">
        <f>IF(A90="","",B90-C90-D90-B90*(E90+F90+G90))</f>
        <v/>
      </c>
      <c r="J90" s="6">
        <f>IF(A90="","",IFERROR(I90/B90,0))</f>
        <v/>
      </c>
      <c r="K90" s="5">
        <f>IF(A90="","",I90-B90*H90)</f>
        <v/>
      </c>
      <c r="L90" s="6">
        <f>IF(A90="","",IFERROR(K90/B90,0))</f>
        <v/>
      </c>
      <c r="M90" s="9">
        <f>IF(A90="","",IFERROR(B90/I90,0))</f>
        <v/>
      </c>
      <c r="N90" s="3">
        <f>IF(A90="","",IF(K90&lt;=0,"Drop",IF(J90&gt;=0.65,"Profit product",IF(J90&gt;=0.5,"Traffic product","Thin"))))</f>
        <v/>
      </c>
    </row>
    <row r="91">
      <c r="B91" s="4" t="n"/>
      <c r="C91" s="4" t="n"/>
      <c r="D91" s="4" t="n"/>
      <c r="E91" s="8" t="n"/>
      <c r="F91" s="8" t="n"/>
      <c r="G91" s="8" t="n"/>
      <c r="H91" s="8" t="n"/>
      <c r="I91" s="5">
        <f>IF(A91="","",B91-C91-D91-B91*(E91+F91+G91))</f>
        <v/>
      </c>
      <c r="J91" s="6">
        <f>IF(A91="","",IFERROR(I91/B91,0))</f>
        <v/>
      </c>
      <c r="K91" s="5">
        <f>IF(A91="","",I91-B91*H91)</f>
        <v/>
      </c>
      <c r="L91" s="6">
        <f>IF(A91="","",IFERROR(K91/B91,0))</f>
        <v/>
      </c>
      <c r="M91" s="9">
        <f>IF(A91="","",IFERROR(B91/I91,0))</f>
        <v/>
      </c>
      <c r="N91" s="3">
        <f>IF(A91="","",IF(K91&lt;=0,"Drop",IF(J91&gt;=0.65,"Profit product",IF(J91&gt;=0.5,"Traffic product","Thin"))))</f>
        <v/>
      </c>
    </row>
    <row r="92">
      <c r="B92" s="4" t="n"/>
      <c r="C92" s="4" t="n"/>
      <c r="D92" s="4" t="n"/>
      <c r="E92" s="8" t="n"/>
      <c r="F92" s="8" t="n"/>
      <c r="G92" s="8" t="n"/>
      <c r="H92" s="8" t="n"/>
      <c r="I92" s="5">
        <f>IF(A92="","",B92-C92-D92-B92*(E92+F92+G92))</f>
        <v/>
      </c>
      <c r="J92" s="6">
        <f>IF(A92="","",IFERROR(I92/B92,0))</f>
        <v/>
      </c>
      <c r="K92" s="5">
        <f>IF(A92="","",I92-B92*H92)</f>
        <v/>
      </c>
      <c r="L92" s="6">
        <f>IF(A92="","",IFERROR(K92/B92,0))</f>
        <v/>
      </c>
      <c r="M92" s="9">
        <f>IF(A92="","",IFERROR(B92/I92,0))</f>
        <v/>
      </c>
      <c r="N92" s="3">
        <f>IF(A92="","",IF(K92&lt;=0,"Drop",IF(J92&gt;=0.65,"Profit product",IF(J92&gt;=0.5,"Traffic product","Thin"))))</f>
        <v/>
      </c>
    </row>
    <row r="93">
      <c r="B93" s="4" t="n"/>
      <c r="C93" s="4" t="n"/>
      <c r="D93" s="4" t="n"/>
      <c r="E93" s="8" t="n"/>
      <c r="F93" s="8" t="n"/>
      <c r="G93" s="8" t="n"/>
      <c r="H93" s="8" t="n"/>
      <c r="I93" s="5">
        <f>IF(A93="","",B93-C93-D93-B93*(E93+F93+G93))</f>
        <v/>
      </c>
      <c r="J93" s="6">
        <f>IF(A93="","",IFERROR(I93/B93,0))</f>
        <v/>
      </c>
      <c r="K93" s="5">
        <f>IF(A93="","",I93-B93*H93)</f>
        <v/>
      </c>
      <c r="L93" s="6">
        <f>IF(A93="","",IFERROR(K93/B93,0))</f>
        <v/>
      </c>
      <c r="M93" s="9">
        <f>IF(A93="","",IFERROR(B93/I93,0))</f>
        <v/>
      </c>
      <c r="N93" s="3">
        <f>IF(A93="","",IF(K93&lt;=0,"Drop",IF(J93&gt;=0.65,"Profit product",IF(J93&gt;=0.5,"Traffic product","Thin"))))</f>
        <v/>
      </c>
    </row>
    <row r="94">
      <c r="B94" s="4" t="n"/>
      <c r="C94" s="4" t="n"/>
      <c r="D94" s="4" t="n"/>
      <c r="E94" s="8" t="n"/>
      <c r="F94" s="8" t="n"/>
      <c r="G94" s="8" t="n"/>
      <c r="H94" s="8" t="n"/>
      <c r="I94" s="5">
        <f>IF(A94="","",B94-C94-D94-B94*(E94+F94+G94))</f>
        <v/>
      </c>
      <c r="J94" s="6">
        <f>IF(A94="","",IFERROR(I94/B94,0))</f>
        <v/>
      </c>
      <c r="K94" s="5">
        <f>IF(A94="","",I94-B94*H94)</f>
        <v/>
      </c>
      <c r="L94" s="6">
        <f>IF(A94="","",IFERROR(K94/B94,0))</f>
        <v/>
      </c>
      <c r="M94" s="9">
        <f>IF(A94="","",IFERROR(B94/I94,0))</f>
        <v/>
      </c>
      <c r="N94" s="3">
        <f>IF(A94="","",IF(K94&lt;=0,"Drop",IF(J94&gt;=0.65,"Profit product",IF(J94&gt;=0.5,"Traffic product","Thin"))))</f>
        <v/>
      </c>
    </row>
    <row r="95">
      <c r="B95" s="4" t="n"/>
      <c r="C95" s="4" t="n"/>
      <c r="D95" s="4" t="n"/>
      <c r="E95" s="8" t="n"/>
      <c r="F95" s="8" t="n"/>
      <c r="G95" s="8" t="n"/>
      <c r="H95" s="8" t="n"/>
      <c r="I95" s="5">
        <f>IF(A95="","",B95-C95-D95-B95*(E95+F95+G95))</f>
        <v/>
      </c>
      <c r="J95" s="6">
        <f>IF(A95="","",IFERROR(I95/B95,0))</f>
        <v/>
      </c>
      <c r="K95" s="5">
        <f>IF(A95="","",I95-B95*H95)</f>
        <v/>
      </c>
      <c r="L95" s="6">
        <f>IF(A95="","",IFERROR(K95/B95,0))</f>
        <v/>
      </c>
      <c r="M95" s="9">
        <f>IF(A95="","",IFERROR(B95/I95,0))</f>
        <v/>
      </c>
      <c r="N95" s="3">
        <f>IF(A95="","",IF(K95&lt;=0,"Drop",IF(J95&gt;=0.65,"Profit product",IF(J95&gt;=0.5,"Traffic product","Thin"))))</f>
        <v/>
      </c>
    </row>
    <row r="96">
      <c r="B96" s="4" t="n"/>
      <c r="C96" s="4" t="n"/>
      <c r="D96" s="4" t="n"/>
      <c r="E96" s="8" t="n"/>
      <c r="F96" s="8" t="n"/>
      <c r="G96" s="8" t="n"/>
      <c r="H96" s="8" t="n"/>
      <c r="I96" s="5">
        <f>IF(A96="","",B96-C96-D96-B96*(E96+F96+G96))</f>
        <v/>
      </c>
      <c r="J96" s="6">
        <f>IF(A96="","",IFERROR(I96/B96,0))</f>
        <v/>
      </c>
      <c r="K96" s="5">
        <f>IF(A96="","",I96-B96*H96)</f>
        <v/>
      </c>
      <c r="L96" s="6">
        <f>IF(A96="","",IFERROR(K96/B96,0))</f>
        <v/>
      </c>
      <c r="M96" s="9">
        <f>IF(A96="","",IFERROR(B96/I96,0))</f>
        <v/>
      </c>
      <c r="N96" s="3">
        <f>IF(A96="","",IF(K96&lt;=0,"Drop",IF(J96&gt;=0.65,"Profit product",IF(J96&gt;=0.5,"Traffic product","Thin"))))</f>
        <v/>
      </c>
    </row>
    <row r="97">
      <c r="B97" s="4" t="n"/>
      <c r="C97" s="4" t="n"/>
      <c r="D97" s="4" t="n"/>
      <c r="E97" s="8" t="n"/>
      <c r="F97" s="8" t="n"/>
      <c r="G97" s="8" t="n"/>
      <c r="H97" s="8" t="n"/>
      <c r="I97" s="5">
        <f>IF(A97="","",B97-C97-D97-B97*(E97+F97+G97))</f>
        <v/>
      </c>
      <c r="J97" s="6">
        <f>IF(A97="","",IFERROR(I97/B97,0))</f>
        <v/>
      </c>
      <c r="K97" s="5">
        <f>IF(A97="","",I97-B97*H97)</f>
        <v/>
      </c>
      <c r="L97" s="6">
        <f>IF(A97="","",IFERROR(K97/B97,0))</f>
        <v/>
      </c>
      <c r="M97" s="9">
        <f>IF(A97="","",IFERROR(B97/I97,0))</f>
        <v/>
      </c>
      <c r="N97" s="3">
        <f>IF(A97="","",IF(K97&lt;=0,"Drop",IF(J97&gt;=0.65,"Profit product",IF(J97&gt;=0.5,"Traffic product","Thin"))))</f>
        <v/>
      </c>
    </row>
    <row r="98">
      <c r="B98" s="4" t="n"/>
      <c r="C98" s="4" t="n"/>
      <c r="D98" s="4" t="n"/>
      <c r="E98" s="8" t="n"/>
      <c r="F98" s="8" t="n"/>
      <c r="G98" s="8" t="n"/>
      <c r="H98" s="8" t="n"/>
      <c r="I98" s="5">
        <f>IF(A98="","",B98-C98-D98-B98*(E98+F98+G98))</f>
        <v/>
      </c>
      <c r="J98" s="6">
        <f>IF(A98="","",IFERROR(I98/B98,0))</f>
        <v/>
      </c>
      <c r="K98" s="5">
        <f>IF(A98="","",I98-B98*H98)</f>
        <v/>
      </c>
      <c r="L98" s="6">
        <f>IF(A98="","",IFERROR(K98/B98,0))</f>
        <v/>
      </c>
      <c r="M98" s="9">
        <f>IF(A98="","",IFERROR(B98/I98,0))</f>
        <v/>
      </c>
      <c r="N98" s="3">
        <f>IF(A98="","",IF(K98&lt;=0,"Drop",IF(J98&gt;=0.65,"Profit product",IF(J98&gt;=0.5,"Traffic product","Thin"))))</f>
        <v/>
      </c>
    </row>
    <row r="99">
      <c r="B99" s="4" t="n"/>
      <c r="C99" s="4" t="n"/>
      <c r="D99" s="4" t="n"/>
      <c r="E99" s="8" t="n"/>
      <c r="F99" s="8" t="n"/>
      <c r="G99" s="8" t="n"/>
      <c r="H99" s="8" t="n"/>
      <c r="I99" s="5">
        <f>IF(A99="","",B99-C99-D99-B99*(E99+F99+G99))</f>
        <v/>
      </c>
      <c r="J99" s="6">
        <f>IF(A99="","",IFERROR(I99/B99,0))</f>
        <v/>
      </c>
      <c r="K99" s="5">
        <f>IF(A99="","",I99-B99*H99)</f>
        <v/>
      </c>
      <c r="L99" s="6">
        <f>IF(A99="","",IFERROR(K99/B99,0))</f>
        <v/>
      </c>
      <c r="M99" s="9">
        <f>IF(A99="","",IFERROR(B99/I99,0))</f>
        <v/>
      </c>
      <c r="N99" s="3">
        <f>IF(A99="","",IF(K99&lt;=0,"Drop",IF(J99&gt;=0.65,"Profit product",IF(J99&gt;=0.5,"Traffic product","Thin"))))</f>
        <v/>
      </c>
    </row>
    <row r="100">
      <c r="B100" s="4" t="n"/>
      <c r="C100" s="4" t="n"/>
      <c r="D100" s="4" t="n"/>
      <c r="E100" s="8" t="n"/>
      <c r="F100" s="8" t="n"/>
      <c r="G100" s="8" t="n"/>
      <c r="H100" s="8" t="n"/>
      <c r="I100" s="5">
        <f>IF(A100="","",B100-C100-D100-B100*(E100+F100+G100))</f>
        <v/>
      </c>
      <c r="J100" s="6">
        <f>IF(A100="","",IFERROR(I100/B100,0))</f>
        <v/>
      </c>
      <c r="K100" s="5">
        <f>IF(A100="","",I100-B100*H100)</f>
        <v/>
      </c>
      <c r="L100" s="6">
        <f>IF(A100="","",IFERROR(K100/B100,0))</f>
        <v/>
      </c>
      <c r="M100" s="9">
        <f>IF(A100="","",IFERROR(B100/I100,0))</f>
        <v/>
      </c>
      <c r="N100" s="3">
        <f>IF(A100="","",IF(K100&lt;=0,"Drop",IF(J100&gt;=0.65,"Profit product",IF(J100&gt;=0.5,"Traffic product","Thin"))))</f>
        <v/>
      </c>
    </row>
    <row r="101">
      <c r="B101" s="4" t="n"/>
      <c r="C101" s="4" t="n"/>
      <c r="D101" s="4" t="n"/>
      <c r="E101" s="8" t="n"/>
      <c r="F101" s="8" t="n"/>
      <c r="G101" s="8" t="n"/>
      <c r="H101" s="8" t="n"/>
      <c r="I101" s="5">
        <f>IF(A101="","",B101-C101-D101-B101*(E101+F101+G101))</f>
        <v/>
      </c>
      <c r="J101" s="6">
        <f>IF(A101="","",IFERROR(I101/B101,0))</f>
        <v/>
      </c>
      <c r="K101" s="5">
        <f>IF(A101="","",I101-B101*H101)</f>
        <v/>
      </c>
      <c r="L101" s="6">
        <f>IF(A101="","",IFERROR(K101/B101,0))</f>
        <v/>
      </c>
      <c r="M101" s="9">
        <f>IF(A101="","",IFERROR(B101/I101,0))</f>
        <v/>
      </c>
      <c r="N101" s="3">
        <f>IF(A101="","",IF(K101&lt;=0,"Drop",IF(J101&gt;=0.65,"Profit product",IF(J101&gt;=0.5,"Traffic product","Thin"))))</f>
        <v/>
      </c>
    </row>
    <row r="102">
      <c r="B102" s="4" t="n"/>
      <c r="C102" s="4" t="n"/>
      <c r="D102" s="4" t="n"/>
      <c r="E102" s="8" t="n"/>
      <c r="F102" s="8" t="n"/>
      <c r="G102" s="8" t="n"/>
      <c r="H102" s="8" t="n"/>
      <c r="I102" s="5">
        <f>IF(A102="","",B102-C102-D102-B102*(E102+F102+G102))</f>
        <v/>
      </c>
      <c r="J102" s="6">
        <f>IF(A102="","",IFERROR(I102/B102,0))</f>
        <v/>
      </c>
      <c r="K102" s="5">
        <f>IF(A102="","",I102-B102*H102)</f>
        <v/>
      </c>
      <c r="L102" s="6">
        <f>IF(A102="","",IFERROR(K102/B102,0))</f>
        <v/>
      </c>
      <c r="M102" s="9">
        <f>IF(A102="","",IFERROR(B102/I102,0))</f>
        <v/>
      </c>
      <c r="N102" s="3">
        <f>IF(A102="","",IF(K102&lt;=0,"Drop",IF(J102&gt;=0.65,"Profit product",IF(J102&gt;=0.5,"Traffic product","Thin"))))</f>
        <v/>
      </c>
    </row>
    <row r="103">
      <c r="B103" s="4" t="n"/>
      <c r="C103" s="4" t="n"/>
      <c r="D103" s="4" t="n"/>
      <c r="E103" s="8" t="n"/>
      <c r="F103" s="8" t="n"/>
      <c r="G103" s="8" t="n"/>
      <c r="H103" s="8" t="n"/>
      <c r="I103" s="5">
        <f>IF(A103="","",B103-C103-D103-B103*(E103+F103+G103))</f>
        <v/>
      </c>
      <c r="J103" s="6">
        <f>IF(A103="","",IFERROR(I103/B103,0))</f>
        <v/>
      </c>
      <c r="K103" s="5">
        <f>IF(A103="","",I103-B103*H103)</f>
        <v/>
      </c>
      <c r="L103" s="6">
        <f>IF(A103="","",IFERROR(K103/B103,0))</f>
        <v/>
      </c>
      <c r="M103" s="9">
        <f>IF(A103="","",IFERROR(B103/I103,0))</f>
        <v/>
      </c>
      <c r="N103" s="3">
        <f>IF(A103="","",IF(K103&lt;=0,"Drop",IF(J103&gt;=0.65,"Profit product",IF(J103&gt;=0.5,"Traffic product","Thin"))))</f>
        <v/>
      </c>
    </row>
    <row r="104">
      <c r="B104" s="4" t="n"/>
      <c r="C104" s="4" t="n"/>
      <c r="D104" s="4" t="n"/>
      <c r="E104" s="8" t="n"/>
      <c r="F104" s="8" t="n"/>
      <c r="G104" s="8" t="n"/>
      <c r="H104" s="8" t="n"/>
      <c r="I104" s="5">
        <f>IF(A104="","",B104-C104-D104-B104*(E104+F104+G104))</f>
        <v/>
      </c>
      <c r="J104" s="6">
        <f>IF(A104="","",IFERROR(I104/B104,0))</f>
        <v/>
      </c>
      <c r="K104" s="5">
        <f>IF(A104="","",I104-B104*H104)</f>
        <v/>
      </c>
      <c r="L104" s="6">
        <f>IF(A104="","",IFERROR(K104/B104,0))</f>
        <v/>
      </c>
      <c r="M104" s="9">
        <f>IF(A104="","",IFERROR(B104/I104,0))</f>
        <v/>
      </c>
      <c r="N104" s="3">
        <f>IF(A104="","",IF(K104&lt;=0,"Drop",IF(J104&gt;=0.65,"Profit product",IF(J104&gt;=0.5,"Traffic product","Thin"))))</f>
        <v/>
      </c>
    </row>
    <row r="105">
      <c r="B105" s="4" t="n"/>
      <c r="C105" s="4" t="n"/>
      <c r="D105" s="4" t="n"/>
      <c r="E105" s="8" t="n"/>
      <c r="F105" s="8" t="n"/>
      <c r="G105" s="8" t="n"/>
      <c r="H105" s="8" t="n"/>
      <c r="I105" s="5">
        <f>IF(A105="","",B105-C105-D105-B105*(E105+F105+G105))</f>
        <v/>
      </c>
      <c r="J105" s="6">
        <f>IF(A105="","",IFERROR(I105/B105,0))</f>
        <v/>
      </c>
      <c r="K105" s="5">
        <f>IF(A105="","",I105-B105*H105)</f>
        <v/>
      </c>
      <c r="L105" s="6">
        <f>IF(A105="","",IFERROR(K105/B105,0))</f>
        <v/>
      </c>
      <c r="M105" s="9">
        <f>IF(A105="","",IFERROR(B105/I105,0))</f>
        <v/>
      </c>
      <c r="N105" s="3">
        <f>IF(A105="","",IF(K105&lt;=0,"Drop",IF(J105&gt;=0.65,"Profit product",IF(J105&gt;=0.5,"Traffic product","Thin"))))</f>
        <v/>
      </c>
    </row>
    <row r="106">
      <c r="B106" s="4" t="n"/>
      <c r="C106" s="4" t="n"/>
      <c r="D106" s="4" t="n"/>
      <c r="E106" s="8" t="n"/>
      <c r="F106" s="8" t="n"/>
      <c r="G106" s="8" t="n"/>
      <c r="H106" s="8" t="n"/>
      <c r="I106" s="5">
        <f>IF(A106="","",B106-C106-D106-B106*(E106+F106+G106))</f>
        <v/>
      </c>
      <c r="J106" s="6">
        <f>IF(A106="","",IFERROR(I106/B106,0))</f>
        <v/>
      </c>
      <c r="K106" s="5">
        <f>IF(A106="","",I106-B106*H106)</f>
        <v/>
      </c>
      <c r="L106" s="6">
        <f>IF(A106="","",IFERROR(K106/B106,0))</f>
        <v/>
      </c>
      <c r="M106" s="9">
        <f>IF(A106="","",IFERROR(B106/I106,0))</f>
        <v/>
      </c>
      <c r="N106" s="3">
        <f>IF(A106="","",IF(K106&lt;=0,"Drop",IF(J106&gt;=0.65,"Profit product",IF(J106&gt;=0.5,"Traffic product","Thin"))))</f>
        <v/>
      </c>
    </row>
    <row r="107">
      <c r="B107" s="4" t="n"/>
      <c r="C107" s="4" t="n"/>
      <c r="D107" s="4" t="n"/>
      <c r="E107" s="8" t="n"/>
      <c r="F107" s="8" t="n"/>
      <c r="G107" s="8" t="n"/>
      <c r="H107" s="8" t="n"/>
      <c r="I107" s="5">
        <f>IF(A107="","",B107-C107-D107-B107*(E107+F107+G107))</f>
        <v/>
      </c>
      <c r="J107" s="6">
        <f>IF(A107="","",IFERROR(I107/B107,0))</f>
        <v/>
      </c>
      <c r="K107" s="5">
        <f>IF(A107="","",I107-B107*H107)</f>
        <v/>
      </c>
      <c r="L107" s="6">
        <f>IF(A107="","",IFERROR(K107/B107,0))</f>
        <v/>
      </c>
      <c r="M107" s="9">
        <f>IF(A107="","",IFERROR(B107/I107,0))</f>
        <v/>
      </c>
      <c r="N107" s="3">
        <f>IF(A107="","",IF(K107&lt;=0,"Drop",IF(J107&gt;=0.65,"Profit product",IF(J107&gt;=0.5,"Traffic product","Thin"))))</f>
        <v/>
      </c>
    </row>
    <row r="108">
      <c r="B108" s="4" t="n"/>
      <c r="C108" s="4" t="n"/>
      <c r="D108" s="4" t="n"/>
      <c r="E108" s="8" t="n"/>
      <c r="F108" s="8" t="n"/>
      <c r="G108" s="8" t="n"/>
      <c r="H108" s="8" t="n"/>
      <c r="I108" s="5">
        <f>IF(A108="","",B108-C108-D108-B108*(E108+F108+G108))</f>
        <v/>
      </c>
      <c r="J108" s="6">
        <f>IF(A108="","",IFERROR(I108/B108,0))</f>
        <v/>
      </c>
      <c r="K108" s="5">
        <f>IF(A108="","",I108-B108*H108)</f>
        <v/>
      </c>
      <c r="L108" s="6">
        <f>IF(A108="","",IFERROR(K108/B108,0))</f>
        <v/>
      </c>
      <c r="M108" s="9">
        <f>IF(A108="","",IFERROR(B108/I108,0))</f>
        <v/>
      </c>
      <c r="N108" s="3">
        <f>IF(A108="","",IF(K108&lt;=0,"Drop",IF(J108&gt;=0.65,"Profit product",IF(J108&gt;=0.5,"Traffic product","Thin"))))</f>
        <v/>
      </c>
    </row>
    <row r="109">
      <c r="B109" s="4" t="n"/>
      <c r="C109" s="4" t="n"/>
      <c r="D109" s="4" t="n"/>
      <c r="E109" s="8" t="n"/>
      <c r="F109" s="8" t="n"/>
      <c r="G109" s="8" t="n"/>
      <c r="H109" s="8" t="n"/>
      <c r="I109" s="5">
        <f>IF(A109="","",B109-C109-D109-B109*(E109+F109+G109))</f>
        <v/>
      </c>
      <c r="J109" s="6">
        <f>IF(A109="","",IFERROR(I109/B109,0))</f>
        <v/>
      </c>
      <c r="K109" s="5">
        <f>IF(A109="","",I109-B109*H109)</f>
        <v/>
      </c>
      <c r="L109" s="6">
        <f>IF(A109="","",IFERROR(K109/B109,0))</f>
        <v/>
      </c>
      <c r="M109" s="9">
        <f>IF(A109="","",IFERROR(B109/I109,0))</f>
        <v/>
      </c>
      <c r="N109" s="3">
        <f>IF(A109="","",IF(K109&lt;=0,"Drop",IF(J109&gt;=0.65,"Profit product",IF(J109&gt;=0.5,"Traffic product","Thin"))))</f>
        <v/>
      </c>
    </row>
    <row r="110">
      <c r="B110" s="4" t="n"/>
      <c r="C110" s="4" t="n"/>
      <c r="D110" s="4" t="n"/>
      <c r="E110" s="8" t="n"/>
      <c r="F110" s="8" t="n"/>
      <c r="G110" s="8" t="n"/>
      <c r="H110" s="8" t="n"/>
      <c r="I110" s="5">
        <f>IF(A110="","",B110-C110-D110-B110*(E110+F110+G110))</f>
        <v/>
      </c>
      <c r="J110" s="6">
        <f>IF(A110="","",IFERROR(I110/B110,0))</f>
        <v/>
      </c>
      <c r="K110" s="5">
        <f>IF(A110="","",I110-B110*H110)</f>
        <v/>
      </c>
      <c r="L110" s="6">
        <f>IF(A110="","",IFERROR(K110/B110,0))</f>
        <v/>
      </c>
      <c r="M110" s="9">
        <f>IF(A110="","",IFERROR(B110/I110,0))</f>
        <v/>
      </c>
      <c r="N110" s="3">
        <f>IF(A110="","",IF(K110&lt;=0,"Drop",IF(J110&gt;=0.65,"Profit product",IF(J110&gt;=0.5,"Traffic product","Thin"))))</f>
        <v/>
      </c>
    </row>
    <row r="111">
      <c r="B111" s="4" t="n"/>
      <c r="C111" s="4" t="n"/>
      <c r="D111" s="4" t="n"/>
      <c r="E111" s="8" t="n"/>
      <c r="F111" s="8" t="n"/>
      <c r="G111" s="8" t="n"/>
      <c r="H111" s="8" t="n"/>
      <c r="I111" s="5">
        <f>IF(A111="","",B111-C111-D111-B111*(E111+F111+G111))</f>
        <v/>
      </c>
      <c r="J111" s="6">
        <f>IF(A111="","",IFERROR(I111/B111,0))</f>
        <v/>
      </c>
      <c r="K111" s="5">
        <f>IF(A111="","",I111-B111*H111)</f>
        <v/>
      </c>
      <c r="L111" s="6">
        <f>IF(A111="","",IFERROR(K111/B111,0))</f>
        <v/>
      </c>
      <c r="M111" s="9">
        <f>IF(A111="","",IFERROR(B111/I111,0))</f>
        <v/>
      </c>
      <c r="N111" s="3">
        <f>IF(A111="","",IF(K111&lt;=0,"Drop",IF(J111&gt;=0.65,"Profit product",IF(J111&gt;=0.5,"Traffic product","Thin"))))</f>
        <v/>
      </c>
    </row>
    <row r="112">
      <c r="B112" s="4" t="n"/>
      <c r="C112" s="4" t="n"/>
      <c r="D112" s="4" t="n"/>
      <c r="E112" s="8" t="n"/>
      <c r="F112" s="8" t="n"/>
      <c r="G112" s="8" t="n"/>
      <c r="H112" s="8" t="n"/>
      <c r="I112" s="5">
        <f>IF(A112="","",B112-C112-D112-B112*(E112+F112+G112))</f>
        <v/>
      </c>
      <c r="J112" s="6">
        <f>IF(A112="","",IFERROR(I112/B112,0))</f>
        <v/>
      </c>
      <c r="K112" s="5">
        <f>IF(A112="","",I112-B112*H112)</f>
        <v/>
      </c>
      <c r="L112" s="6">
        <f>IF(A112="","",IFERROR(K112/B112,0))</f>
        <v/>
      </c>
      <c r="M112" s="9">
        <f>IF(A112="","",IFERROR(B112/I112,0))</f>
        <v/>
      </c>
      <c r="N112" s="3">
        <f>IF(A112="","",IF(K112&lt;=0,"Drop",IF(J112&gt;=0.65,"Profit product",IF(J112&gt;=0.5,"Traffic product","Thin"))))</f>
        <v/>
      </c>
    </row>
    <row r="113">
      <c r="B113" s="4" t="n"/>
      <c r="C113" s="4" t="n"/>
      <c r="D113" s="4" t="n"/>
      <c r="E113" s="8" t="n"/>
      <c r="F113" s="8" t="n"/>
      <c r="G113" s="8" t="n"/>
      <c r="H113" s="8" t="n"/>
      <c r="I113" s="5">
        <f>IF(A113="","",B113-C113-D113-B113*(E113+F113+G113))</f>
        <v/>
      </c>
      <c r="J113" s="6">
        <f>IF(A113="","",IFERROR(I113/B113,0))</f>
        <v/>
      </c>
      <c r="K113" s="5">
        <f>IF(A113="","",I113-B113*H113)</f>
        <v/>
      </c>
      <c r="L113" s="6">
        <f>IF(A113="","",IFERROR(K113/B113,0))</f>
        <v/>
      </c>
      <c r="M113" s="9">
        <f>IF(A113="","",IFERROR(B113/I113,0))</f>
        <v/>
      </c>
      <c r="N113" s="3">
        <f>IF(A113="","",IF(K113&lt;=0,"Drop",IF(J113&gt;=0.65,"Profit product",IF(J113&gt;=0.5,"Traffic product","Thin"))))</f>
        <v/>
      </c>
    </row>
    <row r="114">
      <c r="B114" s="4" t="n"/>
      <c r="C114" s="4" t="n"/>
      <c r="D114" s="4" t="n"/>
      <c r="E114" s="8" t="n"/>
      <c r="F114" s="8" t="n"/>
      <c r="G114" s="8" t="n"/>
      <c r="H114" s="8" t="n"/>
      <c r="I114" s="5">
        <f>IF(A114="","",B114-C114-D114-B114*(E114+F114+G114))</f>
        <v/>
      </c>
      <c r="J114" s="6">
        <f>IF(A114="","",IFERROR(I114/B114,0))</f>
        <v/>
      </c>
      <c r="K114" s="5">
        <f>IF(A114="","",I114-B114*H114)</f>
        <v/>
      </c>
      <c r="L114" s="6">
        <f>IF(A114="","",IFERROR(K114/B114,0))</f>
        <v/>
      </c>
      <c r="M114" s="9">
        <f>IF(A114="","",IFERROR(B114/I114,0))</f>
        <v/>
      </c>
      <c r="N114" s="3">
        <f>IF(A114="","",IF(K114&lt;=0,"Drop",IF(J114&gt;=0.65,"Profit product",IF(J114&gt;=0.5,"Traffic product","Thin"))))</f>
        <v/>
      </c>
    </row>
    <row r="115">
      <c r="B115" s="4" t="n"/>
      <c r="C115" s="4" t="n"/>
      <c r="D115" s="4" t="n"/>
      <c r="E115" s="8" t="n"/>
      <c r="F115" s="8" t="n"/>
      <c r="G115" s="8" t="n"/>
      <c r="H115" s="8" t="n"/>
      <c r="I115" s="5">
        <f>IF(A115="","",B115-C115-D115-B115*(E115+F115+G115))</f>
        <v/>
      </c>
      <c r="J115" s="6">
        <f>IF(A115="","",IFERROR(I115/B115,0))</f>
        <v/>
      </c>
      <c r="K115" s="5">
        <f>IF(A115="","",I115-B115*H115)</f>
        <v/>
      </c>
      <c r="L115" s="6">
        <f>IF(A115="","",IFERROR(K115/B115,0))</f>
        <v/>
      </c>
      <c r="M115" s="9">
        <f>IF(A115="","",IFERROR(B115/I115,0))</f>
        <v/>
      </c>
      <c r="N115" s="3">
        <f>IF(A115="","",IF(K115&lt;=0,"Drop",IF(J115&gt;=0.65,"Profit product",IF(J115&gt;=0.5,"Traffic product","Thin"))))</f>
        <v/>
      </c>
    </row>
    <row r="116">
      <c r="B116" s="4" t="n"/>
      <c r="C116" s="4" t="n"/>
      <c r="D116" s="4" t="n"/>
      <c r="E116" s="8" t="n"/>
      <c r="F116" s="8" t="n"/>
      <c r="G116" s="8" t="n"/>
      <c r="H116" s="8" t="n"/>
      <c r="I116" s="5">
        <f>IF(A116="","",B116-C116-D116-B116*(E116+F116+G116))</f>
        <v/>
      </c>
      <c r="J116" s="6">
        <f>IF(A116="","",IFERROR(I116/B116,0))</f>
        <v/>
      </c>
      <c r="K116" s="5">
        <f>IF(A116="","",I116-B116*H116)</f>
        <v/>
      </c>
      <c r="L116" s="6">
        <f>IF(A116="","",IFERROR(K116/B116,0))</f>
        <v/>
      </c>
      <c r="M116" s="9">
        <f>IF(A116="","",IFERROR(B116/I116,0))</f>
        <v/>
      </c>
      <c r="N116" s="3">
        <f>IF(A116="","",IF(K116&lt;=0,"Drop",IF(J116&gt;=0.65,"Profit product",IF(J116&gt;=0.5,"Traffic product","Thin"))))</f>
        <v/>
      </c>
    </row>
    <row r="117">
      <c r="B117" s="4" t="n"/>
      <c r="C117" s="4" t="n"/>
      <c r="D117" s="4" t="n"/>
      <c r="E117" s="8" t="n"/>
      <c r="F117" s="8" t="n"/>
      <c r="G117" s="8" t="n"/>
      <c r="H117" s="8" t="n"/>
      <c r="I117" s="5">
        <f>IF(A117="","",B117-C117-D117-B117*(E117+F117+G117))</f>
        <v/>
      </c>
      <c r="J117" s="6">
        <f>IF(A117="","",IFERROR(I117/B117,0))</f>
        <v/>
      </c>
      <c r="K117" s="5">
        <f>IF(A117="","",I117-B117*H117)</f>
        <v/>
      </c>
      <c r="L117" s="6">
        <f>IF(A117="","",IFERROR(K117/B117,0))</f>
        <v/>
      </c>
      <c r="M117" s="9">
        <f>IF(A117="","",IFERROR(B117/I117,0))</f>
        <v/>
      </c>
      <c r="N117" s="3">
        <f>IF(A117="","",IF(K117&lt;=0,"Drop",IF(J117&gt;=0.65,"Profit product",IF(J117&gt;=0.5,"Traffic product","Thin"))))</f>
        <v/>
      </c>
    </row>
    <row r="118">
      <c r="B118" s="4" t="n"/>
      <c r="C118" s="4" t="n"/>
      <c r="D118" s="4" t="n"/>
      <c r="E118" s="8" t="n"/>
      <c r="F118" s="8" t="n"/>
      <c r="G118" s="8" t="n"/>
      <c r="H118" s="8" t="n"/>
      <c r="I118" s="5">
        <f>IF(A118="","",B118-C118-D118-B118*(E118+F118+G118))</f>
        <v/>
      </c>
      <c r="J118" s="6">
        <f>IF(A118="","",IFERROR(I118/B118,0))</f>
        <v/>
      </c>
      <c r="K118" s="5">
        <f>IF(A118="","",I118-B118*H118)</f>
        <v/>
      </c>
      <c r="L118" s="6">
        <f>IF(A118="","",IFERROR(K118/B118,0))</f>
        <v/>
      </c>
      <c r="M118" s="9">
        <f>IF(A118="","",IFERROR(B118/I118,0))</f>
        <v/>
      </c>
      <c r="N118" s="3">
        <f>IF(A118="","",IF(K118&lt;=0,"Drop",IF(J118&gt;=0.65,"Profit product",IF(J118&gt;=0.5,"Traffic product","Thin"))))</f>
        <v/>
      </c>
    </row>
    <row r="119">
      <c r="B119" s="4" t="n"/>
      <c r="C119" s="4" t="n"/>
      <c r="D119" s="4" t="n"/>
      <c r="E119" s="8" t="n"/>
      <c r="F119" s="8" t="n"/>
      <c r="G119" s="8" t="n"/>
      <c r="H119" s="8" t="n"/>
      <c r="I119" s="5">
        <f>IF(A119="","",B119-C119-D119-B119*(E119+F119+G119))</f>
        <v/>
      </c>
      <c r="J119" s="6">
        <f>IF(A119="","",IFERROR(I119/B119,0))</f>
        <v/>
      </c>
      <c r="K119" s="5">
        <f>IF(A119="","",I119-B119*H119)</f>
        <v/>
      </c>
      <c r="L119" s="6">
        <f>IF(A119="","",IFERROR(K119/B119,0))</f>
        <v/>
      </c>
      <c r="M119" s="9">
        <f>IF(A119="","",IFERROR(B119/I119,0))</f>
        <v/>
      </c>
      <c r="N119" s="3">
        <f>IF(A119="","",IF(K119&lt;=0,"Drop",IF(J119&gt;=0.65,"Profit product",IF(J119&gt;=0.5,"Traffic product","Thin"))))</f>
        <v/>
      </c>
    </row>
    <row r="120">
      <c r="B120" s="4" t="n"/>
      <c r="C120" s="4" t="n"/>
      <c r="D120" s="4" t="n"/>
      <c r="E120" s="8" t="n"/>
      <c r="F120" s="8" t="n"/>
      <c r="G120" s="8" t="n"/>
      <c r="H120" s="8" t="n"/>
      <c r="I120" s="5">
        <f>IF(A120="","",B120-C120-D120-B120*(E120+F120+G120))</f>
        <v/>
      </c>
      <c r="J120" s="6">
        <f>IF(A120="","",IFERROR(I120/B120,0))</f>
        <v/>
      </c>
      <c r="K120" s="5">
        <f>IF(A120="","",I120-B120*H120)</f>
        <v/>
      </c>
      <c r="L120" s="6">
        <f>IF(A120="","",IFERROR(K120/B120,0))</f>
        <v/>
      </c>
      <c r="M120" s="9">
        <f>IF(A120="","",IFERROR(B120/I120,0))</f>
        <v/>
      </c>
      <c r="N120" s="3">
        <f>IF(A120="","",IF(K120&lt;=0,"Drop",IF(J120&gt;=0.65,"Profit product",IF(J120&gt;=0.5,"Traffic product","Thin"))))</f>
        <v/>
      </c>
    </row>
    <row r="121">
      <c r="B121" s="4" t="n"/>
      <c r="C121" s="4" t="n"/>
      <c r="D121" s="4" t="n"/>
      <c r="E121" s="8" t="n"/>
      <c r="F121" s="8" t="n"/>
      <c r="G121" s="8" t="n"/>
      <c r="H121" s="8" t="n"/>
      <c r="I121" s="5">
        <f>IF(A121="","",B121-C121-D121-B121*(E121+F121+G121))</f>
        <v/>
      </c>
      <c r="J121" s="6">
        <f>IF(A121="","",IFERROR(I121/B121,0))</f>
        <v/>
      </c>
      <c r="K121" s="5">
        <f>IF(A121="","",I121-B121*H121)</f>
        <v/>
      </c>
      <c r="L121" s="6">
        <f>IF(A121="","",IFERROR(K121/B121,0))</f>
        <v/>
      </c>
      <c r="M121" s="9">
        <f>IF(A121="","",IFERROR(B121/I121,0))</f>
        <v/>
      </c>
      <c r="N121" s="3">
        <f>IF(A121="","",IF(K121&lt;=0,"Drop",IF(J121&gt;=0.65,"Profit product",IF(J121&gt;=0.5,"Traffic product","Thin"))))</f>
        <v/>
      </c>
    </row>
    <row r="122">
      <c r="B122" s="4" t="n"/>
      <c r="C122" s="4" t="n"/>
      <c r="D122" s="4" t="n"/>
      <c r="E122" s="8" t="n"/>
      <c r="F122" s="8" t="n"/>
      <c r="G122" s="8" t="n"/>
      <c r="H122" s="8" t="n"/>
      <c r="I122" s="5">
        <f>IF(A122="","",B122-C122-D122-B122*(E122+F122+G122))</f>
        <v/>
      </c>
      <c r="J122" s="6">
        <f>IF(A122="","",IFERROR(I122/B122,0))</f>
        <v/>
      </c>
      <c r="K122" s="5">
        <f>IF(A122="","",I122-B122*H122)</f>
        <v/>
      </c>
      <c r="L122" s="6">
        <f>IF(A122="","",IFERROR(K122/B122,0))</f>
        <v/>
      </c>
      <c r="M122" s="9">
        <f>IF(A122="","",IFERROR(B122/I122,0))</f>
        <v/>
      </c>
      <c r="N122" s="3">
        <f>IF(A122="","",IF(K122&lt;=0,"Drop",IF(J122&gt;=0.65,"Profit product",IF(J122&gt;=0.5,"Traffic product","Thin"))))</f>
        <v/>
      </c>
    </row>
    <row r="123">
      <c r="B123" s="4" t="n"/>
      <c r="C123" s="4" t="n"/>
      <c r="D123" s="4" t="n"/>
      <c r="E123" s="8" t="n"/>
      <c r="F123" s="8" t="n"/>
      <c r="G123" s="8" t="n"/>
      <c r="H123" s="8" t="n"/>
      <c r="I123" s="5">
        <f>IF(A123="","",B123-C123-D123-B123*(E123+F123+G123))</f>
        <v/>
      </c>
      <c r="J123" s="6">
        <f>IF(A123="","",IFERROR(I123/B123,0))</f>
        <v/>
      </c>
      <c r="K123" s="5">
        <f>IF(A123="","",I123-B123*H123)</f>
        <v/>
      </c>
      <c r="L123" s="6">
        <f>IF(A123="","",IFERROR(K123/B123,0))</f>
        <v/>
      </c>
      <c r="M123" s="9">
        <f>IF(A123="","",IFERROR(B123/I123,0))</f>
        <v/>
      </c>
      <c r="N123" s="3">
        <f>IF(A123="","",IF(K123&lt;=0,"Drop",IF(J123&gt;=0.65,"Profit product",IF(J123&gt;=0.5,"Traffic product","Thin"))))</f>
        <v/>
      </c>
    </row>
    <row r="124">
      <c r="B124" s="4" t="n"/>
      <c r="C124" s="4" t="n"/>
      <c r="D124" s="4" t="n"/>
      <c r="E124" s="8" t="n"/>
      <c r="F124" s="8" t="n"/>
      <c r="G124" s="8" t="n"/>
      <c r="H124" s="8" t="n"/>
      <c r="I124" s="5">
        <f>IF(A124="","",B124-C124-D124-B124*(E124+F124+G124))</f>
        <v/>
      </c>
      <c r="J124" s="6">
        <f>IF(A124="","",IFERROR(I124/B124,0))</f>
        <v/>
      </c>
      <c r="K124" s="5">
        <f>IF(A124="","",I124-B124*H124)</f>
        <v/>
      </c>
      <c r="L124" s="6">
        <f>IF(A124="","",IFERROR(K124/B124,0))</f>
        <v/>
      </c>
      <c r="M124" s="9">
        <f>IF(A124="","",IFERROR(B124/I124,0))</f>
        <v/>
      </c>
      <c r="N124" s="3">
        <f>IF(A124="","",IF(K124&lt;=0,"Drop",IF(J124&gt;=0.65,"Profit product",IF(J124&gt;=0.5,"Traffic product","Thin"))))</f>
        <v/>
      </c>
    </row>
    <row r="125">
      <c r="B125" s="4" t="n"/>
      <c r="C125" s="4" t="n"/>
      <c r="D125" s="4" t="n"/>
      <c r="E125" s="8" t="n"/>
      <c r="F125" s="8" t="n"/>
      <c r="G125" s="8" t="n"/>
      <c r="H125" s="8" t="n"/>
      <c r="I125" s="5">
        <f>IF(A125="","",B125-C125-D125-B125*(E125+F125+G125))</f>
        <v/>
      </c>
      <c r="J125" s="6">
        <f>IF(A125="","",IFERROR(I125/B125,0))</f>
        <v/>
      </c>
      <c r="K125" s="5">
        <f>IF(A125="","",I125-B125*H125)</f>
        <v/>
      </c>
      <c r="L125" s="6">
        <f>IF(A125="","",IFERROR(K125/B125,0))</f>
        <v/>
      </c>
      <c r="M125" s="9">
        <f>IF(A125="","",IFERROR(B125/I125,0))</f>
        <v/>
      </c>
      <c r="N125" s="3">
        <f>IF(A125="","",IF(K125&lt;=0,"Drop",IF(J125&gt;=0.65,"Profit product",IF(J125&gt;=0.5,"Traffic product","Thin"))))</f>
        <v/>
      </c>
    </row>
    <row r="126">
      <c r="B126" s="4" t="n"/>
      <c r="C126" s="4" t="n"/>
      <c r="D126" s="4" t="n"/>
      <c r="E126" s="8" t="n"/>
      <c r="F126" s="8" t="n"/>
      <c r="G126" s="8" t="n"/>
      <c r="H126" s="8" t="n"/>
      <c r="I126" s="5">
        <f>IF(A126="","",B126-C126-D126-B126*(E126+F126+G126))</f>
        <v/>
      </c>
      <c r="J126" s="6">
        <f>IF(A126="","",IFERROR(I126/B126,0))</f>
        <v/>
      </c>
      <c r="K126" s="5">
        <f>IF(A126="","",I126-B126*H126)</f>
        <v/>
      </c>
      <c r="L126" s="6">
        <f>IF(A126="","",IFERROR(K126/B126,0))</f>
        <v/>
      </c>
      <c r="M126" s="9">
        <f>IF(A126="","",IFERROR(B126/I126,0))</f>
        <v/>
      </c>
      <c r="N126" s="3">
        <f>IF(A126="","",IF(K126&lt;=0,"Drop",IF(J126&gt;=0.65,"Profit product",IF(J126&gt;=0.5,"Traffic product","Thin"))))</f>
        <v/>
      </c>
    </row>
    <row r="127">
      <c r="B127" s="4" t="n"/>
      <c r="C127" s="4" t="n"/>
      <c r="D127" s="4" t="n"/>
      <c r="E127" s="8" t="n"/>
      <c r="F127" s="8" t="n"/>
      <c r="G127" s="8" t="n"/>
      <c r="H127" s="8" t="n"/>
      <c r="I127" s="5">
        <f>IF(A127="","",B127-C127-D127-B127*(E127+F127+G127))</f>
        <v/>
      </c>
      <c r="J127" s="6">
        <f>IF(A127="","",IFERROR(I127/B127,0))</f>
        <v/>
      </c>
      <c r="K127" s="5">
        <f>IF(A127="","",I127-B127*H127)</f>
        <v/>
      </c>
      <c r="L127" s="6">
        <f>IF(A127="","",IFERROR(K127/B127,0))</f>
        <v/>
      </c>
      <c r="M127" s="9">
        <f>IF(A127="","",IFERROR(B127/I127,0))</f>
        <v/>
      </c>
      <c r="N127" s="3">
        <f>IF(A127="","",IF(K127&lt;=0,"Drop",IF(J127&gt;=0.65,"Profit product",IF(J127&gt;=0.5,"Traffic product","Thin"))))</f>
        <v/>
      </c>
    </row>
    <row r="128">
      <c r="B128" s="4" t="n"/>
      <c r="C128" s="4" t="n"/>
      <c r="D128" s="4" t="n"/>
      <c r="E128" s="8" t="n"/>
      <c r="F128" s="8" t="n"/>
      <c r="G128" s="8" t="n"/>
      <c r="H128" s="8" t="n"/>
      <c r="I128" s="5">
        <f>IF(A128="","",B128-C128-D128-B128*(E128+F128+G128))</f>
        <v/>
      </c>
      <c r="J128" s="6">
        <f>IF(A128="","",IFERROR(I128/B128,0))</f>
        <v/>
      </c>
      <c r="K128" s="5">
        <f>IF(A128="","",I128-B128*H128)</f>
        <v/>
      </c>
      <c r="L128" s="6">
        <f>IF(A128="","",IFERROR(K128/B128,0))</f>
        <v/>
      </c>
      <c r="M128" s="9">
        <f>IF(A128="","",IFERROR(B128/I128,0))</f>
        <v/>
      </c>
      <c r="N128" s="3">
        <f>IF(A128="","",IF(K128&lt;=0,"Drop",IF(J128&gt;=0.65,"Profit product",IF(J128&gt;=0.5,"Traffic product","Thin"))))</f>
        <v/>
      </c>
    </row>
    <row r="129">
      <c r="B129" s="4" t="n"/>
      <c r="C129" s="4" t="n"/>
      <c r="D129" s="4" t="n"/>
      <c r="E129" s="8" t="n"/>
      <c r="F129" s="8" t="n"/>
      <c r="G129" s="8" t="n"/>
      <c r="H129" s="8" t="n"/>
      <c r="I129" s="5">
        <f>IF(A129="","",B129-C129-D129-B129*(E129+F129+G129))</f>
        <v/>
      </c>
      <c r="J129" s="6">
        <f>IF(A129="","",IFERROR(I129/B129,0))</f>
        <v/>
      </c>
      <c r="K129" s="5">
        <f>IF(A129="","",I129-B129*H129)</f>
        <v/>
      </c>
      <c r="L129" s="6">
        <f>IF(A129="","",IFERROR(K129/B129,0))</f>
        <v/>
      </c>
      <c r="M129" s="9">
        <f>IF(A129="","",IFERROR(B129/I129,0))</f>
        <v/>
      </c>
      <c r="N129" s="3">
        <f>IF(A129="","",IF(K129&lt;=0,"Drop",IF(J129&gt;=0.65,"Profit product",IF(J129&gt;=0.5,"Traffic product","Thin"))))</f>
        <v/>
      </c>
    </row>
    <row r="130">
      <c r="B130" s="4" t="n"/>
      <c r="C130" s="4" t="n"/>
      <c r="D130" s="4" t="n"/>
      <c r="E130" s="8" t="n"/>
      <c r="F130" s="8" t="n"/>
      <c r="G130" s="8" t="n"/>
      <c r="H130" s="8" t="n"/>
      <c r="I130" s="5">
        <f>IF(A130="","",B130-C130-D130-B130*(E130+F130+G130))</f>
        <v/>
      </c>
      <c r="J130" s="6">
        <f>IF(A130="","",IFERROR(I130/B130,0))</f>
        <v/>
      </c>
      <c r="K130" s="5">
        <f>IF(A130="","",I130-B130*H130)</f>
        <v/>
      </c>
      <c r="L130" s="6">
        <f>IF(A130="","",IFERROR(K130/B130,0))</f>
        <v/>
      </c>
      <c r="M130" s="9">
        <f>IF(A130="","",IFERROR(B130/I130,0))</f>
        <v/>
      </c>
      <c r="N130" s="3">
        <f>IF(A130="","",IF(K130&lt;=0,"Drop",IF(J130&gt;=0.65,"Profit product",IF(J130&gt;=0.5,"Traffic product","Thin"))))</f>
        <v/>
      </c>
    </row>
    <row r="131">
      <c r="B131" s="4" t="n"/>
      <c r="C131" s="4" t="n"/>
      <c r="D131" s="4" t="n"/>
      <c r="E131" s="8" t="n"/>
      <c r="F131" s="8" t="n"/>
      <c r="G131" s="8" t="n"/>
      <c r="H131" s="8" t="n"/>
      <c r="I131" s="5">
        <f>IF(A131="","",B131-C131-D131-B131*(E131+F131+G131))</f>
        <v/>
      </c>
      <c r="J131" s="6">
        <f>IF(A131="","",IFERROR(I131/B131,0))</f>
        <v/>
      </c>
      <c r="K131" s="5">
        <f>IF(A131="","",I131-B131*H131)</f>
        <v/>
      </c>
      <c r="L131" s="6">
        <f>IF(A131="","",IFERROR(K131/B131,0))</f>
        <v/>
      </c>
      <c r="M131" s="9">
        <f>IF(A131="","",IFERROR(B131/I131,0))</f>
        <v/>
      </c>
      <c r="N131" s="3">
        <f>IF(A131="","",IF(K131&lt;=0,"Drop",IF(J131&gt;=0.65,"Profit product",IF(J131&gt;=0.5,"Traffic product","Thin"))))</f>
        <v/>
      </c>
    </row>
    <row r="132">
      <c r="B132" s="4" t="n"/>
      <c r="C132" s="4" t="n"/>
      <c r="D132" s="4" t="n"/>
      <c r="E132" s="8" t="n"/>
      <c r="F132" s="8" t="n"/>
      <c r="G132" s="8" t="n"/>
      <c r="H132" s="8" t="n"/>
      <c r="I132" s="5">
        <f>IF(A132="","",B132-C132-D132-B132*(E132+F132+G132))</f>
        <v/>
      </c>
      <c r="J132" s="6">
        <f>IF(A132="","",IFERROR(I132/B132,0))</f>
        <v/>
      </c>
      <c r="K132" s="5">
        <f>IF(A132="","",I132-B132*H132)</f>
        <v/>
      </c>
      <c r="L132" s="6">
        <f>IF(A132="","",IFERROR(K132/B132,0))</f>
        <v/>
      </c>
      <c r="M132" s="9">
        <f>IF(A132="","",IFERROR(B132/I132,0))</f>
        <v/>
      </c>
      <c r="N132" s="3">
        <f>IF(A132="","",IF(K132&lt;=0,"Drop",IF(J132&gt;=0.65,"Profit product",IF(J132&gt;=0.5,"Traffic product","Thin"))))</f>
        <v/>
      </c>
    </row>
    <row r="133">
      <c r="B133" s="4" t="n"/>
      <c r="C133" s="4" t="n"/>
      <c r="D133" s="4" t="n"/>
      <c r="E133" s="8" t="n"/>
      <c r="F133" s="8" t="n"/>
      <c r="G133" s="8" t="n"/>
      <c r="H133" s="8" t="n"/>
      <c r="I133" s="5">
        <f>IF(A133="","",B133-C133-D133-B133*(E133+F133+G133))</f>
        <v/>
      </c>
      <c r="J133" s="6">
        <f>IF(A133="","",IFERROR(I133/B133,0))</f>
        <v/>
      </c>
      <c r="K133" s="5">
        <f>IF(A133="","",I133-B133*H133)</f>
        <v/>
      </c>
      <c r="L133" s="6">
        <f>IF(A133="","",IFERROR(K133/B133,0))</f>
        <v/>
      </c>
      <c r="M133" s="9">
        <f>IF(A133="","",IFERROR(B133/I133,0))</f>
        <v/>
      </c>
      <c r="N133" s="3">
        <f>IF(A133="","",IF(K133&lt;=0,"Drop",IF(J133&gt;=0.65,"Profit product",IF(J133&gt;=0.5,"Traffic product","Thin"))))</f>
        <v/>
      </c>
    </row>
    <row r="134">
      <c r="B134" s="4" t="n"/>
      <c r="C134" s="4" t="n"/>
      <c r="D134" s="4" t="n"/>
      <c r="E134" s="8" t="n"/>
      <c r="F134" s="8" t="n"/>
      <c r="G134" s="8" t="n"/>
      <c r="H134" s="8" t="n"/>
      <c r="I134" s="5">
        <f>IF(A134="","",B134-C134-D134-B134*(E134+F134+G134))</f>
        <v/>
      </c>
      <c r="J134" s="6">
        <f>IF(A134="","",IFERROR(I134/B134,0))</f>
        <v/>
      </c>
      <c r="K134" s="5">
        <f>IF(A134="","",I134-B134*H134)</f>
        <v/>
      </c>
      <c r="L134" s="6">
        <f>IF(A134="","",IFERROR(K134/B134,0))</f>
        <v/>
      </c>
      <c r="M134" s="9">
        <f>IF(A134="","",IFERROR(B134/I134,0))</f>
        <v/>
      </c>
      <c r="N134" s="3">
        <f>IF(A134="","",IF(K134&lt;=0,"Drop",IF(J134&gt;=0.65,"Profit product",IF(J134&gt;=0.5,"Traffic product","Thin"))))</f>
        <v/>
      </c>
    </row>
    <row r="135">
      <c r="B135" s="4" t="n"/>
      <c r="C135" s="4" t="n"/>
      <c r="D135" s="4" t="n"/>
      <c r="E135" s="8" t="n"/>
      <c r="F135" s="8" t="n"/>
      <c r="G135" s="8" t="n"/>
      <c r="H135" s="8" t="n"/>
      <c r="I135" s="5">
        <f>IF(A135="","",B135-C135-D135-B135*(E135+F135+G135))</f>
        <v/>
      </c>
      <c r="J135" s="6">
        <f>IF(A135="","",IFERROR(I135/B135,0))</f>
        <v/>
      </c>
      <c r="K135" s="5">
        <f>IF(A135="","",I135-B135*H135)</f>
        <v/>
      </c>
      <c r="L135" s="6">
        <f>IF(A135="","",IFERROR(K135/B135,0))</f>
        <v/>
      </c>
      <c r="M135" s="9">
        <f>IF(A135="","",IFERROR(B135/I135,0))</f>
        <v/>
      </c>
      <c r="N135" s="3">
        <f>IF(A135="","",IF(K135&lt;=0,"Drop",IF(J135&gt;=0.65,"Profit product",IF(J135&gt;=0.5,"Traffic product","Thin"))))</f>
        <v/>
      </c>
    </row>
    <row r="136">
      <c r="B136" s="4" t="n"/>
      <c r="C136" s="4" t="n"/>
      <c r="D136" s="4" t="n"/>
      <c r="E136" s="8" t="n"/>
      <c r="F136" s="8" t="n"/>
      <c r="G136" s="8" t="n"/>
      <c r="H136" s="8" t="n"/>
      <c r="I136" s="5">
        <f>IF(A136="","",B136-C136-D136-B136*(E136+F136+G136))</f>
        <v/>
      </c>
      <c r="J136" s="6">
        <f>IF(A136="","",IFERROR(I136/B136,0))</f>
        <v/>
      </c>
      <c r="K136" s="5">
        <f>IF(A136="","",I136-B136*H136)</f>
        <v/>
      </c>
      <c r="L136" s="6">
        <f>IF(A136="","",IFERROR(K136/B136,0))</f>
        <v/>
      </c>
      <c r="M136" s="9">
        <f>IF(A136="","",IFERROR(B136/I136,0))</f>
        <v/>
      </c>
      <c r="N136" s="3">
        <f>IF(A136="","",IF(K136&lt;=0,"Drop",IF(J136&gt;=0.65,"Profit product",IF(J136&gt;=0.5,"Traffic product","Thin"))))</f>
        <v/>
      </c>
    </row>
    <row r="137">
      <c r="B137" s="4" t="n"/>
      <c r="C137" s="4" t="n"/>
      <c r="D137" s="4" t="n"/>
      <c r="E137" s="8" t="n"/>
      <c r="F137" s="8" t="n"/>
      <c r="G137" s="8" t="n"/>
      <c r="H137" s="8" t="n"/>
      <c r="I137" s="5">
        <f>IF(A137="","",B137-C137-D137-B137*(E137+F137+G137))</f>
        <v/>
      </c>
      <c r="J137" s="6">
        <f>IF(A137="","",IFERROR(I137/B137,0))</f>
        <v/>
      </c>
      <c r="K137" s="5">
        <f>IF(A137="","",I137-B137*H137)</f>
        <v/>
      </c>
      <c r="L137" s="6">
        <f>IF(A137="","",IFERROR(K137/B137,0))</f>
        <v/>
      </c>
      <c r="M137" s="9">
        <f>IF(A137="","",IFERROR(B137/I137,0))</f>
        <v/>
      </c>
      <c r="N137" s="3">
        <f>IF(A137="","",IF(K137&lt;=0,"Drop",IF(J137&gt;=0.65,"Profit product",IF(J137&gt;=0.5,"Traffic product","Thin"))))</f>
        <v/>
      </c>
    </row>
    <row r="138">
      <c r="B138" s="4" t="n"/>
      <c r="C138" s="4" t="n"/>
      <c r="D138" s="4" t="n"/>
      <c r="E138" s="8" t="n"/>
      <c r="F138" s="8" t="n"/>
      <c r="G138" s="8" t="n"/>
      <c r="H138" s="8" t="n"/>
      <c r="I138" s="5">
        <f>IF(A138="","",B138-C138-D138-B138*(E138+F138+G138))</f>
        <v/>
      </c>
      <c r="J138" s="6">
        <f>IF(A138="","",IFERROR(I138/B138,0))</f>
        <v/>
      </c>
      <c r="K138" s="5">
        <f>IF(A138="","",I138-B138*H138)</f>
        <v/>
      </c>
      <c r="L138" s="6">
        <f>IF(A138="","",IFERROR(K138/B138,0))</f>
        <v/>
      </c>
      <c r="M138" s="9">
        <f>IF(A138="","",IFERROR(B138/I138,0))</f>
        <v/>
      </c>
      <c r="N138" s="3">
        <f>IF(A138="","",IF(K138&lt;=0,"Drop",IF(J138&gt;=0.65,"Profit product",IF(J138&gt;=0.5,"Traffic product","Thin"))))</f>
        <v/>
      </c>
    </row>
    <row r="139">
      <c r="B139" s="4" t="n"/>
      <c r="C139" s="4" t="n"/>
      <c r="D139" s="4" t="n"/>
      <c r="E139" s="8" t="n"/>
      <c r="F139" s="8" t="n"/>
      <c r="G139" s="8" t="n"/>
      <c r="H139" s="8" t="n"/>
      <c r="I139" s="5">
        <f>IF(A139="","",B139-C139-D139-B139*(E139+F139+G139))</f>
        <v/>
      </c>
      <c r="J139" s="6">
        <f>IF(A139="","",IFERROR(I139/B139,0))</f>
        <v/>
      </c>
      <c r="K139" s="5">
        <f>IF(A139="","",I139-B139*H139)</f>
        <v/>
      </c>
      <c r="L139" s="6">
        <f>IF(A139="","",IFERROR(K139/B139,0))</f>
        <v/>
      </c>
      <c r="M139" s="9">
        <f>IF(A139="","",IFERROR(B139/I139,0))</f>
        <v/>
      </c>
      <c r="N139" s="3">
        <f>IF(A139="","",IF(K139&lt;=0,"Drop",IF(J139&gt;=0.65,"Profit product",IF(J139&gt;=0.5,"Traffic product","Thin"))))</f>
        <v/>
      </c>
    </row>
    <row r="140">
      <c r="B140" s="4" t="n"/>
      <c r="C140" s="4" t="n"/>
      <c r="D140" s="4" t="n"/>
      <c r="E140" s="8" t="n"/>
      <c r="F140" s="8" t="n"/>
      <c r="G140" s="8" t="n"/>
      <c r="H140" s="8" t="n"/>
      <c r="I140" s="5">
        <f>IF(A140="","",B140-C140-D140-B140*(E140+F140+G140))</f>
        <v/>
      </c>
      <c r="J140" s="6">
        <f>IF(A140="","",IFERROR(I140/B140,0))</f>
        <v/>
      </c>
      <c r="K140" s="5">
        <f>IF(A140="","",I140-B140*H140)</f>
        <v/>
      </c>
      <c r="L140" s="6">
        <f>IF(A140="","",IFERROR(K140/B140,0))</f>
        <v/>
      </c>
      <c r="M140" s="9">
        <f>IF(A140="","",IFERROR(B140/I140,0))</f>
        <v/>
      </c>
      <c r="N140" s="3">
        <f>IF(A140="","",IF(K140&lt;=0,"Drop",IF(J140&gt;=0.65,"Profit product",IF(J140&gt;=0.5,"Traffic product","Thin"))))</f>
        <v/>
      </c>
    </row>
    <row r="141">
      <c r="B141" s="4" t="n"/>
      <c r="C141" s="4" t="n"/>
      <c r="D141" s="4" t="n"/>
      <c r="E141" s="8" t="n"/>
      <c r="F141" s="8" t="n"/>
      <c r="G141" s="8" t="n"/>
      <c r="H141" s="8" t="n"/>
      <c r="I141" s="5">
        <f>IF(A141="","",B141-C141-D141-B141*(E141+F141+G141))</f>
        <v/>
      </c>
      <c r="J141" s="6">
        <f>IF(A141="","",IFERROR(I141/B141,0))</f>
        <v/>
      </c>
      <c r="K141" s="5">
        <f>IF(A141="","",I141-B141*H141)</f>
        <v/>
      </c>
      <c r="L141" s="6">
        <f>IF(A141="","",IFERROR(K141/B141,0))</f>
        <v/>
      </c>
      <c r="M141" s="9">
        <f>IF(A141="","",IFERROR(B141/I141,0))</f>
        <v/>
      </c>
      <c r="N141" s="3">
        <f>IF(A141="","",IF(K141&lt;=0,"Drop",IF(J141&gt;=0.65,"Profit product",IF(J141&gt;=0.5,"Traffic product","Thin"))))</f>
        <v/>
      </c>
    </row>
    <row r="142">
      <c r="B142" s="4" t="n"/>
      <c r="C142" s="4" t="n"/>
      <c r="D142" s="4" t="n"/>
      <c r="E142" s="8" t="n"/>
      <c r="F142" s="8" t="n"/>
      <c r="G142" s="8" t="n"/>
      <c r="H142" s="8" t="n"/>
      <c r="I142" s="5">
        <f>IF(A142="","",B142-C142-D142-B142*(E142+F142+G142))</f>
        <v/>
      </c>
      <c r="J142" s="6">
        <f>IF(A142="","",IFERROR(I142/B142,0))</f>
        <v/>
      </c>
      <c r="K142" s="5">
        <f>IF(A142="","",I142-B142*H142)</f>
        <v/>
      </c>
      <c r="L142" s="6">
        <f>IF(A142="","",IFERROR(K142/B142,0))</f>
        <v/>
      </c>
      <c r="M142" s="9">
        <f>IF(A142="","",IFERROR(B142/I142,0))</f>
        <v/>
      </c>
      <c r="N142" s="3">
        <f>IF(A142="","",IF(K142&lt;=0,"Drop",IF(J142&gt;=0.65,"Profit product",IF(J142&gt;=0.5,"Traffic product","Thin"))))</f>
        <v/>
      </c>
    </row>
    <row r="143">
      <c r="B143" s="4" t="n"/>
      <c r="C143" s="4" t="n"/>
      <c r="D143" s="4" t="n"/>
      <c r="E143" s="8" t="n"/>
      <c r="F143" s="8" t="n"/>
      <c r="G143" s="8" t="n"/>
      <c r="H143" s="8" t="n"/>
      <c r="I143" s="5">
        <f>IF(A143="","",B143-C143-D143-B143*(E143+F143+G143))</f>
        <v/>
      </c>
      <c r="J143" s="6">
        <f>IF(A143="","",IFERROR(I143/B143,0))</f>
        <v/>
      </c>
      <c r="K143" s="5">
        <f>IF(A143="","",I143-B143*H143)</f>
        <v/>
      </c>
      <c r="L143" s="6">
        <f>IF(A143="","",IFERROR(K143/B143,0))</f>
        <v/>
      </c>
      <c r="M143" s="9">
        <f>IF(A143="","",IFERROR(B143/I143,0))</f>
        <v/>
      </c>
      <c r="N143" s="3">
        <f>IF(A143="","",IF(K143&lt;=0,"Drop",IF(J143&gt;=0.65,"Profit product",IF(J143&gt;=0.5,"Traffic product","Thin"))))</f>
        <v/>
      </c>
    </row>
    <row r="144">
      <c r="B144" s="4" t="n"/>
      <c r="C144" s="4" t="n"/>
      <c r="D144" s="4" t="n"/>
      <c r="E144" s="8" t="n"/>
      <c r="F144" s="8" t="n"/>
      <c r="G144" s="8" t="n"/>
      <c r="H144" s="8" t="n"/>
      <c r="I144" s="5">
        <f>IF(A144="","",B144-C144-D144-B144*(E144+F144+G144))</f>
        <v/>
      </c>
      <c r="J144" s="6">
        <f>IF(A144="","",IFERROR(I144/B144,0))</f>
        <v/>
      </c>
      <c r="K144" s="5">
        <f>IF(A144="","",I144-B144*H144)</f>
        <v/>
      </c>
      <c r="L144" s="6">
        <f>IF(A144="","",IFERROR(K144/B144,0))</f>
        <v/>
      </c>
      <c r="M144" s="9">
        <f>IF(A144="","",IFERROR(B144/I144,0))</f>
        <v/>
      </c>
      <c r="N144" s="3">
        <f>IF(A144="","",IF(K144&lt;=0,"Drop",IF(J144&gt;=0.65,"Profit product",IF(J144&gt;=0.5,"Traffic product","Thin"))))</f>
        <v/>
      </c>
    </row>
    <row r="145">
      <c r="B145" s="4" t="n"/>
      <c r="C145" s="4" t="n"/>
      <c r="D145" s="4" t="n"/>
      <c r="E145" s="8" t="n"/>
      <c r="F145" s="8" t="n"/>
      <c r="G145" s="8" t="n"/>
      <c r="H145" s="8" t="n"/>
      <c r="I145" s="5">
        <f>IF(A145="","",B145-C145-D145-B145*(E145+F145+G145))</f>
        <v/>
      </c>
      <c r="J145" s="6">
        <f>IF(A145="","",IFERROR(I145/B145,0))</f>
        <v/>
      </c>
      <c r="K145" s="5">
        <f>IF(A145="","",I145-B145*H145)</f>
        <v/>
      </c>
      <c r="L145" s="6">
        <f>IF(A145="","",IFERROR(K145/B145,0))</f>
        <v/>
      </c>
      <c r="M145" s="9">
        <f>IF(A145="","",IFERROR(B145/I145,0))</f>
        <v/>
      </c>
      <c r="N145" s="3">
        <f>IF(A145="","",IF(K145&lt;=0,"Drop",IF(J145&gt;=0.65,"Profit product",IF(J145&gt;=0.5,"Traffic product","Thin"))))</f>
        <v/>
      </c>
    </row>
    <row r="146">
      <c r="B146" s="4" t="n"/>
      <c r="C146" s="4" t="n"/>
      <c r="D146" s="4" t="n"/>
      <c r="E146" s="8" t="n"/>
      <c r="F146" s="8" t="n"/>
      <c r="G146" s="8" t="n"/>
      <c r="H146" s="8" t="n"/>
      <c r="I146" s="5">
        <f>IF(A146="","",B146-C146-D146-B146*(E146+F146+G146))</f>
        <v/>
      </c>
      <c r="J146" s="6">
        <f>IF(A146="","",IFERROR(I146/B146,0))</f>
        <v/>
      </c>
      <c r="K146" s="5">
        <f>IF(A146="","",I146-B146*H146)</f>
        <v/>
      </c>
      <c r="L146" s="6">
        <f>IF(A146="","",IFERROR(K146/B146,0))</f>
        <v/>
      </c>
      <c r="M146" s="9">
        <f>IF(A146="","",IFERROR(B146/I146,0))</f>
        <v/>
      </c>
      <c r="N146" s="3">
        <f>IF(A146="","",IF(K146&lt;=0,"Drop",IF(J146&gt;=0.65,"Profit product",IF(J146&gt;=0.5,"Traffic product","Thin"))))</f>
        <v/>
      </c>
    </row>
    <row r="147">
      <c r="B147" s="4" t="n"/>
      <c r="C147" s="4" t="n"/>
      <c r="D147" s="4" t="n"/>
      <c r="E147" s="8" t="n"/>
      <c r="F147" s="8" t="n"/>
      <c r="G147" s="8" t="n"/>
      <c r="H147" s="8" t="n"/>
      <c r="I147" s="5">
        <f>IF(A147="","",B147-C147-D147-B147*(E147+F147+G147))</f>
        <v/>
      </c>
      <c r="J147" s="6">
        <f>IF(A147="","",IFERROR(I147/B147,0))</f>
        <v/>
      </c>
      <c r="K147" s="5">
        <f>IF(A147="","",I147-B147*H147)</f>
        <v/>
      </c>
      <c r="L147" s="6">
        <f>IF(A147="","",IFERROR(K147/B147,0))</f>
        <v/>
      </c>
      <c r="M147" s="9">
        <f>IF(A147="","",IFERROR(B147/I147,0))</f>
        <v/>
      </c>
      <c r="N147" s="3">
        <f>IF(A147="","",IF(K147&lt;=0,"Drop",IF(J147&gt;=0.65,"Profit product",IF(J147&gt;=0.5,"Traffic product","Thin"))))</f>
        <v/>
      </c>
    </row>
    <row r="148">
      <c r="B148" s="4" t="n"/>
      <c r="C148" s="4" t="n"/>
      <c r="D148" s="4" t="n"/>
      <c r="E148" s="8" t="n"/>
      <c r="F148" s="8" t="n"/>
      <c r="G148" s="8" t="n"/>
      <c r="H148" s="8" t="n"/>
      <c r="I148" s="5">
        <f>IF(A148="","",B148-C148-D148-B148*(E148+F148+G148))</f>
        <v/>
      </c>
      <c r="J148" s="6">
        <f>IF(A148="","",IFERROR(I148/B148,0))</f>
        <v/>
      </c>
      <c r="K148" s="5">
        <f>IF(A148="","",I148-B148*H148)</f>
        <v/>
      </c>
      <c r="L148" s="6">
        <f>IF(A148="","",IFERROR(K148/B148,0))</f>
        <v/>
      </c>
      <c r="M148" s="9">
        <f>IF(A148="","",IFERROR(B148/I148,0))</f>
        <v/>
      </c>
      <c r="N148" s="3">
        <f>IF(A148="","",IF(K148&lt;=0,"Drop",IF(J148&gt;=0.65,"Profit product",IF(J148&gt;=0.5,"Traffic product","Thin"))))</f>
        <v/>
      </c>
    </row>
    <row r="149">
      <c r="B149" s="4" t="n"/>
      <c r="C149" s="4" t="n"/>
      <c r="D149" s="4" t="n"/>
      <c r="E149" s="8" t="n"/>
      <c r="F149" s="8" t="n"/>
      <c r="G149" s="8" t="n"/>
      <c r="H149" s="8" t="n"/>
      <c r="I149" s="5">
        <f>IF(A149="","",B149-C149-D149-B149*(E149+F149+G149))</f>
        <v/>
      </c>
      <c r="J149" s="6">
        <f>IF(A149="","",IFERROR(I149/B149,0))</f>
        <v/>
      </c>
      <c r="K149" s="5">
        <f>IF(A149="","",I149-B149*H149)</f>
        <v/>
      </c>
      <c r="L149" s="6">
        <f>IF(A149="","",IFERROR(K149/B149,0))</f>
        <v/>
      </c>
      <c r="M149" s="9">
        <f>IF(A149="","",IFERROR(B149/I149,0))</f>
        <v/>
      </c>
      <c r="N149" s="3">
        <f>IF(A149="","",IF(K149&lt;=0,"Drop",IF(J149&gt;=0.65,"Profit product",IF(J149&gt;=0.5,"Traffic product","Thin"))))</f>
        <v/>
      </c>
    </row>
    <row r="150">
      <c r="B150" s="4" t="n"/>
      <c r="C150" s="4" t="n"/>
      <c r="D150" s="4" t="n"/>
      <c r="E150" s="8" t="n"/>
      <c r="F150" s="8" t="n"/>
      <c r="G150" s="8" t="n"/>
      <c r="H150" s="8" t="n"/>
      <c r="I150" s="5">
        <f>IF(A150="","",B150-C150-D150-B150*(E150+F150+G150))</f>
        <v/>
      </c>
      <c r="J150" s="6">
        <f>IF(A150="","",IFERROR(I150/B150,0))</f>
        <v/>
      </c>
      <c r="K150" s="5">
        <f>IF(A150="","",I150-B150*H150)</f>
        <v/>
      </c>
      <c r="L150" s="6">
        <f>IF(A150="","",IFERROR(K150/B150,0))</f>
        <v/>
      </c>
      <c r="M150" s="9">
        <f>IF(A150="","",IFERROR(B150/I150,0))</f>
        <v/>
      </c>
      <c r="N150" s="3">
        <f>IF(A150="","",IF(K150&lt;=0,"Drop",IF(J150&gt;=0.65,"Profit product",IF(J150&gt;=0.5,"Traffic product","Thin"))))</f>
        <v/>
      </c>
    </row>
    <row r="151">
      <c r="B151" s="4" t="n"/>
      <c r="C151" s="4" t="n"/>
      <c r="D151" s="4" t="n"/>
      <c r="E151" s="8" t="n"/>
      <c r="F151" s="8" t="n"/>
      <c r="G151" s="8" t="n"/>
      <c r="H151" s="8" t="n"/>
      <c r="I151" s="5">
        <f>IF(A151="","",B151-C151-D151-B151*(E151+F151+G151))</f>
        <v/>
      </c>
      <c r="J151" s="6">
        <f>IF(A151="","",IFERROR(I151/B151,0))</f>
        <v/>
      </c>
      <c r="K151" s="5">
        <f>IF(A151="","",I151-B151*H151)</f>
        <v/>
      </c>
      <c r="L151" s="6">
        <f>IF(A151="","",IFERROR(K151/B151,0))</f>
        <v/>
      </c>
      <c r="M151" s="9">
        <f>IF(A151="","",IFERROR(B151/I151,0))</f>
        <v/>
      </c>
      <c r="N151" s="3">
        <f>IF(A151="","",IF(K151&lt;=0,"Drop",IF(J151&gt;=0.65,"Profit product",IF(J151&gt;=0.5,"Traffic product","Thin"))))</f>
        <v/>
      </c>
    </row>
    <row r="152">
      <c r="B152" s="4" t="n"/>
      <c r="C152" s="4" t="n"/>
      <c r="D152" s="4" t="n"/>
      <c r="E152" s="8" t="n"/>
      <c r="F152" s="8" t="n"/>
      <c r="G152" s="8" t="n"/>
      <c r="H152" s="8" t="n"/>
      <c r="I152" s="5">
        <f>IF(A152="","",B152-C152-D152-B152*(E152+F152+G152))</f>
        <v/>
      </c>
      <c r="J152" s="6">
        <f>IF(A152="","",IFERROR(I152/B152,0))</f>
        <v/>
      </c>
      <c r="K152" s="5">
        <f>IF(A152="","",I152-B152*H152)</f>
        <v/>
      </c>
      <c r="L152" s="6">
        <f>IF(A152="","",IFERROR(K152/B152,0))</f>
        <v/>
      </c>
      <c r="M152" s="9">
        <f>IF(A152="","",IFERROR(B152/I152,0))</f>
        <v/>
      </c>
      <c r="N152" s="3">
        <f>IF(A152="","",IF(K152&lt;=0,"Drop",IF(J152&gt;=0.65,"Profit product",IF(J152&gt;=0.5,"Traffic product","Thin"))))</f>
        <v/>
      </c>
    </row>
    <row r="153">
      <c r="B153" s="4" t="n"/>
      <c r="C153" s="4" t="n"/>
      <c r="D153" s="4" t="n"/>
      <c r="E153" s="8" t="n"/>
      <c r="F153" s="8" t="n"/>
      <c r="G153" s="8" t="n"/>
      <c r="H153" s="8" t="n"/>
      <c r="I153" s="5">
        <f>IF(A153="","",B153-C153-D153-B153*(E153+F153+G153))</f>
        <v/>
      </c>
      <c r="J153" s="6">
        <f>IF(A153="","",IFERROR(I153/B153,0))</f>
        <v/>
      </c>
      <c r="K153" s="5">
        <f>IF(A153="","",I153-B153*H153)</f>
        <v/>
      </c>
      <c r="L153" s="6">
        <f>IF(A153="","",IFERROR(K153/B153,0))</f>
        <v/>
      </c>
      <c r="M153" s="9">
        <f>IF(A153="","",IFERROR(B153/I153,0))</f>
        <v/>
      </c>
      <c r="N153" s="3">
        <f>IF(A153="","",IF(K153&lt;=0,"Drop",IF(J153&gt;=0.65,"Profit product",IF(J153&gt;=0.5,"Traffic product","Thin"))))</f>
        <v/>
      </c>
    </row>
    <row r="154">
      <c r="B154" s="4" t="n"/>
      <c r="C154" s="4" t="n"/>
      <c r="D154" s="4" t="n"/>
      <c r="E154" s="8" t="n"/>
      <c r="F154" s="8" t="n"/>
      <c r="G154" s="8" t="n"/>
      <c r="H154" s="8" t="n"/>
      <c r="I154" s="5">
        <f>IF(A154="","",B154-C154-D154-B154*(E154+F154+G154))</f>
        <v/>
      </c>
      <c r="J154" s="6">
        <f>IF(A154="","",IFERROR(I154/B154,0))</f>
        <v/>
      </c>
      <c r="K154" s="5">
        <f>IF(A154="","",I154-B154*H154)</f>
        <v/>
      </c>
      <c r="L154" s="6">
        <f>IF(A154="","",IFERROR(K154/B154,0))</f>
        <v/>
      </c>
      <c r="M154" s="9">
        <f>IF(A154="","",IFERROR(B154/I154,0))</f>
        <v/>
      </c>
      <c r="N154" s="3">
        <f>IF(A154="","",IF(K154&lt;=0,"Drop",IF(J154&gt;=0.65,"Profit product",IF(J154&gt;=0.5,"Traffic product","Thin"))))</f>
        <v/>
      </c>
    </row>
    <row r="155">
      <c r="B155" s="4" t="n"/>
      <c r="C155" s="4" t="n"/>
      <c r="D155" s="4" t="n"/>
      <c r="E155" s="8" t="n"/>
      <c r="F155" s="8" t="n"/>
      <c r="G155" s="8" t="n"/>
      <c r="H155" s="8" t="n"/>
      <c r="I155" s="5">
        <f>IF(A155="","",B155-C155-D155-B155*(E155+F155+G155))</f>
        <v/>
      </c>
      <c r="J155" s="6">
        <f>IF(A155="","",IFERROR(I155/B155,0))</f>
        <v/>
      </c>
      <c r="K155" s="5">
        <f>IF(A155="","",I155-B155*H155)</f>
        <v/>
      </c>
      <c r="L155" s="6">
        <f>IF(A155="","",IFERROR(K155/B155,0))</f>
        <v/>
      </c>
      <c r="M155" s="9">
        <f>IF(A155="","",IFERROR(B155/I155,0))</f>
        <v/>
      </c>
      <c r="N155" s="3">
        <f>IF(A155="","",IF(K155&lt;=0,"Drop",IF(J155&gt;=0.65,"Profit product",IF(J155&gt;=0.5,"Traffic product","Thin"))))</f>
        <v/>
      </c>
    </row>
    <row r="156">
      <c r="B156" s="4" t="n"/>
      <c r="C156" s="4" t="n"/>
      <c r="D156" s="4" t="n"/>
      <c r="E156" s="8" t="n"/>
      <c r="F156" s="8" t="n"/>
      <c r="G156" s="8" t="n"/>
      <c r="H156" s="8" t="n"/>
      <c r="I156" s="5">
        <f>IF(A156="","",B156-C156-D156-B156*(E156+F156+G156))</f>
        <v/>
      </c>
      <c r="J156" s="6">
        <f>IF(A156="","",IFERROR(I156/B156,0))</f>
        <v/>
      </c>
      <c r="K156" s="5">
        <f>IF(A156="","",I156-B156*H156)</f>
        <v/>
      </c>
      <c r="L156" s="6">
        <f>IF(A156="","",IFERROR(K156/B156,0))</f>
        <v/>
      </c>
      <c r="M156" s="9">
        <f>IF(A156="","",IFERROR(B156/I156,0))</f>
        <v/>
      </c>
      <c r="N156" s="3">
        <f>IF(A156="","",IF(K156&lt;=0,"Drop",IF(J156&gt;=0.65,"Profit product",IF(J156&gt;=0.5,"Traffic product","Thin"))))</f>
        <v/>
      </c>
    </row>
    <row r="157">
      <c r="B157" s="4" t="n"/>
      <c r="C157" s="4" t="n"/>
      <c r="D157" s="4" t="n"/>
      <c r="E157" s="8" t="n"/>
      <c r="F157" s="8" t="n"/>
      <c r="G157" s="8" t="n"/>
      <c r="H157" s="8" t="n"/>
      <c r="I157" s="5">
        <f>IF(A157="","",B157-C157-D157-B157*(E157+F157+G157))</f>
        <v/>
      </c>
      <c r="J157" s="6">
        <f>IF(A157="","",IFERROR(I157/B157,0))</f>
        <v/>
      </c>
      <c r="K157" s="5">
        <f>IF(A157="","",I157-B157*H157)</f>
        <v/>
      </c>
      <c r="L157" s="6">
        <f>IF(A157="","",IFERROR(K157/B157,0))</f>
        <v/>
      </c>
      <c r="M157" s="9">
        <f>IF(A157="","",IFERROR(B157/I157,0))</f>
        <v/>
      </c>
      <c r="N157" s="3">
        <f>IF(A157="","",IF(K157&lt;=0,"Drop",IF(J157&gt;=0.65,"Profit product",IF(J157&gt;=0.5,"Traffic product","Thin"))))</f>
        <v/>
      </c>
    </row>
    <row r="158">
      <c r="B158" s="4" t="n"/>
      <c r="C158" s="4" t="n"/>
      <c r="D158" s="4" t="n"/>
      <c r="E158" s="8" t="n"/>
      <c r="F158" s="8" t="n"/>
      <c r="G158" s="8" t="n"/>
      <c r="H158" s="8" t="n"/>
      <c r="I158" s="5">
        <f>IF(A158="","",B158-C158-D158-B158*(E158+F158+G158))</f>
        <v/>
      </c>
      <c r="J158" s="6">
        <f>IF(A158="","",IFERROR(I158/B158,0))</f>
        <v/>
      </c>
      <c r="K158" s="5">
        <f>IF(A158="","",I158-B158*H158)</f>
        <v/>
      </c>
      <c r="L158" s="6">
        <f>IF(A158="","",IFERROR(K158/B158,0))</f>
        <v/>
      </c>
      <c r="M158" s="9">
        <f>IF(A158="","",IFERROR(B158/I158,0))</f>
        <v/>
      </c>
      <c r="N158" s="3">
        <f>IF(A158="","",IF(K158&lt;=0,"Drop",IF(J158&gt;=0.65,"Profit product",IF(J158&gt;=0.5,"Traffic product","Thin"))))</f>
        <v/>
      </c>
    </row>
    <row r="159">
      <c r="B159" s="4" t="n"/>
      <c r="C159" s="4" t="n"/>
      <c r="D159" s="4" t="n"/>
      <c r="E159" s="8" t="n"/>
      <c r="F159" s="8" t="n"/>
      <c r="G159" s="8" t="n"/>
      <c r="H159" s="8" t="n"/>
      <c r="I159" s="5">
        <f>IF(A159="","",B159-C159-D159-B159*(E159+F159+G159))</f>
        <v/>
      </c>
      <c r="J159" s="6">
        <f>IF(A159="","",IFERROR(I159/B159,0))</f>
        <v/>
      </c>
      <c r="K159" s="5">
        <f>IF(A159="","",I159-B159*H159)</f>
        <v/>
      </c>
      <c r="L159" s="6">
        <f>IF(A159="","",IFERROR(K159/B159,0))</f>
        <v/>
      </c>
      <c r="M159" s="9">
        <f>IF(A159="","",IFERROR(B159/I159,0))</f>
        <v/>
      </c>
      <c r="N159" s="3">
        <f>IF(A159="","",IF(K159&lt;=0,"Drop",IF(J159&gt;=0.65,"Profit product",IF(J159&gt;=0.5,"Traffic product","Thin"))))</f>
        <v/>
      </c>
    </row>
    <row r="160">
      <c r="B160" s="4" t="n"/>
      <c r="C160" s="4" t="n"/>
      <c r="D160" s="4" t="n"/>
      <c r="E160" s="8" t="n"/>
      <c r="F160" s="8" t="n"/>
      <c r="G160" s="8" t="n"/>
      <c r="H160" s="8" t="n"/>
      <c r="I160" s="5">
        <f>IF(A160="","",B160-C160-D160-B160*(E160+F160+G160))</f>
        <v/>
      </c>
      <c r="J160" s="6">
        <f>IF(A160="","",IFERROR(I160/B160,0))</f>
        <v/>
      </c>
      <c r="K160" s="5">
        <f>IF(A160="","",I160-B160*H160)</f>
        <v/>
      </c>
      <c r="L160" s="6">
        <f>IF(A160="","",IFERROR(K160/B160,0))</f>
        <v/>
      </c>
      <c r="M160" s="9">
        <f>IF(A160="","",IFERROR(B160/I160,0))</f>
        <v/>
      </c>
      <c r="N160" s="3">
        <f>IF(A160="","",IF(K160&lt;=0,"Drop",IF(J160&gt;=0.65,"Profit product",IF(J160&gt;=0.5,"Traffic product","Thin"))))</f>
        <v/>
      </c>
    </row>
    <row r="161">
      <c r="B161" s="4" t="n"/>
      <c r="C161" s="4" t="n"/>
      <c r="D161" s="4" t="n"/>
      <c r="E161" s="8" t="n"/>
      <c r="F161" s="8" t="n"/>
      <c r="G161" s="8" t="n"/>
      <c r="H161" s="8" t="n"/>
      <c r="I161" s="5">
        <f>IF(A161="","",B161-C161-D161-B161*(E161+F161+G161))</f>
        <v/>
      </c>
      <c r="J161" s="6">
        <f>IF(A161="","",IFERROR(I161/B161,0))</f>
        <v/>
      </c>
      <c r="K161" s="5">
        <f>IF(A161="","",I161-B161*H161)</f>
        <v/>
      </c>
      <c r="L161" s="6">
        <f>IF(A161="","",IFERROR(K161/B161,0))</f>
        <v/>
      </c>
      <c r="M161" s="9">
        <f>IF(A161="","",IFERROR(B161/I161,0))</f>
        <v/>
      </c>
      <c r="N161" s="3">
        <f>IF(A161="","",IF(K161&lt;=0,"Drop",IF(J161&gt;=0.65,"Profit product",IF(J161&gt;=0.5,"Traffic product","Thin"))))</f>
        <v/>
      </c>
    </row>
    <row r="162">
      <c r="B162" s="4" t="n"/>
      <c r="C162" s="4" t="n"/>
      <c r="D162" s="4" t="n"/>
      <c r="E162" s="8" t="n"/>
      <c r="F162" s="8" t="n"/>
      <c r="G162" s="8" t="n"/>
      <c r="H162" s="8" t="n"/>
      <c r="I162" s="5">
        <f>IF(A162="","",B162-C162-D162-B162*(E162+F162+G162))</f>
        <v/>
      </c>
      <c r="J162" s="6">
        <f>IF(A162="","",IFERROR(I162/B162,0))</f>
        <v/>
      </c>
      <c r="K162" s="5">
        <f>IF(A162="","",I162-B162*H162)</f>
        <v/>
      </c>
      <c r="L162" s="6">
        <f>IF(A162="","",IFERROR(K162/B162,0))</f>
        <v/>
      </c>
      <c r="M162" s="9">
        <f>IF(A162="","",IFERROR(B162/I162,0))</f>
        <v/>
      </c>
      <c r="N162" s="3">
        <f>IF(A162="","",IF(K162&lt;=0,"Drop",IF(J162&gt;=0.65,"Profit product",IF(J162&gt;=0.5,"Traffic product","Thin"))))</f>
        <v/>
      </c>
    </row>
    <row r="163">
      <c r="B163" s="4" t="n"/>
      <c r="C163" s="4" t="n"/>
      <c r="D163" s="4" t="n"/>
      <c r="E163" s="8" t="n"/>
      <c r="F163" s="8" t="n"/>
      <c r="G163" s="8" t="n"/>
      <c r="H163" s="8" t="n"/>
      <c r="I163" s="5">
        <f>IF(A163="","",B163-C163-D163-B163*(E163+F163+G163))</f>
        <v/>
      </c>
      <c r="J163" s="6">
        <f>IF(A163="","",IFERROR(I163/B163,0))</f>
        <v/>
      </c>
      <c r="K163" s="5">
        <f>IF(A163="","",I163-B163*H163)</f>
        <v/>
      </c>
      <c r="L163" s="6">
        <f>IF(A163="","",IFERROR(K163/B163,0))</f>
        <v/>
      </c>
      <c r="M163" s="9">
        <f>IF(A163="","",IFERROR(B163/I163,0))</f>
        <v/>
      </c>
      <c r="N163" s="3">
        <f>IF(A163="","",IF(K163&lt;=0,"Drop",IF(J163&gt;=0.65,"Profit product",IF(J163&gt;=0.5,"Traffic product","Thin"))))</f>
        <v/>
      </c>
    </row>
    <row r="164">
      <c r="B164" s="4" t="n"/>
      <c r="C164" s="4" t="n"/>
      <c r="D164" s="4" t="n"/>
      <c r="E164" s="8" t="n"/>
      <c r="F164" s="8" t="n"/>
      <c r="G164" s="8" t="n"/>
      <c r="H164" s="8" t="n"/>
      <c r="I164" s="5">
        <f>IF(A164="","",B164-C164-D164-B164*(E164+F164+G164))</f>
        <v/>
      </c>
      <c r="J164" s="6">
        <f>IF(A164="","",IFERROR(I164/B164,0))</f>
        <v/>
      </c>
      <c r="K164" s="5">
        <f>IF(A164="","",I164-B164*H164)</f>
        <v/>
      </c>
      <c r="L164" s="6">
        <f>IF(A164="","",IFERROR(K164/B164,0))</f>
        <v/>
      </c>
      <c r="M164" s="9">
        <f>IF(A164="","",IFERROR(B164/I164,0))</f>
        <v/>
      </c>
      <c r="N164" s="3">
        <f>IF(A164="","",IF(K164&lt;=0,"Drop",IF(J164&gt;=0.65,"Profit product",IF(J164&gt;=0.5,"Traffic product","Thin"))))</f>
        <v/>
      </c>
    </row>
    <row r="165">
      <c r="B165" s="4" t="n"/>
      <c r="C165" s="4" t="n"/>
      <c r="D165" s="4" t="n"/>
      <c r="E165" s="8" t="n"/>
      <c r="F165" s="8" t="n"/>
      <c r="G165" s="8" t="n"/>
      <c r="H165" s="8" t="n"/>
      <c r="I165" s="5">
        <f>IF(A165="","",B165-C165-D165-B165*(E165+F165+G165))</f>
        <v/>
      </c>
      <c r="J165" s="6">
        <f>IF(A165="","",IFERROR(I165/B165,0))</f>
        <v/>
      </c>
      <c r="K165" s="5">
        <f>IF(A165="","",I165-B165*H165)</f>
        <v/>
      </c>
      <c r="L165" s="6">
        <f>IF(A165="","",IFERROR(K165/B165,0))</f>
        <v/>
      </c>
      <c r="M165" s="9">
        <f>IF(A165="","",IFERROR(B165/I165,0))</f>
        <v/>
      </c>
      <c r="N165" s="3">
        <f>IF(A165="","",IF(K165&lt;=0,"Drop",IF(J165&gt;=0.65,"Profit product",IF(J165&gt;=0.5,"Traffic product","Thin"))))</f>
        <v/>
      </c>
    </row>
    <row r="166">
      <c r="B166" s="4" t="n"/>
      <c r="C166" s="4" t="n"/>
      <c r="D166" s="4" t="n"/>
      <c r="E166" s="8" t="n"/>
      <c r="F166" s="8" t="n"/>
      <c r="G166" s="8" t="n"/>
      <c r="H166" s="8" t="n"/>
      <c r="I166" s="5">
        <f>IF(A166="","",B166-C166-D166-B166*(E166+F166+G166))</f>
        <v/>
      </c>
      <c r="J166" s="6">
        <f>IF(A166="","",IFERROR(I166/B166,0))</f>
        <v/>
      </c>
      <c r="K166" s="5">
        <f>IF(A166="","",I166-B166*H166)</f>
        <v/>
      </c>
      <c r="L166" s="6">
        <f>IF(A166="","",IFERROR(K166/B166,0))</f>
        <v/>
      </c>
      <c r="M166" s="9">
        <f>IF(A166="","",IFERROR(B166/I166,0))</f>
        <v/>
      </c>
      <c r="N166" s="3">
        <f>IF(A166="","",IF(K166&lt;=0,"Drop",IF(J166&gt;=0.65,"Profit product",IF(J166&gt;=0.5,"Traffic product","Thin"))))</f>
        <v/>
      </c>
    </row>
    <row r="167">
      <c r="B167" s="4" t="n"/>
      <c r="C167" s="4" t="n"/>
      <c r="D167" s="4" t="n"/>
      <c r="E167" s="8" t="n"/>
      <c r="F167" s="8" t="n"/>
      <c r="G167" s="8" t="n"/>
      <c r="H167" s="8" t="n"/>
      <c r="I167" s="5">
        <f>IF(A167="","",B167-C167-D167-B167*(E167+F167+G167))</f>
        <v/>
      </c>
      <c r="J167" s="6">
        <f>IF(A167="","",IFERROR(I167/B167,0))</f>
        <v/>
      </c>
      <c r="K167" s="5">
        <f>IF(A167="","",I167-B167*H167)</f>
        <v/>
      </c>
      <c r="L167" s="6">
        <f>IF(A167="","",IFERROR(K167/B167,0))</f>
        <v/>
      </c>
      <c r="M167" s="9">
        <f>IF(A167="","",IFERROR(B167/I167,0))</f>
        <v/>
      </c>
      <c r="N167" s="3">
        <f>IF(A167="","",IF(K167&lt;=0,"Drop",IF(J167&gt;=0.65,"Profit product",IF(J167&gt;=0.5,"Traffic product","Thin"))))</f>
        <v/>
      </c>
    </row>
    <row r="168">
      <c r="B168" s="4" t="n"/>
      <c r="C168" s="4" t="n"/>
      <c r="D168" s="4" t="n"/>
      <c r="E168" s="8" t="n"/>
      <c r="F168" s="8" t="n"/>
      <c r="G168" s="8" t="n"/>
      <c r="H168" s="8" t="n"/>
      <c r="I168" s="5">
        <f>IF(A168="","",B168-C168-D168-B168*(E168+F168+G168))</f>
        <v/>
      </c>
      <c r="J168" s="6">
        <f>IF(A168="","",IFERROR(I168/B168,0))</f>
        <v/>
      </c>
      <c r="K168" s="5">
        <f>IF(A168="","",I168-B168*H168)</f>
        <v/>
      </c>
      <c r="L168" s="6">
        <f>IF(A168="","",IFERROR(K168/B168,0))</f>
        <v/>
      </c>
      <c r="M168" s="9">
        <f>IF(A168="","",IFERROR(B168/I168,0))</f>
        <v/>
      </c>
      <c r="N168" s="3">
        <f>IF(A168="","",IF(K168&lt;=0,"Drop",IF(J168&gt;=0.65,"Profit product",IF(J168&gt;=0.5,"Traffic product","Thin"))))</f>
        <v/>
      </c>
    </row>
    <row r="169">
      <c r="B169" s="4" t="n"/>
      <c r="C169" s="4" t="n"/>
      <c r="D169" s="4" t="n"/>
      <c r="E169" s="8" t="n"/>
      <c r="F169" s="8" t="n"/>
      <c r="G169" s="8" t="n"/>
      <c r="H169" s="8" t="n"/>
      <c r="I169" s="5">
        <f>IF(A169="","",B169-C169-D169-B169*(E169+F169+G169))</f>
        <v/>
      </c>
      <c r="J169" s="6">
        <f>IF(A169="","",IFERROR(I169/B169,0))</f>
        <v/>
      </c>
      <c r="K169" s="5">
        <f>IF(A169="","",I169-B169*H169)</f>
        <v/>
      </c>
      <c r="L169" s="6">
        <f>IF(A169="","",IFERROR(K169/B169,0))</f>
        <v/>
      </c>
      <c r="M169" s="9">
        <f>IF(A169="","",IFERROR(B169/I169,0))</f>
        <v/>
      </c>
      <c r="N169" s="3">
        <f>IF(A169="","",IF(K169&lt;=0,"Drop",IF(J169&gt;=0.65,"Profit product",IF(J169&gt;=0.5,"Traffic product","Thin"))))</f>
        <v/>
      </c>
    </row>
    <row r="170">
      <c r="B170" s="4" t="n"/>
      <c r="C170" s="4" t="n"/>
      <c r="D170" s="4" t="n"/>
      <c r="E170" s="8" t="n"/>
      <c r="F170" s="8" t="n"/>
      <c r="G170" s="8" t="n"/>
      <c r="H170" s="8" t="n"/>
      <c r="I170" s="5">
        <f>IF(A170="","",B170-C170-D170-B170*(E170+F170+G170))</f>
        <v/>
      </c>
      <c r="J170" s="6">
        <f>IF(A170="","",IFERROR(I170/B170,0))</f>
        <v/>
      </c>
      <c r="K170" s="5">
        <f>IF(A170="","",I170-B170*H170)</f>
        <v/>
      </c>
      <c r="L170" s="6">
        <f>IF(A170="","",IFERROR(K170/B170,0))</f>
        <v/>
      </c>
      <c r="M170" s="9">
        <f>IF(A170="","",IFERROR(B170/I170,0))</f>
        <v/>
      </c>
      <c r="N170" s="3">
        <f>IF(A170="","",IF(K170&lt;=0,"Drop",IF(J170&gt;=0.65,"Profit product",IF(J170&gt;=0.5,"Traffic product","Thin"))))</f>
        <v/>
      </c>
    </row>
    <row r="171">
      <c r="B171" s="4" t="n"/>
      <c r="C171" s="4" t="n"/>
      <c r="D171" s="4" t="n"/>
      <c r="E171" s="8" t="n"/>
      <c r="F171" s="8" t="n"/>
      <c r="G171" s="8" t="n"/>
      <c r="H171" s="8" t="n"/>
      <c r="I171" s="5">
        <f>IF(A171="","",B171-C171-D171-B171*(E171+F171+G171))</f>
        <v/>
      </c>
      <c r="J171" s="6">
        <f>IF(A171="","",IFERROR(I171/B171,0))</f>
        <v/>
      </c>
      <c r="K171" s="5">
        <f>IF(A171="","",I171-B171*H171)</f>
        <v/>
      </c>
      <c r="L171" s="6">
        <f>IF(A171="","",IFERROR(K171/B171,0))</f>
        <v/>
      </c>
      <c r="M171" s="9">
        <f>IF(A171="","",IFERROR(B171/I171,0))</f>
        <v/>
      </c>
      <c r="N171" s="3">
        <f>IF(A171="","",IF(K171&lt;=0,"Drop",IF(J171&gt;=0.65,"Profit product",IF(J171&gt;=0.5,"Traffic product","Thin"))))</f>
        <v/>
      </c>
    </row>
    <row r="172">
      <c r="B172" s="4" t="n"/>
      <c r="C172" s="4" t="n"/>
      <c r="D172" s="4" t="n"/>
      <c r="E172" s="8" t="n"/>
      <c r="F172" s="8" t="n"/>
      <c r="G172" s="8" t="n"/>
      <c r="H172" s="8" t="n"/>
      <c r="I172" s="5">
        <f>IF(A172="","",B172-C172-D172-B172*(E172+F172+G172))</f>
        <v/>
      </c>
      <c r="J172" s="6">
        <f>IF(A172="","",IFERROR(I172/B172,0))</f>
        <v/>
      </c>
      <c r="K172" s="5">
        <f>IF(A172="","",I172-B172*H172)</f>
        <v/>
      </c>
      <c r="L172" s="6">
        <f>IF(A172="","",IFERROR(K172/B172,0))</f>
        <v/>
      </c>
      <c r="M172" s="9">
        <f>IF(A172="","",IFERROR(B172/I172,0))</f>
        <v/>
      </c>
      <c r="N172" s="3">
        <f>IF(A172="","",IF(K172&lt;=0,"Drop",IF(J172&gt;=0.65,"Profit product",IF(J172&gt;=0.5,"Traffic product","Thin"))))</f>
        <v/>
      </c>
    </row>
    <row r="173">
      <c r="B173" s="4" t="n"/>
      <c r="C173" s="4" t="n"/>
      <c r="D173" s="4" t="n"/>
      <c r="E173" s="8" t="n"/>
      <c r="F173" s="8" t="n"/>
      <c r="G173" s="8" t="n"/>
      <c r="H173" s="8" t="n"/>
      <c r="I173" s="5">
        <f>IF(A173="","",B173-C173-D173-B173*(E173+F173+G173))</f>
        <v/>
      </c>
      <c r="J173" s="6">
        <f>IF(A173="","",IFERROR(I173/B173,0))</f>
        <v/>
      </c>
      <c r="K173" s="5">
        <f>IF(A173="","",I173-B173*H173)</f>
        <v/>
      </c>
      <c r="L173" s="6">
        <f>IF(A173="","",IFERROR(K173/B173,0))</f>
        <v/>
      </c>
      <c r="M173" s="9">
        <f>IF(A173="","",IFERROR(B173/I173,0))</f>
        <v/>
      </c>
      <c r="N173" s="3">
        <f>IF(A173="","",IF(K173&lt;=0,"Drop",IF(J173&gt;=0.65,"Profit product",IF(J173&gt;=0.5,"Traffic product","Thin"))))</f>
        <v/>
      </c>
    </row>
    <row r="174">
      <c r="B174" s="4" t="n"/>
      <c r="C174" s="4" t="n"/>
      <c r="D174" s="4" t="n"/>
      <c r="E174" s="8" t="n"/>
      <c r="F174" s="8" t="n"/>
      <c r="G174" s="8" t="n"/>
      <c r="H174" s="8" t="n"/>
      <c r="I174" s="5">
        <f>IF(A174="","",B174-C174-D174-B174*(E174+F174+G174))</f>
        <v/>
      </c>
      <c r="J174" s="6">
        <f>IF(A174="","",IFERROR(I174/B174,0))</f>
        <v/>
      </c>
      <c r="K174" s="5">
        <f>IF(A174="","",I174-B174*H174)</f>
        <v/>
      </c>
      <c r="L174" s="6">
        <f>IF(A174="","",IFERROR(K174/B174,0))</f>
        <v/>
      </c>
      <c r="M174" s="9">
        <f>IF(A174="","",IFERROR(B174/I174,0))</f>
        <v/>
      </c>
      <c r="N174" s="3">
        <f>IF(A174="","",IF(K174&lt;=0,"Drop",IF(J174&gt;=0.65,"Profit product",IF(J174&gt;=0.5,"Traffic product","Thin"))))</f>
        <v/>
      </c>
    </row>
    <row r="175">
      <c r="B175" s="4" t="n"/>
      <c r="C175" s="4" t="n"/>
      <c r="D175" s="4" t="n"/>
      <c r="E175" s="8" t="n"/>
      <c r="F175" s="8" t="n"/>
      <c r="G175" s="8" t="n"/>
      <c r="H175" s="8" t="n"/>
      <c r="I175" s="5">
        <f>IF(A175="","",B175-C175-D175-B175*(E175+F175+G175))</f>
        <v/>
      </c>
      <c r="J175" s="6">
        <f>IF(A175="","",IFERROR(I175/B175,0))</f>
        <v/>
      </c>
      <c r="K175" s="5">
        <f>IF(A175="","",I175-B175*H175)</f>
        <v/>
      </c>
      <c r="L175" s="6">
        <f>IF(A175="","",IFERROR(K175/B175,0))</f>
        <v/>
      </c>
      <c r="M175" s="9">
        <f>IF(A175="","",IFERROR(B175/I175,0))</f>
        <v/>
      </c>
      <c r="N175" s="3">
        <f>IF(A175="","",IF(K175&lt;=0,"Drop",IF(J175&gt;=0.65,"Profit product",IF(J175&gt;=0.5,"Traffic product","Thin"))))</f>
        <v/>
      </c>
    </row>
    <row r="176">
      <c r="B176" s="4" t="n"/>
      <c r="C176" s="4" t="n"/>
      <c r="D176" s="4" t="n"/>
      <c r="E176" s="8" t="n"/>
      <c r="F176" s="8" t="n"/>
      <c r="G176" s="8" t="n"/>
      <c r="H176" s="8" t="n"/>
      <c r="I176" s="5">
        <f>IF(A176="","",B176-C176-D176-B176*(E176+F176+G176))</f>
        <v/>
      </c>
      <c r="J176" s="6">
        <f>IF(A176="","",IFERROR(I176/B176,0))</f>
        <v/>
      </c>
      <c r="K176" s="5">
        <f>IF(A176="","",I176-B176*H176)</f>
        <v/>
      </c>
      <c r="L176" s="6">
        <f>IF(A176="","",IFERROR(K176/B176,0))</f>
        <v/>
      </c>
      <c r="M176" s="9">
        <f>IF(A176="","",IFERROR(B176/I176,0))</f>
        <v/>
      </c>
      <c r="N176" s="3">
        <f>IF(A176="","",IF(K176&lt;=0,"Drop",IF(J176&gt;=0.65,"Profit product",IF(J176&gt;=0.5,"Traffic product","Thin"))))</f>
        <v/>
      </c>
    </row>
    <row r="177">
      <c r="B177" s="4" t="n"/>
      <c r="C177" s="4" t="n"/>
      <c r="D177" s="4" t="n"/>
      <c r="E177" s="8" t="n"/>
      <c r="F177" s="8" t="n"/>
      <c r="G177" s="8" t="n"/>
      <c r="H177" s="8" t="n"/>
      <c r="I177" s="5">
        <f>IF(A177="","",B177-C177-D177-B177*(E177+F177+G177))</f>
        <v/>
      </c>
      <c r="J177" s="6">
        <f>IF(A177="","",IFERROR(I177/B177,0))</f>
        <v/>
      </c>
      <c r="K177" s="5">
        <f>IF(A177="","",I177-B177*H177)</f>
        <v/>
      </c>
      <c r="L177" s="6">
        <f>IF(A177="","",IFERROR(K177/B177,0))</f>
        <v/>
      </c>
      <c r="M177" s="9">
        <f>IF(A177="","",IFERROR(B177/I177,0))</f>
        <v/>
      </c>
      <c r="N177" s="3">
        <f>IF(A177="","",IF(K177&lt;=0,"Drop",IF(J177&gt;=0.65,"Profit product",IF(J177&gt;=0.5,"Traffic product","Thin"))))</f>
        <v/>
      </c>
    </row>
    <row r="178">
      <c r="B178" s="4" t="n"/>
      <c r="C178" s="4" t="n"/>
      <c r="D178" s="4" t="n"/>
      <c r="E178" s="8" t="n"/>
      <c r="F178" s="8" t="n"/>
      <c r="G178" s="8" t="n"/>
      <c r="H178" s="8" t="n"/>
      <c r="I178" s="5">
        <f>IF(A178="","",B178-C178-D178-B178*(E178+F178+G178))</f>
        <v/>
      </c>
      <c r="J178" s="6">
        <f>IF(A178="","",IFERROR(I178/B178,0))</f>
        <v/>
      </c>
      <c r="K178" s="5">
        <f>IF(A178="","",I178-B178*H178)</f>
        <v/>
      </c>
      <c r="L178" s="6">
        <f>IF(A178="","",IFERROR(K178/B178,0))</f>
        <v/>
      </c>
      <c r="M178" s="9">
        <f>IF(A178="","",IFERROR(B178/I178,0))</f>
        <v/>
      </c>
      <c r="N178" s="3">
        <f>IF(A178="","",IF(K178&lt;=0,"Drop",IF(J178&gt;=0.65,"Profit product",IF(J178&gt;=0.5,"Traffic product","Thin"))))</f>
        <v/>
      </c>
    </row>
    <row r="179">
      <c r="B179" s="4" t="n"/>
      <c r="C179" s="4" t="n"/>
      <c r="D179" s="4" t="n"/>
      <c r="E179" s="8" t="n"/>
      <c r="F179" s="8" t="n"/>
      <c r="G179" s="8" t="n"/>
      <c r="H179" s="8" t="n"/>
      <c r="I179" s="5">
        <f>IF(A179="","",B179-C179-D179-B179*(E179+F179+G179))</f>
        <v/>
      </c>
      <c r="J179" s="6">
        <f>IF(A179="","",IFERROR(I179/B179,0))</f>
        <v/>
      </c>
      <c r="K179" s="5">
        <f>IF(A179="","",I179-B179*H179)</f>
        <v/>
      </c>
      <c r="L179" s="6">
        <f>IF(A179="","",IFERROR(K179/B179,0))</f>
        <v/>
      </c>
      <c r="M179" s="9">
        <f>IF(A179="","",IFERROR(B179/I179,0))</f>
        <v/>
      </c>
      <c r="N179" s="3">
        <f>IF(A179="","",IF(K179&lt;=0,"Drop",IF(J179&gt;=0.65,"Profit product",IF(J179&gt;=0.5,"Traffic product","Thin"))))</f>
        <v/>
      </c>
    </row>
    <row r="180">
      <c r="B180" s="4" t="n"/>
      <c r="C180" s="4" t="n"/>
      <c r="D180" s="4" t="n"/>
      <c r="E180" s="8" t="n"/>
      <c r="F180" s="8" t="n"/>
      <c r="G180" s="8" t="n"/>
      <c r="H180" s="8" t="n"/>
      <c r="I180" s="5">
        <f>IF(A180="","",B180-C180-D180-B180*(E180+F180+G180))</f>
        <v/>
      </c>
      <c r="J180" s="6">
        <f>IF(A180="","",IFERROR(I180/B180,0))</f>
        <v/>
      </c>
      <c r="K180" s="5">
        <f>IF(A180="","",I180-B180*H180)</f>
        <v/>
      </c>
      <c r="L180" s="6">
        <f>IF(A180="","",IFERROR(K180/B180,0))</f>
        <v/>
      </c>
      <c r="M180" s="9">
        <f>IF(A180="","",IFERROR(B180/I180,0))</f>
        <v/>
      </c>
      <c r="N180" s="3">
        <f>IF(A180="","",IF(K180&lt;=0,"Drop",IF(J180&gt;=0.65,"Profit product",IF(J180&gt;=0.5,"Traffic product","Thin"))))</f>
        <v/>
      </c>
    </row>
    <row r="181">
      <c r="B181" s="4" t="n"/>
      <c r="C181" s="4" t="n"/>
      <c r="D181" s="4" t="n"/>
      <c r="E181" s="8" t="n"/>
      <c r="F181" s="8" t="n"/>
      <c r="G181" s="8" t="n"/>
      <c r="H181" s="8" t="n"/>
      <c r="I181" s="5">
        <f>IF(A181="","",B181-C181-D181-B181*(E181+F181+G181))</f>
        <v/>
      </c>
      <c r="J181" s="6">
        <f>IF(A181="","",IFERROR(I181/B181,0))</f>
        <v/>
      </c>
      <c r="K181" s="5">
        <f>IF(A181="","",I181-B181*H181)</f>
        <v/>
      </c>
      <c r="L181" s="6">
        <f>IF(A181="","",IFERROR(K181/B181,0))</f>
        <v/>
      </c>
      <c r="M181" s="9">
        <f>IF(A181="","",IFERROR(B181/I181,0))</f>
        <v/>
      </c>
      <c r="N181" s="3">
        <f>IF(A181="","",IF(K181&lt;=0,"Drop",IF(J181&gt;=0.65,"Profit product",IF(J181&gt;=0.5,"Traffic product","Thin"))))</f>
        <v/>
      </c>
    </row>
    <row r="182">
      <c r="B182" s="4" t="n"/>
      <c r="C182" s="4" t="n"/>
      <c r="D182" s="4" t="n"/>
      <c r="E182" s="8" t="n"/>
      <c r="F182" s="8" t="n"/>
      <c r="G182" s="8" t="n"/>
      <c r="H182" s="8" t="n"/>
      <c r="I182" s="5">
        <f>IF(A182="","",B182-C182-D182-B182*(E182+F182+G182))</f>
        <v/>
      </c>
      <c r="J182" s="6">
        <f>IF(A182="","",IFERROR(I182/B182,0))</f>
        <v/>
      </c>
      <c r="K182" s="5">
        <f>IF(A182="","",I182-B182*H182)</f>
        <v/>
      </c>
      <c r="L182" s="6">
        <f>IF(A182="","",IFERROR(K182/B182,0))</f>
        <v/>
      </c>
      <c r="M182" s="9">
        <f>IF(A182="","",IFERROR(B182/I182,0))</f>
        <v/>
      </c>
      <c r="N182" s="3">
        <f>IF(A182="","",IF(K182&lt;=0,"Drop",IF(J182&gt;=0.65,"Profit product",IF(J182&gt;=0.5,"Traffic product","Thin"))))</f>
        <v/>
      </c>
    </row>
    <row r="183">
      <c r="B183" s="4" t="n"/>
      <c r="C183" s="4" t="n"/>
      <c r="D183" s="4" t="n"/>
      <c r="E183" s="8" t="n"/>
      <c r="F183" s="8" t="n"/>
      <c r="G183" s="8" t="n"/>
      <c r="H183" s="8" t="n"/>
      <c r="I183" s="5">
        <f>IF(A183="","",B183-C183-D183-B183*(E183+F183+G183))</f>
        <v/>
      </c>
      <c r="J183" s="6">
        <f>IF(A183="","",IFERROR(I183/B183,0))</f>
        <v/>
      </c>
      <c r="K183" s="5">
        <f>IF(A183="","",I183-B183*H183)</f>
        <v/>
      </c>
      <c r="L183" s="6">
        <f>IF(A183="","",IFERROR(K183/B183,0))</f>
        <v/>
      </c>
      <c r="M183" s="9">
        <f>IF(A183="","",IFERROR(B183/I183,0))</f>
        <v/>
      </c>
      <c r="N183" s="3">
        <f>IF(A183="","",IF(K183&lt;=0,"Drop",IF(J183&gt;=0.65,"Profit product",IF(J183&gt;=0.5,"Traffic product","Thin"))))</f>
        <v/>
      </c>
    </row>
    <row r="184">
      <c r="B184" s="4" t="n"/>
      <c r="C184" s="4" t="n"/>
      <c r="D184" s="4" t="n"/>
      <c r="E184" s="8" t="n"/>
      <c r="F184" s="8" t="n"/>
      <c r="G184" s="8" t="n"/>
      <c r="H184" s="8" t="n"/>
      <c r="I184" s="5">
        <f>IF(A184="","",B184-C184-D184-B184*(E184+F184+G184))</f>
        <v/>
      </c>
      <c r="J184" s="6">
        <f>IF(A184="","",IFERROR(I184/B184,0))</f>
        <v/>
      </c>
      <c r="K184" s="5">
        <f>IF(A184="","",I184-B184*H184)</f>
        <v/>
      </c>
      <c r="L184" s="6">
        <f>IF(A184="","",IFERROR(K184/B184,0))</f>
        <v/>
      </c>
      <c r="M184" s="9">
        <f>IF(A184="","",IFERROR(B184/I184,0))</f>
        <v/>
      </c>
      <c r="N184" s="3">
        <f>IF(A184="","",IF(K184&lt;=0,"Drop",IF(J184&gt;=0.65,"Profit product",IF(J184&gt;=0.5,"Traffic product","Thin"))))</f>
        <v/>
      </c>
    </row>
    <row r="185">
      <c r="B185" s="4" t="n"/>
      <c r="C185" s="4" t="n"/>
      <c r="D185" s="4" t="n"/>
      <c r="E185" s="8" t="n"/>
      <c r="F185" s="8" t="n"/>
      <c r="G185" s="8" t="n"/>
      <c r="H185" s="8" t="n"/>
      <c r="I185" s="5">
        <f>IF(A185="","",B185-C185-D185-B185*(E185+F185+G185))</f>
        <v/>
      </c>
      <c r="J185" s="6">
        <f>IF(A185="","",IFERROR(I185/B185,0))</f>
        <v/>
      </c>
      <c r="K185" s="5">
        <f>IF(A185="","",I185-B185*H185)</f>
        <v/>
      </c>
      <c r="L185" s="6">
        <f>IF(A185="","",IFERROR(K185/B185,0))</f>
        <v/>
      </c>
      <c r="M185" s="9">
        <f>IF(A185="","",IFERROR(B185/I185,0))</f>
        <v/>
      </c>
      <c r="N185" s="3">
        <f>IF(A185="","",IF(K185&lt;=0,"Drop",IF(J185&gt;=0.65,"Profit product",IF(J185&gt;=0.5,"Traffic product","Thin"))))</f>
        <v/>
      </c>
    </row>
    <row r="186">
      <c r="B186" s="4" t="n"/>
      <c r="C186" s="4" t="n"/>
      <c r="D186" s="4" t="n"/>
      <c r="E186" s="8" t="n"/>
      <c r="F186" s="8" t="n"/>
      <c r="G186" s="8" t="n"/>
      <c r="H186" s="8" t="n"/>
      <c r="I186" s="5">
        <f>IF(A186="","",B186-C186-D186-B186*(E186+F186+G186))</f>
        <v/>
      </c>
      <c r="J186" s="6">
        <f>IF(A186="","",IFERROR(I186/B186,0))</f>
        <v/>
      </c>
      <c r="K186" s="5">
        <f>IF(A186="","",I186-B186*H186)</f>
        <v/>
      </c>
      <c r="L186" s="6">
        <f>IF(A186="","",IFERROR(K186/B186,0))</f>
        <v/>
      </c>
      <c r="M186" s="9">
        <f>IF(A186="","",IFERROR(B186/I186,0))</f>
        <v/>
      </c>
      <c r="N186" s="3">
        <f>IF(A186="","",IF(K186&lt;=0,"Drop",IF(J186&gt;=0.65,"Profit product",IF(J186&gt;=0.5,"Traffic product","Thin"))))</f>
        <v/>
      </c>
    </row>
    <row r="187">
      <c r="B187" s="4" t="n"/>
      <c r="C187" s="4" t="n"/>
      <c r="D187" s="4" t="n"/>
      <c r="E187" s="8" t="n"/>
      <c r="F187" s="8" t="n"/>
      <c r="G187" s="8" t="n"/>
      <c r="H187" s="8" t="n"/>
      <c r="I187" s="5">
        <f>IF(A187="","",B187-C187-D187-B187*(E187+F187+G187))</f>
        <v/>
      </c>
      <c r="J187" s="6">
        <f>IF(A187="","",IFERROR(I187/B187,0))</f>
        <v/>
      </c>
      <c r="K187" s="5">
        <f>IF(A187="","",I187-B187*H187)</f>
        <v/>
      </c>
      <c r="L187" s="6">
        <f>IF(A187="","",IFERROR(K187/B187,0))</f>
        <v/>
      </c>
      <c r="M187" s="9">
        <f>IF(A187="","",IFERROR(B187/I187,0))</f>
        <v/>
      </c>
      <c r="N187" s="3">
        <f>IF(A187="","",IF(K187&lt;=0,"Drop",IF(J187&gt;=0.65,"Profit product",IF(J187&gt;=0.5,"Traffic product","Thin"))))</f>
        <v/>
      </c>
    </row>
    <row r="188">
      <c r="B188" s="4" t="n"/>
      <c r="C188" s="4" t="n"/>
      <c r="D188" s="4" t="n"/>
      <c r="E188" s="8" t="n"/>
      <c r="F188" s="8" t="n"/>
      <c r="G188" s="8" t="n"/>
      <c r="H188" s="8" t="n"/>
      <c r="I188" s="5">
        <f>IF(A188="","",B188-C188-D188-B188*(E188+F188+G188))</f>
        <v/>
      </c>
      <c r="J188" s="6">
        <f>IF(A188="","",IFERROR(I188/B188,0))</f>
        <v/>
      </c>
      <c r="K188" s="5">
        <f>IF(A188="","",I188-B188*H188)</f>
        <v/>
      </c>
      <c r="L188" s="6">
        <f>IF(A188="","",IFERROR(K188/B188,0))</f>
        <v/>
      </c>
      <c r="M188" s="9">
        <f>IF(A188="","",IFERROR(B188/I188,0))</f>
        <v/>
      </c>
      <c r="N188" s="3">
        <f>IF(A188="","",IF(K188&lt;=0,"Drop",IF(J188&gt;=0.65,"Profit product",IF(J188&gt;=0.5,"Traffic product","Thin"))))</f>
        <v/>
      </c>
    </row>
    <row r="189">
      <c r="B189" s="4" t="n"/>
      <c r="C189" s="4" t="n"/>
      <c r="D189" s="4" t="n"/>
      <c r="E189" s="8" t="n"/>
      <c r="F189" s="8" t="n"/>
      <c r="G189" s="8" t="n"/>
      <c r="H189" s="8" t="n"/>
      <c r="I189" s="5">
        <f>IF(A189="","",B189-C189-D189-B189*(E189+F189+G189))</f>
        <v/>
      </c>
      <c r="J189" s="6">
        <f>IF(A189="","",IFERROR(I189/B189,0))</f>
        <v/>
      </c>
      <c r="K189" s="5">
        <f>IF(A189="","",I189-B189*H189)</f>
        <v/>
      </c>
      <c r="L189" s="6">
        <f>IF(A189="","",IFERROR(K189/B189,0))</f>
        <v/>
      </c>
      <c r="M189" s="9">
        <f>IF(A189="","",IFERROR(B189/I189,0))</f>
        <v/>
      </c>
      <c r="N189" s="3">
        <f>IF(A189="","",IF(K189&lt;=0,"Drop",IF(J189&gt;=0.65,"Profit product",IF(J189&gt;=0.5,"Traffic product","Thin"))))</f>
        <v/>
      </c>
    </row>
    <row r="190">
      <c r="B190" s="4" t="n"/>
      <c r="C190" s="4" t="n"/>
      <c r="D190" s="4" t="n"/>
      <c r="E190" s="8" t="n"/>
      <c r="F190" s="8" t="n"/>
      <c r="G190" s="8" t="n"/>
      <c r="H190" s="8" t="n"/>
      <c r="I190" s="5">
        <f>IF(A190="","",B190-C190-D190-B190*(E190+F190+G190))</f>
        <v/>
      </c>
      <c r="J190" s="6">
        <f>IF(A190="","",IFERROR(I190/B190,0))</f>
        <v/>
      </c>
      <c r="K190" s="5">
        <f>IF(A190="","",I190-B190*H190)</f>
        <v/>
      </c>
      <c r="L190" s="6">
        <f>IF(A190="","",IFERROR(K190/B190,0))</f>
        <v/>
      </c>
      <c r="M190" s="9">
        <f>IF(A190="","",IFERROR(B190/I190,0))</f>
        <v/>
      </c>
      <c r="N190" s="3">
        <f>IF(A190="","",IF(K190&lt;=0,"Drop",IF(J190&gt;=0.65,"Profit product",IF(J190&gt;=0.5,"Traffic product","Thin"))))</f>
        <v/>
      </c>
    </row>
    <row r="191">
      <c r="B191" s="4" t="n"/>
      <c r="C191" s="4" t="n"/>
      <c r="D191" s="4" t="n"/>
      <c r="E191" s="8" t="n"/>
      <c r="F191" s="8" t="n"/>
      <c r="G191" s="8" t="n"/>
      <c r="H191" s="8" t="n"/>
      <c r="I191" s="5">
        <f>IF(A191="","",B191-C191-D191-B191*(E191+F191+G191))</f>
        <v/>
      </c>
      <c r="J191" s="6">
        <f>IF(A191="","",IFERROR(I191/B191,0))</f>
        <v/>
      </c>
      <c r="K191" s="5">
        <f>IF(A191="","",I191-B191*H191)</f>
        <v/>
      </c>
      <c r="L191" s="6">
        <f>IF(A191="","",IFERROR(K191/B191,0))</f>
        <v/>
      </c>
      <c r="M191" s="9">
        <f>IF(A191="","",IFERROR(B191/I191,0))</f>
        <v/>
      </c>
      <c r="N191" s="3">
        <f>IF(A191="","",IF(K191&lt;=0,"Drop",IF(J191&gt;=0.65,"Profit product",IF(J191&gt;=0.5,"Traffic product","Thin"))))</f>
        <v/>
      </c>
    </row>
    <row r="192">
      <c r="B192" s="4" t="n"/>
      <c r="C192" s="4" t="n"/>
      <c r="D192" s="4" t="n"/>
      <c r="E192" s="8" t="n"/>
      <c r="F192" s="8" t="n"/>
      <c r="G192" s="8" t="n"/>
      <c r="H192" s="8" t="n"/>
      <c r="I192" s="5">
        <f>IF(A192="","",B192-C192-D192-B192*(E192+F192+G192))</f>
        <v/>
      </c>
      <c r="J192" s="6">
        <f>IF(A192="","",IFERROR(I192/B192,0))</f>
        <v/>
      </c>
      <c r="K192" s="5">
        <f>IF(A192="","",I192-B192*H192)</f>
        <v/>
      </c>
      <c r="L192" s="6">
        <f>IF(A192="","",IFERROR(K192/B192,0))</f>
        <v/>
      </c>
      <c r="M192" s="9">
        <f>IF(A192="","",IFERROR(B192/I192,0))</f>
        <v/>
      </c>
      <c r="N192" s="3">
        <f>IF(A192="","",IF(K192&lt;=0,"Drop",IF(J192&gt;=0.65,"Profit product",IF(J192&gt;=0.5,"Traffic product","Thin"))))</f>
        <v/>
      </c>
    </row>
    <row r="193">
      <c r="B193" s="4" t="n"/>
      <c r="C193" s="4" t="n"/>
      <c r="D193" s="4" t="n"/>
      <c r="E193" s="8" t="n"/>
      <c r="F193" s="8" t="n"/>
      <c r="G193" s="8" t="n"/>
      <c r="H193" s="8" t="n"/>
      <c r="I193" s="5">
        <f>IF(A193="","",B193-C193-D193-B193*(E193+F193+G193))</f>
        <v/>
      </c>
      <c r="J193" s="6">
        <f>IF(A193="","",IFERROR(I193/B193,0))</f>
        <v/>
      </c>
      <c r="K193" s="5">
        <f>IF(A193="","",I193-B193*H193)</f>
        <v/>
      </c>
      <c r="L193" s="6">
        <f>IF(A193="","",IFERROR(K193/B193,0))</f>
        <v/>
      </c>
      <c r="M193" s="9">
        <f>IF(A193="","",IFERROR(B193/I193,0))</f>
        <v/>
      </c>
      <c r="N193" s="3">
        <f>IF(A193="","",IF(K193&lt;=0,"Drop",IF(J193&gt;=0.65,"Profit product",IF(J193&gt;=0.5,"Traffic product","Thin"))))</f>
        <v/>
      </c>
    </row>
    <row r="194">
      <c r="B194" s="4" t="n"/>
      <c r="C194" s="4" t="n"/>
      <c r="D194" s="4" t="n"/>
      <c r="E194" s="8" t="n"/>
      <c r="F194" s="8" t="n"/>
      <c r="G194" s="8" t="n"/>
      <c r="H194" s="8" t="n"/>
      <c r="I194" s="5">
        <f>IF(A194="","",B194-C194-D194-B194*(E194+F194+G194))</f>
        <v/>
      </c>
      <c r="J194" s="6">
        <f>IF(A194="","",IFERROR(I194/B194,0))</f>
        <v/>
      </c>
      <c r="K194" s="5">
        <f>IF(A194="","",I194-B194*H194)</f>
        <v/>
      </c>
      <c r="L194" s="6">
        <f>IF(A194="","",IFERROR(K194/B194,0))</f>
        <v/>
      </c>
      <c r="M194" s="9">
        <f>IF(A194="","",IFERROR(B194/I194,0))</f>
        <v/>
      </c>
      <c r="N194" s="3">
        <f>IF(A194="","",IF(K194&lt;=0,"Drop",IF(J194&gt;=0.65,"Profit product",IF(J194&gt;=0.5,"Traffic product","Thin"))))</f>
        <v/>
      </c>
    </row>
    <row r="195">
      <c r="B195" s="4" t="n"/>
      <c r="C195" s="4" t="n"/>
      <c r="D195" s="4" t="n"/>
      <c r="E195" s="8" t="n"/>
      <c r="F195" s="8" t="n"/>
      <c r="G195" s="8" t="n"/>
      <c r="H195" s="8" t="n"/>
      <c r="I195" s="5">
        <f>IF(A195="","",B195-C195-D195-B195*(E195+F195+G195))</f>
        <v/>
      </c>
      <c r="J195" s="6">
        <f>IF(A195="","",IFERROR(I195/B195,0))</f>
        <v/>
      </c>
      <c r="K195" s="5">
        <f>IF(A195="","",I195-B195*H195)</f>
        <v/>
      </c>
      <c r="L195" s="6">
        <f>IF(A195="","",IFERROR(K195/B195,0))</f>
        <v/>
      </c>
      <c r="M195" s="9">
        <f>IF(A195="","",IFERROR(B195/I195,0))</f>
        <v/>
      </c>
      <c r="N195" s="3">
        <f>IF(A195="","",IF(K195&lt;=0,"Drop",IF(J195&gt;=0.65,"Profit product",IF(J195&gt;=0.5,"Traffic product","Thin"))))</f>
        <v/>
      </c>
    </row>
    <row r="196">
      <c r="B196" s="4" t="n"/>
      <c r="C196" s="4" t="n"/>
      <c r="D196" s="4" t="n"/>
      <c r="E196" s="8" t="n"/>
      <c r="F196" s="8" t="n"/>
      <c r="G196" s="8" t="n"/>
      <c r="H196" s="8" t="n"/>
      <c r="I196" s="5">
        <f>IF(A196="","",B196-C196-D196-B196*(E196+F196+G196))</f>
        <v/>
      </c>
      <c r="J196" s="6">
        <f>IF(A196="","",IFERROR(I196/B196,0))</f>
        <v/>
      </c>
      <c r="K196" s="5">
        <f>IF(A196="","",I196-B196*H196)</f>
        <v/>
      </c>
      <c r="L196" s="6">
        <f>IF(A196="","",IFERROR(K196/B196,0))</f>
        <v/>
      </c>
      <c r="M196" s="9">
        <f>IF(A196="","",IFERROR(B196/I196,0))</f>
        <v/>
      </c>
      <c r="N196" s="3">
        <f>IF(A196="","",IF(K196&lt;=0,"Drop",IF(J196&gt;=0.65,"Profit product",IF(J196&gt;=0.5,"Traffic product","Thin"))))</f>
        <v/>
      </c>
    </row>
    <row r="197">
      <c r="B197" s="4" t="n"/>
      <c r="C197" s="4" t="n"/>
      <c r="D197" s="4" t="n"/>
      <c r="E197" s="8" t="n"/>
      <c r="F197" s="8" t="n"/>
      <c r="G197" s="8" t="n"/>
      <c r="H197" s="8" t="n"/>
      <c r="I197" s="5">
        <f>IF(A197="","",B197-C197-D197-B197*(E197+F197+G197))</f>
        <v/>
      </c>
      <c r="J197" s="6">
        <f>IF(A197="","",IFERROR(I197/B197,0))</f>
        <v/>
      </c>
      <c r="K197" s="5">
        <f>IF(A197="","",I197-B197*H197)</f>
        <v/>
      </c>
      <c r="L197" s="6">
        <f>IF(A197="","",IFERROR(K197/B197,0))</f>
        <v/>
      </c>
      <c r="M197" s="9">
        <f>IF(A197="","",IFERROR(B197/I197,0))</f>
        <v/>
      </c>
      <c r="N197" s="3">
        <f>IF(A197="","",IF(K197&lt;=0,"Drop",IF(J197&gt;=0.65,"Profit product",IF(J197&gt;=0.5,"Traffic product","Thin"))))</f>
        <v/>
      </c>
    </row>
    <row r="198">
      <c r="B198" s="4" t="n"/>
      <c r="C198" s="4" t="n"/>
      <c r="D198" s="4" t="n"/>
      <c r="E198" s="8" t="n"/>
      <c r="F198" s="8" t="n"/>
      <c r="G198" s="8" t="n"/>
      <c r="H198" s="8" t="n"/>
      <c r="I198" s="5">
        <f>IF(A198="","",B198-C198-D198-B198*(E198+F198+G198))</f>
        <v/>
      </c>
      <c r="J198" s="6">
        <f>IF(A198="","",IFERROR(I198/B198,0))</f>
        <v/>
      </c>
      <c r="K198" s="5">
        <f>IF(A198="","",I198-B198*H198)</f>
        <v/>
      </c>
      <c r="L198" s="6">
        <f>IF(A198="","",IFERROR(K198/B198,0))</f>
        <v/>
      </c>
      <c r="M198" s="9">
        <f>IF(A198="","",IFERROR(B198/I198,0))</f>
        <v/>
      </c>
      <c r="N198" s="3">
        <f>IF(A198="","",IF(K198&lt;=0,"Drop",IF(J198&gt;=0.65,"Profit product",IF(J198&gt;=0.5,"Traffic product","Thin"))))</f>
        <v/>
      </c>
    </row>
    <row r="199">
      <c r="B199" s="4" t="n"/>
      <c r="C199" s="4" t="n"/>
      <c r="D199" s="4" t="n"/>
      <c r="E199" s="8" t="n"/>
      <c r="F199" s="8" t="n"/>
      <c r="G199" s="8" t="n"/>
      <c r="H199" s="8" t="n"/>
      <c r="I199" s="5">
        <f>IF(A199="","",B199-C199-D199-B199*(E199+F199+G199))</f>
        <v/>
      </c>
      <c r="J199" s="6">
        <f>IF(A199="","",IFERROR(I199/B199,0))</f>
        <v/>
      </c>
      <c r="K199" s="5">
        <f>IF(A199="","",I199-B199*H199)</f>
        <v/>
      </c>
      <c r="L199" s="6">
        <f>IF(A199="","",IFERROR(K199/B199,0))</f>
        <v/>
      </c>
      <c r="M199" s="9">
        <f>IF(A199="","",IFERROR(B199/I199,0))</f>
        <v/>
      </c>
      <c r="N199" s="3">
        <f>IF(A199="","",IF(K199&lt;=0,"Drop",IF(J199&gt;=0.65,"Profit product",IF(J199&gt;=0.5,"Traffic product","Thin"))))</f>
        <v/>
      </c>
    </row>
    <row r="200">
      <c r="B200" s="4" t="n"/>
      <c r="C200" s="4" t="n"/>
      <c r="D200" s="4" t="n"/>
      <c r="E200" s="8" t="n"/>
      <c r="F200" s="8" t="n"/>
      <c r="G200" s="8" t="n"/>
      <c r="H200" s="8" t="n"/>
      <c r="I200" s="5">
        <f>IF(A200="","",B200-C200-D200-B200*(E200+F200+G200))</f>
        <v/>
      </c>
      <c r="J200" s="6">
        <f>IF(A200="","",IFERROR(I200/B200,0))</f>
        <v/>
      </c>
      <c r="K200" s="5">
        <f>IF(A200="","",I200-B200*H200)</f>
        <v/>
      </c>
      <c r="L200" s="6">
        <f>IF(A200="","",IFERROR(K200/B200,0))</f>
        <v/>
      </c>
      <c r="M200" s="9">
        <f>IF(A200="","",IFERROR(B200/I200,0))</f>
        <v/>
      </c>
      <c r="N200" s="3">
        <f>IF(A200="","",IF(K200&lt;=0,"Drop",IF(J200&gt;=0.65,"Profit product",IF(J200&gt;=0.5,"Traffic product","Thin"))))</f>
        <v/>
      </c>
    </row>
    <row r="201">
      <c r="B201" s="4" t="n"/>
      <c r="C201" s="4" t="n"/>
      <c r="D201" s="4" t="n"/>
      <c r="E201" s="8" t="n"/>
      <c r="F201" s="8" t="n"/>
      <c r="G201" s="8" t="n"/>
      <c r="H201" s="8" t="n"/>
      <c r="I201" s="5">
        <f>IF(A201="","",B201-C201-D201-B201*(E201+F201+G201))</f>
        <v/>
      </c>
      <c r="J201" s="6">
        <f>IF(A201="","",IFERROR(I201/B201,0))</f>
        <v/>
      </c>
      <c r="K201" s="5">
        <f>IF(A201="","",I201-B201*H201)</f>
        <v/>
      </c>
      <c r="L201" s="6">
        <f>IF(A201="","",IFERROR(K201/B201,0))</f>
        <v/>
      </c>
      <c r="M201" s="9">
        <f>IF(A201="","",IFERROR(B201/I201,0))</f>
        <v/>
      </c>
      <c r="N201" s="3">
        <f>IF(A201="","",IF(K201&lt;=0,"Drop",IF(J201&gt;=0.65,"Profit product",IF(J201&gt;=0.5,"Traffic product","Thin"))))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42857142857143" customWidth="1" min="1" max="1"/>
    <col width="15.71428571428571" customWidth="1" min="2" max="2"/>
    <col width="31.42857142857143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28.57142857142857" customWidth="1" min="11" max="11"/>
  </cols>
  <sheetData>
    <row r="1" ht="48" customHeight="1">
      <c r="A1" s="1" t="inlineStr">
        <is>
          <t>Selling point</t>
        </is>
      </c>
      <c r="B1" s="1" t="inlineStr">
        <is>
          <t>Grade</t>
        </is>
      </c>
      <c r="C1" s="1" t="inlineStr">
        <is>
          <t>Customer pain (paraphrased)</t>
        </is>
      </c>
      <c r="D1" s="1" t="inlineStr">
        <is>
          <t>Segment</t>
        </is>
      </c>
      <c r="E1" s="1" t="inlineStr">
        <is>
          <t>Test week</t>
        </is>
      </c>
      <c r="F1" s="1" t="inlineStr">
        <is>
          <t>Videos tested</t>
        </is>
      </c>
      <c r="G1" s="1" t="inlineStr">
        <is>
          <t>Views</t>
        </is>
      </c>
      <c r="H1" s="1" t="inlineStr">
        <is>
          <t>Orders</t>
        </is>
      </c>
      <c r="I1" s="2" t="inlineStr">
        <is>
          <t>Orders / 10k views ƒ</t>
        </is>
      </c>
      <c r="J1" s="1" t="inlineStr">
        <is>
          <t>Status</t>
        </is>
      </c>
      <c r="K1" s="1" t="inlineStr">
        <is>
          <t>Learning</t>
        </is>
      </c>
    </row>
    <row r="2">
      <c r="A2" t="inlineStr">
        <is>
          <t>Example: salon result in 10 min</t>
        </is>
      </c>
      <c r="B2" t="inlineStr">
        <is>
          <t>S</t>
        </is>
      </c>
      <c r="C2" t="inlineStr">
        <is>
          <t>Paid for salon twice, curls fell out</t>
        </is>
      </c>
      <c r="D2" t="inlineStr">
        <is>
          <t>Busy professionals</t>
        </is>
      </c>
      <c r="E2" t="n">
        <v>1</v>
      </c>
      <c r="F2" t="n">
        <v>6</v>
      </c>
      <c r="G2" t="n">
        <v>42000</v>
      </c>
      <c r="H2" t="n">
        <v>31</v>
      </c>
      <c r="I2" s="9">
        <f>IF(A2="","",IFERROR(H2/G2*10000,0))</f>
        <v/>
      </c>
      <c r="J2" t="inlineStr">
        <is>
          <t>Testing</t>
        </is>
      </c>
    </row>
    <row r="3">
      <c r="I3" s="9">
        <f>IF(A3="","",IFERROR(H3/G3*10000,0))</f>
        <v/>
      </c>
    </row>
    <row r="4">
      <c r="I4" s="9">
        <f>IF(A4="","",IFERROR(H4/G4*10000,0))</f>
        <v/>
      </c>
    </row>
    <row r="5">
      <c r="I5" s="9">
        <f>IF(A5="","",IFERROR(H5/G5*10000,0))</f>
        <v/>
      </c>
    </row>
    <row r="6">
      <c r="I6" s="9">
        <f>IF(A6="","",IFERROR(H6/G6*10000,0))</f>
        <v/>
      </c>
    </row>
    <row r="7">
      <c r="I7" s="9">
        <f>IF(A7="","",IFERROR(H7/G7*10000,0))</f>
        <v/>
      </c>
    </row>
    <row r="8">
      <c r="I8" s="9">
        <f>IF(A8="","",IFERROR(H8/G8*10000,0))</f>
        <v/>
      </c>
    </row>
    <row r="9">
      <c r="I9" s="9">
        <f>IF(A9="","",IFERROR(H9/G9*10000,0))</f>
        <v/>
      </c>
    </row>
    <row r="10">
      <c r="I10" s="9">
        <f>IF(A10="","",IFERROR(H10/G10*10000,0))</f>
        <v/>
      </c>
    </row>
    <row r="11">
      <c r="I11" s="9">
        <f>IF(A11="","",IFERROR(H11/G11*10000,0))</f>
        <v/>
      </c>
    </row>
    <row r="12">
      <c r="I12" s="9">
        <f>IF(A12="","",IFERROR(H12/G12*10000,0))</f>
        <v/>
      </c>
    </row>
    <row r="13">
      <c r="I13" s="9">
        <f>IF(A13="","",IFERROR(H13/G13*10000,0))</f>
        <v/>
      </c>
    </row>
    <row r="14">
      <c r="I14" s="9">
        <f>IF(A14="","",IFERROR(H14/G14*10000,0))</f>
        <v/>
      </c>
    </row>
    <row r="15">
      <c r="I15" s="9">
        <f>IF(A15="","",IFERROR(H15/G15*10000,0))</f>
        <v/>
      </c>
    </row>
    <row r="16">
      <c r="I16" s="9">
        <f>IF(A16="","",IFERROR(H16/G16*10000,0))</f>
        <v/>
      </c>
    </row>
    <row r="17">
      <c r="I17" s="9">
        <f>IF(A17="","",IFERROR(H17/G17*10000,0))</f>
        <v/>
      </c>
    </row>
    <row r="18">
      <c r="I18" s="9">
        <f>IF(A18="","",IFERROR(H18/G18*10000,0))</f>
        <v/>
      </c>
    </row>
    <row r="19">
      <c r="I19" s="9">
        <f>IF(A19="","",IFERROR(H19/G19*10000,0))</f>
        <v/>
      </c>
    </row>
    <row r="20">
      <c r="I20" s="9">
        <f>IF(A20="","",IFERROR(H20/G20*10000,0))</f>
        <v/>
      </c>
    </row>
    <row r="21">
      <c r="I21" s="9">
        <f>IF(A21="","",IFERROR(H21/G21*10000,0))</f>
        <v/>
      </c>
    </row>
    <row r="22">
      <c r="I22" s="9">
        <f>IF(A22="","",IFERROR(H22/G22*10000,0))</f>
        <v/>
      </c>
    </row>
    <row r="23">
      <c r="I23" s="9">
        <f>IF(A23="","",IFERROR(H23/G23*10000,0))</f>
        <v/>
      </c>
    </row>
    <row r="24">
      <c r="I24" s="9">
        <f>IF(A24="","",IFERROR(H24/G24*10000,0))</f>
        <v/>
      </c>
    </row>
    <row r="25">
      <c r="I25" s="9">
        <f>IF(A25="","",IFERROR(H25/G25*10000,0))</f>
        <v/>
      </c>
    </row>
    <row r="26">
      <c r="I26" s="9">
        <f>IF(A26="","",IFERROR(H26/G26*10000,0))</f>
        <v/>
      </c>
    </row>
    <row r="27">
      <c r="I27" s="9">
        <f>IF(A27="","",IFERROR(H27/G27*10000,0))</f>
        <v/>
      </c>
    </row>
    <row r="28">
      <c r="I28" s="9">
        <f>IF(A28="","",IFERROR(H28/G28*10000,0))</f>
        <v/>
      </c>
    </row>
    <row r="29">
      <c r="I29" s="9">
        <f>IF(A29="","",IFERROR(H29/G29*10000,0))</f>
        <v/>
      </c>
    </row>
    <row r="30">
      <c r="I30" s="9">
        <f>IF(A30="","",IFERROR(H30/G30*10000,0))</f>
        <v/>
      </c>
    </row>
    <row r="31">
      <c r="I31" s="9">
        <f>IF(A31="","",IFERROR(H31/G31*10000,0))</f>
        <v/>
      </c>
    </row>
    <row r="32">
      <c r="I32" s="9">
        <f>IF(A32="","",IFERROR(H32/G32*10000,0))</f>
        <v/>
      </c>
    </row>
    <row r="33">
      <c r="I33" s="9">
        <f>IF(A33="","",IFERROR(H33/G33*10000,0))</f>
        <v/>
      </c>
    </row>
    <row r="34">
      <c r="I34" s="9">
        <f>IF(A34="","",IFERROR(H34/G34*10000,0))</f>
        <v/>
      </c>
    </row>
    <row r="35">
      <c r="I35" s="9">
        <f>IF(A35="","",IFERROR(H35/G35*10000,0))</f>
        <v/>
      </c>
    </row>
    <row r="36">
      <c r="I36" s="9">
        <f>IF(A36="","",IFERROR(H36/G36*10000,0))</f>
        <v/>
      </c>
    </row>
    <row r="37">
      <c r="I37" s="9">
        <f>IF(A37="","",IFERROR(H37/G37*10000,0))</f>
        <v/>
      </c>
    </row>
    <row r="38">
      <c r="I38" s="9">
        <f>IF(A38="","",IFERROR(H38/G38*10000,0))</f>
        <v/>
      </c>
    </row>
    <row r="39">
      <c r="I39" s="9">
        <f>IF(A39="","",IFERROR(H39/G39*10000,0))</f>
        <v/>
      </c>
    </row>
    <row r="40">
      <c r="I40" s="9">
        <f>IF(A40="","",IFERROR(H40/G40*10000,0))</f>
        <v/>
      </c>
    </row>
    <row r="41">
      <c r="I41" s="9">
        <f>IF(A41="","",IFERROR(H41/G41*10000,0))</f>
        <v/>
      </c>
    </row>
    <row r="42">
      <c r="I42" s="9">
        <f>IF(A42="","",IFERROR(H42/G42*10000,0))</f>
        <v/>
      </c>
    </row>
    <row r="43">
      <c r="I43" s="9">
        <f>IF(A43="","",IFERROR(H43/G43*10000,0))</f>
        <v/>
      </c>
    </row>
    <row r="44">
      <c r="I44" s="9">
        <f>IF(A44="","",IFERROR(H44/G44*10000,0))</f>
        <v/>
      </c>
    </row>
    <row r="45">
      <c r="I45" s="9">
        <f>IF(A45="","",IFERROR(H45/G45*10000,0))</f>
        <v/>
      </c>
    </row>
    <row r="46">
      <c r="I46" s="9">
        <f>IF(A46="","",IFERROR(H46/G46*10000,0))</f>
        <v/>
      </c>
    </row>
    <row r="47">
      <c r="I47" s="9">
        <f>IF(A47="","",IFERROR(H47/G47*10000,0))</f>
        <v/>
      </c>
    </row>
    <row r="48">
      <c r="I48" s="9">
        <f>IF(A48="","",IFERROR(H48/G48*10000,0))</f>
        <v/>
      </c>
    </row>
    <row r="49">
      <c r="I49" s="9">
        <f>IF(A49="","",IFERROR(H49/G49*10000,0))</f>
        <v/>
      </c>
    </row>
    <row r="50">
      <c r="I50" s="9">
        <f>IF(A50="","",IFERROR(H50/G50*10000,0))</f>
        <v/>
      </c>
    </row>
    <row r="51">
      <c r="I51" s="9">
        <f>IF(A51="","",IFERROR(H51/G51*10000,0))</f>
        <v/>
      </c>
    </row>
    <row r="52">
      <c r="I52" s="9">
        <f>IF(A52="","",IFERROR(H52/G52*10000,0))</f>
        <v/>
      </c>
    </row>
    <row r="53">
      <c r="I53" s="9">
        <f>IF(A53="","",IFERROR(H53/G53*10000,0))</f>
        <v/>
      </c>
    </row>
    <row r="54">
      <c r="I54" s="9">
        <f>IF(A54="","",IFERROR(H54/G54*10000,0))</f>
        <v/>
      </c>
    </row>
    <row r="55">
      <c r="I55" s="9">
        <f>IF(A55="","",IFERROR(H55/G55*10000,0))</f>
        <v/>
      </c>
    </row>
    <row r="56">
      <c r="I56" s="9">
        <f>IF(A56="","",IFERROR(H56/G56*10000,0))</f>
        <v/>
      </c>
    </row>
    <row r="57">
      <c r="I57" s="9">
        <f>IF(A57="","",IFERROR(H57/G57*10000,0))</f>
        <v/>
      </c>
    </row>
    <row r="58">
      <c r="I58" s="9">
        <f>IF(A58="","",IFERROR(H58/G58*10000,0))</f>
        <v/>
      </c>
    </row>
    <row r="59">
      <c r="I59" s="9">
        <f>IF(A59="","",IFERROR(H59/G59*10000,0))</f>
        <v/>
      </c>
    </row>
    <row r="60">
      <c r="I60" s="9">
        <f>IF(A60="","",IFERROR(H60/G60*10000,0))</f>
        <v/>
      </c>
    </row>
    <row r="61">
      <c r="I61" s="9">
        <f>IF(A61="","",IFERROR(H61/G61*10000,0))</f>
        <v/>
      </c>
    </row>
    <row r="62">
      <c r="I62" s="9">
        <f>IF(A62="","",IFERROR(H62/G62*10000,0))</f>
        <v/>
      </c>
    </row>
    <row r="63">
      <c r="I63" s="9">
        <f>IF(A63="","",IFERROR(H63/G63*10000,0))</f>
        <v/>
      </c>
    </row>
    <row r="64">
      <c r="I64" s="9">
        <f>IF(A64="","",IFERROR(H64/G64*10000,0))</f>
        <v/>
      </c>
    </row>
    <row r="65">
      <c r="I65" s="9">
        <f>IF(A65="","",IFERROR(H65/G65*10000,0))</f>
        <v/>
      </c>
    </row>
    <row r="66">
      <c r="I66" s="9">
        <f>IF(A66="","",IFERROR(H66/G66*10000,0))</f>
        <v/>
      </c>
    </row>
    <row r="67">
      <c r="I67" s="9">
        <f>IF(A67="","",IFERROR(H67/G67*10000,0))</f>
        <v/>
      </c>
    </row>
    <row r="68">
      <c r="I68" s="9">
        <f>IF(A68="","",IFERROR(H68/G68*10000,0))</f>
        <v/>
      </c>
    </row>
    <row r="69">
      <c r="I69" s="9">
        <f>IF(A69="","",IFERROR(H69/G69*10000,0))</f>
        <v/>
      </c>
    </row>
    <row r="70">
      <c r="I70" s="9">
        <f>IF(A70="","",IFERROR(H70/G70*10000,0))</f>
        <v/>
      </c>
    </row>
    <row r="71">
      <c r="I71" s="9">
        <f>IF(A71="","",IFERROR(H71/G71*10000,0))</f>
        <v/>
      </c>
    </row>
    <row r="72">
      <c r="I72" s="9">
        <f>IF(A72="","",IFERROR(H72/G72*10000,0))</f>
        <v/>
      </c>
    </row>
    <row r="73">
      <c r="I73" s="9">
        <f>IF(A73="","",IFERROR(H73/G73*10000,0))</f>
        <v/>
      </c>
    </row>
    <row r="74">
      <c r="I74" s="9">
        <f>IF(A74="","",IFERROR(H74/G74*10000,0))</f>
        <v/>
      </c>
    </row>
    <row r="75">
      <c r="I75" s="9">
        <f>IF(A75="","",IFERROR(H75/G75*10000,0))</f>
        <v/>
      </c>
    </row>
    <row r="76">
      <c r="I76" s="9">
        <f>IF(A76="","",IFERROR(H76/G76*10000,0))</f>
        <v/>
      </c>
    </row>
    <row r="77">
      <c r="I77" s="9">
        <f>IF(A77="","",IFERROR(H77/G77*10000,0))</f>
        <v/>
      </c>
    </row>
    <row r="78">
      <c r="I78" s="9">
        <f>IF(A78="","",IFERROR(H78/G78*10000,0))</f>
        <v/>
      </c>
    </row>
    <row r="79">
      <c r="I79" s="9">
        <f>IF(A79="","",IFERROR(H79/G79*10000,0))</f>
        <v/>
      </c>
    </row>
    <row r="80">
      <c r="I80" s="9">
        <f>IF(A80="","",IFERROR(H80/G80*10000,0))</f>
        <v/>
      </c>
    </row>
    <row r="81">
      <c r="I81" s="9">
        <f>IF(A81="","",IFERROR(H81/G81*10000,0))</f>
        <v/>
      </c>
    </row>
    <row r="82">
      <c r="I82" s="9">
        <f>IF(A82="","",IFERROR(H82/G82*10000,0))</f>
        <v/>
      </c>
    </row>
    <row r="83">
      <c r="I83" s="9">
        <f>IF(A83="","",IFERROR(H83/G83*10000,0))</f>
        <v/>
      </c>
    </row>
    <row r="84">
      <c r="I84" s="9">
        <f>IF(A84="","",IFERROR(H84/G84*10000,0))</f>
        <v/>
      </c>
    </row>
    <row r="85">
      <c r="I85" s="9">
        <f>IF(A85="","",IFERROR(H85/G85*10000,0))</f>
        <v/>
      </c>
    </row>
    <row r="86">
      <c r="I86" s="9">
        <f>IF(A86="","",IFERROR(H86/G86*10000,0))</f>
        <v/>
      </c>
    </row>
    <row r="87">
      <c r="I87" s="9">
        <f>IF(A87="","",IFERROR(H87/G87*10000,0))</f>
        <v/>
      </c>
    </row>
    <row r="88">
      <c r="I88" s="9">
        <f>IF(A88="","",IFERROR(H88/G88*10000,0))</f>
        <v/>
      </c>
    </row>
    <row r="89">
      <c r="I89" s="9">
        <f>IF(A89="","",IFERROR(H89/G89*10000,0))</f>
        <v/>
      </c>
    </row>
    <row r="90">
      <c r="I90" s="9">
        <f>IF(A90="","",IFERROR(H90/G90*10000,0))</f>
        <v/>
      </c>
    </row>
    <row r="91">
      <c r="I91" s="9">
        <f>IF(A91="","",IFERROR(H91/G91*10000,0))</f>
        <v/>
      </c>
    </row>
    <row r="92">
      <c r="I92" s="9">
        <f>IF(A92="","",IFERROR(H92/G92*10000,0))</f>
        <v/>
      </c>
    </row>
    <row r="93">
      <c r="I93" s="9">
        <f>IF(A93="","",IFERROR(H93/G93*10000,0))</f>
        <v/>
      </c>
    </row>
    <row r="94">
      <c r="I94" s="9">
        <f>IF(A94="","",IFERROR(H94/G94*10000,0))</f>
        <v/>
      </c>
    </row>
    <row r="95">
      <c r="I95" s="9">
        <f>IF(A95="","",IFERROR(H95/G95*10000,0))</f>
        <v/>
      </c>
    </row>
    <row r="96">
      <c r="I96" s="9">
        <f>IF(A96="","",IFERROR(H96/G96*10000,0))</f>
        <v/>
      </c>
    </row>
    <row r="97">
      <c r="I97" s="9">
        <f>IF(A97="","",IFERROR(H97/G97*10000,0))</f>
        <v/>
      </c>
    </row>
    <row r="98">
      <c r="I98" s="9">
        <f>IF(A98="","",IFERROR(H98/G98*10000,0))</f>
        <v/>
      </c>
    </row>
    <row r="99">
      <c r="I99" s="9">
        <f>IF(A99="","",IFERROR(H99/G99*10000,0))</f>
        <v/>
      </c>
    </row>
    <row r="100">
      <c r="I100" s="9">
        <f>IF(A100="","",IFERROR(H100/G100*10000,0))</f>
        <v/>
      </c>
    </row>
    <row r="101">
      <c r="I101" s="9">
        <f>IF(A101="","",IFERROR(H101/G101*10000,0))</f>
        <v/>
      </c>
    </row>
    <row r="102">
      <c r="I102" s="9">
        <f>IF(A102="","",IFERROR(H102/G102*10000,0))</f>
        <v/>
      </c>
    </row>
    <row r="103">
      <c r="I103" s="9">
        <f>IF(A103="","",IFERROR(H103/G103*10000,0))</f>
        <v/>
      </c>
    </row>
    <row r="104">
      <c r="I104" s="9">
        <f>IF(A104="","",IFERROR(H104/G104*10000,0))</f>
        <v/>
      </c>
    </row>
    <row r="105">
      <c r="I105" s="9">
        <f>IF(A105="","",IFERROR(H105/G105*10000,0))</f>
        <v/>
      </c>
    </row>
    <row r="106">
      <c r="I106" s="9">
        <f>IF(A106="","",IFERROR(H106/G106*10000,0))</f>
        <v/>
      </c>
    </row>
    <row r="107">
      <c r="I107" s="9">
        <f>IF(A107="","",IFERROR(H107/G107*10000,0))</f>
        <v/>
      </c>
    </row>
    <row r="108">
      <c r="I108" s="9">
        <f>IF(A108="","",IFERROR(H108/G108*10000,0))</f>
        <v/>
      </c>
    </row>
    <row r="109">
      <c r="I109" s="9">
        <f>IF(A109="","",IFERROR(H109/G109*10000,0))</f>
        <v/>
      </c>
    </row>
    <row r="110">
      <c r="I110" s="9">
        <f>IF(A110="","",IFERROR(H110/G110*10000,0))</f>
        <v/>
      </c>
    </row>
    <row r="111">
      <c r="I111" s="9">
        <f>IF(A111="","",IFERROR(H111/G111*10000,0))</f>
        <v/>
      </c>
    </row>
    <row r="112">
      <c r="I112" s="9">
        <f>IF(A112="","",IFERROR(H112/G112*10000,0))</f>
        <v/>
      </c>
    </row>
    <row r="113">
      <c r="I113" s="9">
        <f>IF(A113="","",IFERROR(H113/G113*10000,0))</f>
        <v/>
      </c>
    </row>
    <row r="114">
      <c r="I114" s="9">
        <f>IF(A114="","",IFERROR(H114/G114*10000,0))</f>
        <v/>
      </c>
    </row>
    <row r="115">
      <c r="I115" s="9">
        <f>IF(A115="","",IFERROR(H115/G115*10000,0))</f>
        <v/>
      </c>
    </row>
    <row r="116">
      <c r="I116" s="9">
        <f>IF(A116="","",IFERROR(H116/G116*10000,0))</f>
        <v/>
      </c>
    </row>
    <row r="117">
      <c r="I117" s="9">
        <f>IF(A117="","",IFERROR(H117/G117*10000,0))</f>
        <v/>
      </c>
    </row>
    <row r="118">
      <c r="I118" s="9">
        <f>IF(A118="","",IFERROR(H118/G118*10000,0))</f>
        <v/>
      </c>
    </row>
    <row r="119">
      <c r="I119" s="9">
        <f>IF(A119="","",IFERROR(H119/G119*10000,0))</f>
        <v/>
      </c>
    </row>
    <row r="120">
      <c r="I120" s="9">
        <f>IF(A120="","",IFERROR(H120/G120*10000,0))</f>
        <v/>
      </c>
    </row>
    <row r="121">
      <c r="I121" s="9">
        <f>IF(A121="","",IFERROR(H121/G121*10000,0))</f>
        <v/>
      </c>
    </row>
    <row r="122">
      <c r="I122" s="9">
        <f>IF(A122="","",IFERROR(H122/G122*10000,0))</f>
        <v/>
      </c>
    </row>
    <row r="123">
      <c r="I123" s="9">
        <f>IF(A123="","",IFERROR(H123/G123*10000,0))</f>
        <v/>
      </c>
    </row>
    <row r="124">
      <c r="I124" s="9">
        <f>IF(A124="","",IFERROR(H124/G124*10000,0))</f>
        <v/>
      </c>
    </row>
    <row r="125">
      <c r="I125" s="9">
        <f>IF(A125="","",IFERROR(H125/G125*10000,0))</f>
        <v/>
      </c>
    </row>
    <row r="126">
      <c r="I126" s="9">
        <f>IF(A126="","",IFERROR(H126/G126*10000,0))</f>
        <v/>
      </c>
    </row>
    <row r="127">
      <c r="I127" s="9">
        <f>IF(A127="","",IFERROR(H127/G127*10000,0))</f>
        <v/>
      </c>
    </row>
    <row r="128">
      <c r="I128" s="9">
        <f>IF(A128="","",IFERROR(H128/G128*10000,0))</f>
        <v/>
      </c>
    </row>
    <row r="129">
      <c r="I129" s="9">
        <f>IF(A129="","",IFERROR(H129/G129*10000,0))</f>
        <v/>
      </c>
    </row>
    <row r="130">
      <c r="I130" s="9">
        <f>IF(A130="","",IFERROR(H130/G130*10000,0))</f>
        <v/>
      </c>
    </row>
    <row r="131">
      <c r="I131" s="9">
        <f>IF(A131="","",IFERROR(H131/G131*10000,0))</f>
        <v/>
      </c>
    </row>
    <row r="132">
      <c r="I132" s="9">
        <f>IF(A132="","",IFERROR(H132/G132*10000,0))</f>
        <v/>
      </c>
    </row>
    <row r="133">
      <c r="I133" s="9">
        <f>IF(A133="","",IFERROR(H133/G133*10000,0))</f>
        <v/>
      </c>
    </row>
    <row r="134">
      <c r="I134" s="9">
        <f>IF(A134="","",IFERROR(H134/G134*10000,0))</f>
        <v/>
      </c>
    </row>
    <row r="135">
      <c r="I135" s="9">
        <f>IF(A135="","",IFERROR(H135/G135*10000,0))</f>
        <v/>
      </c>
    </row>
    <row r="136">
      <c r="I136" s="9">
        <f>IF(A136="","",IFERROR(H136/G136*10000,0))</f>
        <v/>
      </c>
    </row>
    <row r="137">
      <c r="I137" s="9">
        <f>IF(A137="","",IFERROR(H137/G137*10000,0))</f>
        <v/>
      </c>
    </row>
    <row r="138">
      <c r="I138" s="9">
        <f>IF(A138="","",IFERROR(H138/G138*10000,0))</f>
        <v/>
      </c>
    </row>
    <row r="139">
      <c r="I139" s="9">
        <f>IF(A139="","",IFERROR(H139/G139*10000,0))</f>
        <v/>
      </c>
    </row>
    <row r="140">
      <c r="I140" s="9">
        <f>IF(A140="","",IFERROR(H140/G140*10000,0))</f>
        <v/>
      </c>
    </row>
    <row r="141">
      <c r="I141" s="9">
        <f>IF(A141="","",IFERROR(H141/G141*10000,0))</f>
        <v/>
      </c>
    </row>
    <row r="142">
      <c r="I142" s="9">
        <f>IF(A142="","",IFERROR(H142/G142*10000,0))</f>
        <v/>
      </c>
    </row>
    <row r="143">
      <c r="I143" s="9">
        <f>IF(A143="","",IFERROR(H143/G143*10000,0))</f>
        <v/>
      </c>
    </row>
    <row r="144">
      <c r="I144" s="9">
        <f>IF(A144="","",IFERROR(H144/G144*10000,0))</f>
        <v/>
      </c>
    </row>
    <row r="145">
      <c r="I145" s="9">
        <f>IF(A145="","",IFERROR(H145/G145*10000,0))</f>
        <v/>
      </c>
    </row>
    <row r="146">
      <c r="I146" s="9">
        <f>IF(A146="","",IFERROR(H146/G146*10000,0))</f>
        <v/>
      </c>
    </row>
    <row r="147">
      <c r="I147" s="9">
        <f>IF(A147="","",IFERROR(H147/G147*10000,0))</f>
        <v/>
      </c>
    </row>
    <row r="148">
      <c r="I148" s="9">
        <f>IF(A148="","",IFERROR(H148/G148*10000,0))</f>
        <v/>
      </c>
    </row>
    <row r="149">
      <c r="I149" s="9">
        <f>IF(A149="","",IFERROR(H149/G149*10000,0))</f>
        <v/>
      </c>
    </row>
    <row r="150">
      <c r="I150" s="9">
        <f>IF(A150="","",IFERROR(H150/G150*10000,0))</f>
        <v/>
      </c>
    </row>
    <row r="151">
      <c r="I151" s="9">
        <f>IF(A151="","",IFERROR(H151/G151*10000,0))</f>
        <v/>
      </c>
    </row>
    <row r="152">
      <c r="I152" s="9">
        <f>IF(A152="","",IFERROR(H152/G152*10000,0))</f>
        <v/>
      </c>
    </row>
    <row r="153">
      <c r="I153" s="9">
        <f>IF(A153="","",IFERROR(H153/G153*10000,0))</f>
        <v/>
      </c>
    </row>
    <row r="154">
      <c r="I154" s="9">
        <f>IF(A154="","",IFERROR(H154/G154*10000,0))</f>
        <v/>
      </c>
    </row>
    <row r="155">
      <c r="I155" s="9">
        <f>IF(A155="","",IFERROR(H155/G155*10000,0))</f>
        <v/>
      </c>
    </row>
    <row r="156">
      <c r="I156" s="9">
        <f>IF(A156="","",IFERROR(H156/G156*10000,0))</f>
        <v/>
      </c>
    </row>
    <row r="157">
      <c r="I157" s="9">
        <f>IF(A157="","",IFERROR(H157/G157*10000,0))</f>
        <v/>
      </c>
    </row>
    <row r="158">
      <c r="I158" s="9">
        <f>IF(A158="","",IFERROR(H158/G158*10000,0))</f>
        <v/>
      </c>
    </row>
    <row r="159">
      <c r="I159" s="9">
        <f>IF(A159="","",IFERROR(H159/G159*10000,0))</f>
        <v/>
      </c>
    </row>
    <row r="160">
      <c r="I160" s="9">
        <f>IF(A160="","",IFERROR(H160/G160*10000,0))</f>
        <v/>
      </c>
    </row>
    <row r="161">
      <c r="I161" s="9">
        <f>IF(A161="","",IFERROR(H161/G161*10000,0))</f>
        <v/>
      </c>
    </row>
    <row r="162">
      <c r="I162" s="9">
        <f>IF(A162="","",IFERROR(H162/G162*10000,0))</f>
        <v/>
      </c>
    </row>
    <row r="163">
      <c r="I163" s="9">
        <f>IF(A163="","",IFERROR(H163/G163*10000,0))</f>
        <v/>
      </c>
    </row>
    <row r="164">
      <c r="I164" s="9">
        <f>IF(A164="","",IFERROR(H164/G164*10000,0))</f>
        <v/>
      </c>
    </row>
    <row r="165">
      <c r="I165" s="9">
        <f>IF(A165="","",IFERROR(H165/G165*10000,0))</f>
        <v/>
      </c>
    </row>
    <row r="166">
      <c r="I166" s="9">
        <f>IF(A166="","",IFERROR(H166/G166*10000,0))</f>
        <v/>
      </c>
    </row>
    <row r="167">
      <c r="I167" s="9">
        <f>IF(A167="","",IFERROR(H167/G167*10000,0))</f>
        <v/>
      </c>
    </row>
    <row r="168">
      <c r="I168" s="9">
        <f>IF(A168="","",IFERROR(H168/G168*10000,0))</f>
        <v/>
      </c>
    </row>
    <row r="169">
      <c r="I169" s="9">
        <f>IF(A169="","",IFERROR(H169/G169*10000,0))</f>
        <v/>
      </c>
    </row>
    <row r="170">
      <c r="I170" s="9">
        <f>IF(A170="","",IFERROR(H170/G170*10000,0))</f>
        <v/>
      </c>
    </row>
    <row r="171">
      <c r="I171" s="9">
        <f>IF(A171="","",IFERROR(H171/G171*10000,0))</f>
        <v/>
      </c>
    </row>
    <row r="172">
      <c r="I172" s="9">
        <f>IF(A172="","",IFERROR(H172/G172*10000,0))</f>
        <v/>
      </c>
    </row>
    <row r="173">
      <c r="I173" s="9">
        <f>IF(A173="","",IFERROR(H173/G173*10000,0))</f>
        <v/>
      </c>
    </row>
    <row r="174">
      <c r="I174" s="9">
        <f>IF(A174="","",IFERROR(H174/G174*10000,0))</f>
        <v/>
      </c>
    </row>
    <row r="175">
      <c r="I175" s="9">
        <f>IF(A175="","",IFERROR(H175/G175*10000,0))</f>
        <v/>
      </c>
    </row>
    <row r="176">
      <c r="I176" s="9">
        <f>IF(A176="","",IFERROR(H176/G176*10000,0))</f>
        <v/>
      </c>
    </row>
    <row r="177">
      <c r="I177" s="9">
        <f>IF(A177="","",IFERROR(H177/G177*10000,0))</f>
        <v/>
      </c>
    </row>
    <row r="178">
      <c r="I178" s="9">
        <f>IF(A178="","",IFERROR(H178/G178*10000,0))</f>
        <v/>
      </c>
    </row>
    <row r="179">
      <c r="I179" s="9">
        <f>IF(A179="","",IFERROR(H179/G179*10000,0))</f>
        <v/>
      </c>
    </row>
    <row r="180">
      <c r="I180" s="9">
        <f>IF(A180="","",IFERROR(H180/G180*10000,0))</f>
        <v/>
      </c>
    </row>
    <row r="181">
      <c r="I181" s="9">
        <f>IF(A181="","",IFERROR(H181/G181*10000,0))</f>
        <v/>
      </c>
    </row>
    <row r="182">
      <c r="I182" s="9">
        <f>IF(A182="","",IFERROR(H182/G182*10000,0))</f>
        <v/>
      </c>
    </row>
    <row r="183">
      <c r="I183" s="9">
        <f>IF(A183="","",IFERROR(H183/G183*10000,0))</f>
        <v/>
      </c>
    </row>
    <row r="184">
      <c r="I184" s="9">
        <f>IF(A184="","",IFERROR(H184/G184*10000,0))</f>
        <v/>
      </c>
    </row>
    <row r="185">
      <c r="I185" s="9">
        <f>IF(A185="","",IFERROR(H185/G185*10000,0))</f>
        <v/>
      </c>
    </row>
    <row r="186">
      <c r="I186" s="9">
        <f>IF(A186="","",IFERROR(H186/G186*10000,0))</f>
        <v/>
      </c>
    </row>
    <row r="187">
      <c r="I187" s="9">
        <f>IF(A187="","",IFERROR(H187/G187*10000,0))</f>
        <v/>
      </c>
    </row>
    <row r="188">
      <c r="I188" s="9">
        <f>IF(A188="","",IFERROR(H188/G188*10000,0))</f>
        <v/>
      </c>
    </row>
    <row r="189">
      <c r="I189" s="9">
        <f>IF(A189="","",IFERROR(H189/G189*10000,0))</f>
        <v/>
      </c>
    </row>
    <row r="190">
      <c r="I190" s="9">
        <f>IF(A190="","",IFERROR(H190/G190*10000,0))</f>
        <v/>
      </c>
    </row>
    <row r="191">
      <c r="I191" s="9">
        <f>IF(A191="","",IFERROR(H191/G191*10000,0))</f>
        <v/>
      </c>
    </row>
    <row r="192">
      <c r="I192" s="9">
        <f>IF(A192="","",IFERROR(H192/G192*10000,0))</f>
        <v/>
      </c>
    </row>
    <row r="193">
      <c r="I193" s="9">
        <f>IF(A193="","",IFERROR(H193/G193*10000,0))</f>
        <v/>
      </c>
    </row>
    <row r="194">
      <c r="I194" s="9">
        <f>IF(A194="","",IFERROR(H194/G194*10000,0))</f>
        <v/>
      </c>
    </row>
    <row r="195">
      <c r="I195" s="9">
        <f>IF(A195="","",IFERROR(H195/G195*10000,0))</f>
        <v/>
      </c>
    </row>
    <row r="196">
      <c r="I196" s="9">
        <f>IF(A196="","",IFERROR(H196/G196*10000,0))</f>
        <v/>
      </c>
    </row>
    <row r="197">
      <c r="I197" s="9">
        <f>IF(A197="","",IFERROR(H197/G197*10000,0))</f>
        <v/>
      </c>
    </row>
    <row r="198">
      <c r="I198" s="9">
        <f>IF(A198="","",IFERROR(H198/G198*10000,0))</f>
        <v/>
      </c>
    </row>
    <row r="199">
      <c r="I199" s="9">
        <f>IF(A199="","",IFERROR(H199/G199*10000,0))</f>
        <v/>
      </c>
    </row>
    <row r="200">
      <c r="I200" s="9">
        <f>IF(A200="","",IFERROR(H200/G200*10000,0))</f>
        <v/>
      </c>
    </row>
    <row r="201">
      <c r="I201" s="9">
        <f>IF(A201="","",IFERROR(H201/G201*10000,0))</f>
        <v/>
      </c>
    </row>
    <row r="203">
      <c r="A203" s="7" t="inlineStr">
        <is>
          <t>TOTAL</t>
        </is>
      </c>
      <c r="F203" s="7">
        <f>SUM(F2:F201)</f>
        <v/>
      </c>
      <c r="G203" s="7">
        <f>SUM(G2:G201)</f>
        <v/>
      </c>
      <c r="H203" s="7">
        <f>SUM(H2:H201)</f>
        <v/>
      </c>
    </row>
  </sheetData>
  <dataValidations count="2">
    <dataValidation sqref="B2:B201" showDropDown="0" showInputMessage="0" showErrorMessage="0" allowBlank="1" type="list">
      <formula1>"S,A,B,C"</formula1>
    </dataValidation>
    <dataValidation sqref="J2:J201" showDropDown="0" showInputMessage="0" showErrorMessage="0" allowBlank="1" type="list">
      <formula1>"Untested,Testing,Proven,Dropped"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.71428571428572" customWidth="1" min="2" max="2"/>
    <col width="31.42857142857143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31.42857142857143" customWidth="1" min="10" max="10"/>
    <col width="15.71428571428571" customWidth="1" min="11" max="11"/>
  </cols>
  <sheetData>
    <row r="1" ht="48" customHeight="1">
      <c r="A1" s="1" t="inlineStr">
        <is>
          <t>ID</t>
        </is>
      </c>
      <c r="B1" s="1" t="inlineStr">
        <is>
          <t>Source URL</t>
        </is>
      </c>
      <c r="C1" s="1" t="inlineStr">
        <is>
          <t>Hook (first 0-3s)</t>
        </is>
      </c>
      <c r="D1" s="1" t="inlineStr">
        <is>
          <t>Hook type</t>
        </is>
      </c>
      <c r="E1" s="1" t="inlineStr">
        <is>
          <t>Proof type</t>
        </is>
      </c>
      <c r="F1" s="1" t="inlineStr">
        <is>
          <t>Usage scene</t>
        </is>
      </c>
      <c r="G1" s="1" t="inlineStr">
        <is>
          <t>Call to action</t>
        </is>
      </c>
      <c r="H1" s="1" t="inlineStr">
        <is>
          <t>Script framework</t>
        </is>
      </c>
      <c r="I1" s="1" t="inlineStr">
        <is>
          <t>3s retention %</t>
        </is>
      </c>
      <c r="J1" s="1" t="inlineStr">
        <is>
          <t>Why it worked</t>
        </is>
      </c>
      <c r="K1" s="1" t="inlineStr">
        <is>
          <t>Times reused</t>
        </is>
      </c>
    </row>
    <row r="2">
      <c r="A2" t="inlineStr">
        <is>
          <t>H1</t>
        </is>
      </c>
      <c r="C2" t="inlineStr">
        <is>
          <t>Close-up: 'I stopped paying for this every month'</t>
        </is>
      </c>
      <c r="D2" t="inlineStr">
        <is>
          <t>Pain escalation</t>
        </is>
      </c>
      <c r="E2" t="inlineStr">
        <is>
          <t>Before/after</t>
        </is>
      </c>
      <c r="F2" t="inlineStr">
        <is>
          <t>Bathroom mirror</t>
        </is>
      </c>
      <c r="G2" t="inlineStr">
        <is>
          <t>Tap the cart, launch price today</t>
        </is>
      </c>
      <c r="H2" t="inlineStr">
        <is>
          <t>Pain-agitate-solve</t>
        </is>
      </c>
      <c r="I2" s="8" t="n">
        <v>0.48</v>
      </c>
      <c r="J2" t="inlineStr">
        <is>
          <t>Face-close emotion + money pain</t>
        </is>
      </c>
      <c r="K2" t="n">
        <v>3</v>
      </c>
    </row>
    <row r="3">
      <c r="I3" s="8" t="n"/>
    </row>
    <row r="4">
      <c r="I4" s="8" t="n"/>
    </row>
    <row r="5">
      <c r="I5" s="8" t="n"/>
    </row>
    <row r="6">
      <c r="I6" s="8" t="n"/>
    </row>
    <row r="7">
      <c r="I7" s="8" t="n"/>
    </row>
    <row r="8">
      <c r="I8" s="8" t="n"/>
    </row>
    <row r="9">
      <c r="I9" s="8" t="n"/>
    </row>
    <row r="10">
      <c r="I10" s="8" t="n"/>
    </row>
    <row r="11">
      <c r="I11" s="8" t="n"/>
    </row>
    <row r="12">
      <c r="I12" s="8" t="n"/>
    </row>
    <row r="13">
      <c r="I13" s="8" t="n"/>
    </row>
    <row r="14">
      <c r="I14" s="8" t="n"/>
    </row>
    <row r="15">
      <c r="I15" s="8" t="n"/>
    </row>
    <row r="16">
      <c r="I16" s="8" t="n"/>
    </row>
    <row r="17">
      <c r="I17" s="8" t="n"/>
    </row>
    <row r="18">
      <c r="I18" s="8" t="n"/>
    </row>
    <row r="19">
      <c r="I19" s="8" t="n"/>
    </row>
    <row r="20">
      <c r="I20" s="8" t="n"/>
    </row>
    <row r="21">
      <c r="I21" s="8" t="n"/>
    </row>
    <row r="22">
      <c r="I22" s="8" t="n"/>
    </row>
    <row r="23">
      <c r="I23" s="8" t="n"/>
    </row>
    <row r="24">
      <c r="I24" s="8" t="n"/>
    </row>
    <row r="25">
      <c r="I25" s="8" t="n"/>
    </row>
    <row r="26">
      <c r="I26" s="8" t="n"/>
    </row>
    <row r="27">
      <c r="I27" s="8" t="n"/>
    </row>
    <row r="28">
      <c r="I28" s="8" t="n"/>
    </row>
    <row r="29">
      <c r="I29" s="8" t="n"/>
    </row>
    <row r="30">
      <c r="I30" s="8" t="n"/>
    </row>
    <row r="31">
      <c r="I31" s="8" t="n"/>
    </row>
    <row r="32">
      <c r="I32" s="8" t="n"/>
    </row>
    <row r="33">
      <c r="I33" s="8" t="n"/>
    </row>
    <row r="34">
      <c r="I34" s="8" t="n"/>
    </row>
    <row r="35">
      <c r="I35" s="8" t="n"/>
    </row>
    <row r="36">
      <c r="I36" s="8" t="n"/>
    </row>
    <row r="37">
      <c r="I37" s="8" t="n"/>
    </row>
    <row r="38">
      <c r="I38" s="8" t="n"/>
    </row>
    <row r="39">
      <c r="I39" s="8" t="n"/>
    </row>
    <row r="40">
      <c r="I40" s="8" t="n"/>
    </row>
    <row r="41">
      <c r="I41" s="8" t="n"/>
    </row>
    <row r="42">
      <c r="I42" s="8" t="n"/>
    </row>
    <row r="43">
      <c r="I43" s="8" t="n"/>
    </row>
    <row r="44">
      <c r="I44" s="8" t="n"/>
    </row>
    <row r="45">
      <c r="I45" s="8" t="n"/>
    </row>
    <row r="46">
      <c r="I46" s="8" t="n"/>
    </row>
    <row r="47">
      <c r="I47" s="8" t="n"/>
    </row>
    <row r="48">
      <c r="I48" s="8" t="n"/>
    </row>
    <row r="49">
      <c r="I49" s="8" t="n"/>
    </row>
    <row r="50">
      <c r="I50" s="8" t="n"/>
    </row>
    <row r="51">
      <c r="I51" s="8" t="n"/>
    </row>
    <row r="52">
      <c r="I52" s="8" t="n"/>
    </row>
    <row r="53">
      <c r="I53" s="8" t="n"/>
    </row>
    <row r="54">
      <c r="I54" s="8" t="n"/>
    </row>
    <row r="55">
      <c r="I55" s="8" t="n"/>
    </row>
    <row r="56">
      <c r="I56" s="8" t="n"/>
    </row>
    <row r="57">
      <c r="I57" s="8" t="n"/>
    </row>
    <row r="58">
      <c r="I58" s="8" t="n"/>
    </row>
    <row r="59">
      <c r="I59" s="8" t="n"/>
    </row>
    <row r="60">
      <c r="I60" s="8" t="n"/>
    </row>
    <row r="61">
      <c r="I61" s="8" t="n"/>
    </row>
    <row r="62">
      <c r="I62" s="8" t="n"/>
    </row>
    <row r="63">
      <c r="I63" s="8" t="n"/>
    </row>
    <row r="64">
      <c r="I64" s="8" t="n"/>
    </row>
    <row r="65">
      <c r="I65" s="8" t="n"/>
    </row>
    <row r="66">
      <c r="I66" s="8" t="n"/>
    </row>
    <row r="67">
      <c r="I67" s="8" t="n"/>
    </row>
    <row r="68">
      <c r="I68" s="8" t="n"/>
    </row>
    <row r="69">
      <c r="I69" s="8" t="n"/>
    </row>
    <row r="70">
      <c r="I70" s="8" t="n"/>
    </row>
    <row r="71">
      <c r="I71" s="8" t="n"/>
    </row>
    <row r="72">
      <c r="I72" s="8" t="n"/>
    </row>
    <row r="73">
      <c r="I73" s="8" t="n"/>
    </row>
    <row r="74">
      <c r="I74" s="8" t="n"/>
    </row>
    <row r="75">
      <c r="I75" s="8" t="n"/>
    </row>
    <row r="76">
      <c r="I76" s="8" t="n"/>
    </row>
    <row r="77">
      <c r="I77" s="8" t="n"/>
    </row>
    <row r="78">
      <c r="I78" s="8" t="n"/>
    </row>
    <row r="79">
      <c r="I79" s="8" t="n"/>
    </row>
    <row r="80">
      <c r="I80" s="8" t="n"/>
    </row>
    <row r="81">
      <c r="I81" s="8" t="n"/>
    </row>
    <row r="82">
      <c r="I82" s="8" t="n"/>
    </row>
    <row r="83">
      <c r="I83" s="8" t="n"/>
    </row>
    <row r="84">
      <c r="I84" s="8" t="n"/>
    </row>
    <row r="85">
      <c r="I85" s="8" t="n"/>
    </row>
    <row r="86">
      <c r="I86" s="8" t="n"/>
    </row>
    <row r="87">
      <c r="I87" s="8" t="n"/>
    </row>
    <row r="88">
      <c r="I88" s="8" t="n"/>
    </row>
    <row r="89">
      <c r="I89" s="8" t="n"/>
    </row>
    <row r="90">
      <c r="I90" s="8" t="n"/>
    </row>
    <row r="91">
      <c r="I91" s="8" t="n"/>
    </row>
    <row r="92">
      <c r="I92" s="8" t="n"/>
    </row>
    <row r="93">
      <c r="I93" s="8" t="n"/>
    </row>
    <row r="94">
      <c r="I94" s="8" t="n"/>
    </row>
    <row r="95">
      <c r="I95" s="8" t="n"/>
    </row>
    <row r="96">
      <c r="I96" s="8" t="n"/>
    </row>
    <row r="97">
      <c r="I97" s="8" t="n"/>
    </row>
    <row r="98">
      <c r="I98" s="8" t="n"/>
    </row>
    <row r="99">
      <c r="I99" s="8" t="n"/>
    </row>
    <row r="100">
      <c r="I100" s="8" t="n"/>
    </row>
    <row r="101">
      <c r="I101" s="8" t="n"/>
    </row>
    <row r="102">
      <c r="I102" s="8" t="n"/>
    </row>
    <row r="103">
      <c r="I103" s="8" t="n"/>
    </row>
    <row r="104">
      <c r="I104" s="8" t="n"/>
    </row>
    <row r="105">
      <c r="I105" s="8" t="n"/>
    </row>
    <row r="106">
      <c r="I106" s="8" t="n"/>
    </row>
    <row r="107">
      <c r="I107" s="8" t="n"/>
    </row>
    <row r="108">
      <c r="I108" s="8" t="n"/>
    </row>
    <row r="109">
      <c r="I109" s="8" t="n"/>
    </row>
    <row r="110">
      <c r="I110" s="8" t="n"/>
    </row>
    <row r="111">
      <c r="I111" s="8" t="n"/>
    </row>
    <row r="112">
      <c r="I112" s="8" t="n"/>
    </row>
    <row r="113">
      <c r="I113" s="8" t="n"/>
    </row>
    <row r="114">
      <c r="I114" s="8" t="n"/>
    </row>
    <row r="115">
      <c r="I115" s="8" t="n"/>
    </row>
    <row r="116">
      <c r="I116" s="8" t="n"/>
    </row>
    <row r="117">
      <c r="I117" s="8" t="n"/>
    </row>
    <row r="118">
      <c r="I118" s="8" t="n"/>
    </row>
    <row r="119">
      <c r="I119" s="8" t="n"/>
    </row>
    <row r="120">
      <c r="I120" s="8" t="n"/>
    </row>
    <row r="121">
      <c r="I121" s="8" t="n"/>
    </row>
    <row r="122">
      <c r="I122" s="8" t="n"/>
    </row>
    <row r="123">
      <c r="I123" s="8" t="n"/>
    </row>
    <row r="124">
      <c r="I124" s="8" t="n"/>
    </row>
    <row r="125">
      <c r="I125" s="8" t="n"/>
    </row>
    <row r="126">
      <c r="I126" s="8" t="n"/>
    </row>
    <row r="127">
      <c r="I127" s="8" t="n"/>
    </row>
    <row r="128">
      <c r="I128" s="8" t="n"/>
    </row>
    <row r="129">
      <c r="I129" s="8" t="n"/>
    </row>
    <row r="130">
      <c r="I130" s="8" t="n"/>
    </row>
    <row r="131">
      <c r="I131" s="8" t="n"/>
    </row>
    <row r="132">
      <c r="I132" s="8" t="n"/>
    </row>
    <row r="133">
      <c r="I133" s="8" t="n"/>
    </row>
    <row r="134">
      <c r="I134" s="8" t="n"/>
    </row>
    <row r="135">
      <c r="I135" s="8" t="n"/>
    </row>
    <row r="136">
      <c r="I136" s="8" t="n"/>
    </row>
    <row r="137">
      <c r="I137" s="8" t="n"/>
    </row>
    <row r="138">
      <c r="I138" s="8" t="n"/>
    </row>
    <row r="139">
      <c r="I139" s="8" t="n"/>
    </row>
    <row r="140">
      <c r="I140" s="8" t="n"/>
    </row>
    <row r="141">
      <c r="I141" s="8" t="n"/>
    </row>
    <row r="142">
      <c r="I142" s="8" t="n"/>
    </row>
    <row r="143">
      <c r="I143" s="8" t="n"/>
    </row>
    <row r="144">
      <c r="I144" s="8" t="n"/>
    </row>
    <row r="145">
      <c r="I145" s="8" t="n"/>
    </row>
    <row r="146">
      <c r="I146" s="8" t="n"/>
    </row>
    <row r="147">
      <c r="I147" s="8" t="n"/>
    </row>
    <row r="148">
      <c r="I148" s="8" t="n"/>
    </row>
    <row r="149">
      <c r="I149" s="8" t="n"/>
    </row>
    <row r="150">
      <c r="I150" s="8" t="n"/>
    </row>
    <row r="151">
      <c r="I151" s="8" t="n"/>
    </row>
    <row r="152">
      <c r="I152" s="8" t="n"/>
    </row>
    <row r="153">
      <c r="I153" s="8" t="n"/>
    </row>
    <row r="154">
      <c r="I154" s="8" t="n"/>
    </row>
    <row r="155">
      <c r="I155" s="8" t="n"/>
    </row>
    <row r="156">
      <c r="I156" s="8" t="n"/>
    </row>
    <row r="157">
      <c r="I157" s="8" t="n"/>
    </row>
    <row r="158">
      <c r="I158" s="8" t="n"/>
    </row>
    <row r="159">
      <c r="I159" s="8" t="n"/>
    </row>
    <row r="160">
      <c r="I160" s="8" t="n"/>
    </row>
    <row r="161">
      <c r="I161" s="8" t="n"/>
    </row>
    <row r="162">
      <c r="I162" s="8" t="n"/>
    </row>
    <row r="163">
      <c r="I163" s="8" t="n"/>
    </row>
    <row r="164">
      <c r="I164" s="8" t="n"/>
    </row>
    <row r="165">
      <c r="I165" s="8" t="n"/>
    </row>
    <row r="166">
      <c r="I166" s="8" t="n"/>
    </row>
    <row r="167">
      <c r="I167" s="8" t="n"/>
    </row>
    <row r="168">
      <c r="I168" s="8" t="n"/>
    </row>
    <row r="169">
      <c r="I169" s="8" t="n"/>
    </row>
    <row r="170">
      <c r="I170" s="8" t="n"/>
    </row>
    <row r="171">
      <c r="I171" s="8" t="n"/>
    </row>
    <row r="172">
      <c r="I172" s="8" t="n"/>
    </row>
    <row r="173">
      <c r="I173" s="8" t="n"/>
    </row>
    <row r="174">
      <c r="I174" s="8" t="n"/>
    </row>
    <row r="175">
      <c r="I175" s="8" t="n"/>
    </row>
    <row r="176">
      <c r="I176" s="8" t="n"/>
    </row>
    <row r="177">
      <c r="I177" s="8" t="n"/>
    </row>
    <row r="178">
      <c r="I178" s="8" t="n"/>
    </row>
    <row r="179">
      <c r="I179" s="8" t="n"/>
    </row>
    <row r="180">
      <c r="I180" s="8" t="n"/>
    </row>
    <row r="181">
      <c r="I181" s="8" t="n"/>
    </row>
    <row r="182">
      <c r="I182" s="8" t="n"/>
    </row>
    <row r="183">
      <c r="I183" s="8" t="n"/>
    </row>
    <row r="184">
      <c r="I184" s="8" t="n"/>
    </row>
    <row r="185">
      <c r="I185" s="8" t="n"/>
    </row>
    <row r="186">
      <c r="I186" s="8" t="n"/>
    </row>
    <row r="187">
      <c r="I187" s="8" t="n"/>
    </row>
    <row r="188">
      <c r="I188" s="8" t="n"/>
    </row>
    <row r="189">
      <c r="I189" s="8" t="n"/>
    </row>
    <row r="190">
      <c r="I190" s="8" t="n"/>
    </row>
    <row r="191">
      <c r="I191" s="8" t="n"/>
    </row>
    <row r="192">
      <c r="I192" s="8" t="n"/>
    </row>
    <row r="193">
      <c r="I193" s="8" t="n"/>
    </row>
    <row r="194">
      <c r="I194" s="8" t="n"/>
    </row>
    <row r="195">
      <c r="I195" s="8" t="n"/>
    </row>
    <row r="196">
      <c r="I196" s="8" t="n"/>
    </row>
    <row r="197">
      <c r="I197" s="8" t="n"/>
    </row>
    <row r="198">
      <c r="I198" s="8" t="n"/>
    </row>
    <row r="199">
      <c r="I199" s="8" t="n"/>
    </row>
    <row r="200">
      <c r="I200" s="8" t="n"/>
    </row>
    <row r="201">
      <c r="I201" s="8" t="n"/>
    </row>
  </sheetData>
  <dataValidations count="3">
    <dataValidation sqref="D2:D201" showDropDown="0" showInputMessage="0" showErrorMessage="0" allowBlank="1" type="list">
      <formula1>"Relatable,Pain escalation,Curiosity,Visual wow,Context clash,Before/after tease,Myth vs fact"</formula1>
    </dataValidation>
    <dataValidation sqref="E2:E201" showDropDown="0" showInputMessage="0" showErrorMessage="0" allowBlank="1" type="list">
      <formula1>"Demo,Test/experiment,Comparison,Before/after,Credentials,Social proof"</formula1>
    </dataValidation>
    <dataValidation sqref="H2:H201" showDropDown="0" showInputMessage="0" showErrorMessage="0" allowBlank="1" type="list">
      <formula1>"Pain-agitate-solve,Review/test,Comparison,Scene,Creator recommendation,Gifting/occasion,Context clash,Visual wow,Day-in-the-life,Unboxing"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.71428571428572" customWidth="1" min="2" max="2"/>
    <col width="15.71428571428571" customWidth="1" min="3" max="3"/>
    <col width="28.57142857142857" customWidth="1" min="4" max="4"/>
    <col width="31.42857142857143" customWidth="1" min="5" max="5"/>
    <col width="25.71428571428572" customWidth="1" min="6" max="6"/>
    <col width="25.71428571428572" customWidth="1" min="7" max="7"/>
    <col width="15.71428571428571" customWidth="1" min="8" max="8"/>
    <col width="12.85714285714286" customWidth="1" min="9" max="9"/>
    <col width="15.71428571428571" customWidth="1" min="10" max="10"/>
  </cols>
  <sheetData>
    <row r="1" ht="48" customHeight="1">
      <c r="A1" s="1" t="inlineStr">
        <is>
          <t>Piece ID</t>
        </is>
      </c>
      <c r="B1" s="1" t="inlineStr">
        <is>
          <t>Selling point (one)</t>
        </is>
      </c>
      <c r="C1" s="1" t="inlineStr">
        <is>
          <t>Role</t>
        </is>
      </c>
      <c r="D1" s="1" t="inlineStr">
        <is>
          <t>A · Stop (0-3s)</t>
        </is>
      </c>
      <c r="E1" s="1" t="inlineStr">
        <is>
          <t>B · Believe (3-11s)</t>
        </is>
      </c>
      <c r="F1" s="1" t="inlineStr">
        <is>
          <t>C · Act (11-15s)</t>
        </is>
      </c>
      <c r="G1" s="1" t="inlineStr">
        <is>
          <t>Scene / setting / lighting</t>
        </is>
      </c>
      <c r="H1" s="1" t="inlineStr">
        <is>
          <t>Maker (own/creator/AI)</t>
        </is>
      </c>
      <c r="I1" s="1" t="inlineStr">
        <is>
          <t>Hypothesis ID</t>
        </is>
      </c>
      <c r="J1" s="2" t="inlineStr">
        <is>
          <t>All 3 beats present? ƒ</t>
        </is>
      </c>
    </row>
    <row r="2">
      <c r="A2" t="inlineStr">
        <is>
          <t>C-001</t>
        </is>
      </c>
      <c r="B2" t="inlineStr">
        <is>
          <t>Salon result in 10 min</t>
        </is>
      </c>
      <c r="C2" t="inlineStr">
        <is>
          <t>Harvest (offer)</t>
        </is>
      </c>
      <c r="D2" t="inlineStr">
        <is>
          <t>Close-up frustrated face, 'salon again?'</t>
        </is>
      </c>
      <c r="E2" t="inlineStr">
        <is>
          <t>10-min timer demo, side-by-side vs salon</t>
        </is>
      </c>
      <c r="F2" t="inlineStr">
        <is>
          <t>Launch price ends Sunday, tap cart</t>
        </is>
      </c>
      <c r="G2" t="inlineStr">
        <is>
          <t>Bathroom, warm morning light</t>
        </is>
      </c>
      <c r="H2" t="inlineStr">
        <is>
          <t>Creator</t>
        </is>
      </c>
      <c r="I2" t="inlineStr">
        <is>
          <t>H-001</t>
        </is>
      </c>
      <c r="J2" s="3">
        <f>IF(A2="","",IF(AND(D2&lt;&gt;"",E2&lt;&gt;"",F2&lt;&gt;""),"Yes","Missing beat"))</f>
        <v/>
      </c>
    </row>
    <row r="3">
      <c r="J3" s="3">
        <f>IF(A3="","",IF(AND(D3&lt;&gt;"",E3&lt;&gt;"",F3&lt;&gt;""),"Yes","Missing beat"))</f>
        <v/>
      </c>
    </row>
    <row r="4">
      <c r="J4" s="3">
        <f>IF(A4="","",IF(AND(D4&lt;&gt;"",E4&lt;&gt;"",F4&lt;&gt;""),"Yes","Missing beat"))</f>
        <v/>
      </c>
    </row>
    <row r="5">
      <c r="J5" s="3">
        <f>IF(A5="","",IF(AND(D5&lt;&gt;"",E5&lt;&gt;"",F5&lt;&gt;""),"Yes","Missing beat"))</f>
        <v/>
      </c>
    </row>
    <row r="6">
      <c r="J6" s="3">
        <f>IF(A6="","",IF(AND(D6&lt;&gt;"",E6&lt;&gt;"",F6&lt;&gt;""),"Yes","Missing beat"))</f>
        <v/>
      </c>
    </row>
    <row r="7">
      <c r="J7" s="3">
        <f>IF(A7="","",IF(AND(D7&lt;&gt;"",E7&lt;&gt;"",F7&lt;&gt;""),"Yes","Missing beat"))</f>
        <v/>
      </c>
    </row>
    <row r="8">
      <c r="J8" s="3">
        <f>IF(A8="","",IF(AND(D8&lt;&gt;"",E8&lt;&gt;"",F8&lt;&gt;""),"Yes","Missing beat"))</f>
        <v/>
      </c>
    </row>
    <row r="9">
      <c r="J9" s="3">
        <f>IF(A9="","",IF(AND(D9&lt;&gt;"",E9&lt;&gt;"",F9&lt;&gt;""),"Yes","Missing beat"))</f>
        <v/>
      </c>
    </row>
    <row r="10">
      <c r="J10" s="3">
        <f>IF(A10="","",IF(AND(D10&lt;&gt;"",E10&lt;&gt;"",F10&lt;&gt;""),"Yes","Missing beat"))</f>
        <v/>
      </c>
    </row>
    <row r="11">
      <c r="J11" s="3">
        <f>IF(A11="","",IF(AND(D11&lt;&gt;"",E11&lt;&gt;"",F11&lt;&gt;""),"Yes","Missing beat"))</f>
        <v/>
      </c>
    </row>
    <row r="12">
      <c r="J12" s="3">
        <f>IF(A12="","",IF(AND(D12&lt;&gt;"",E12&lt;&gt;"",F12&lt;&gt;""),"Yes","Missing beat"))</f>
        <v/>
      </c>
    </row>
    <row r="13">
      <c r="J13" s="3">
        <f>IF(A13="","",IF(AND(D13&lt;&gt;"",E13&lt;&gt;"",F13&lt;&gt;""),"Yes","Missing beat"))</f>
        <v/>
      </c>
    </row>
    <row r="14">
      <c r="J14" s="3">
        <f>IF(A14="","",IF(AND(D14&lt;&gt;"",E14&lt;&gt;"",F14&lt;&gt;""),"Yes","Missing beat"))</f>
        <v/>
      </c>
    </row>
    <row r="15">
      <c r="J15" s="3">
        <f>IF(A15="","",IF(AND(D15&lt;&gt;"",E15&lt;&gt;"",F15&lt;&gt;""),"Yes","Missing beat"))</f>
        <v/>
      </c>
    </row>
    <row r="16">
      <c r="J16" s="3">
        <f>IF(A16="","",IF(AND(D16&lt;&gt;"",E16&lt;&gt;"",F16&lt;&gt;""),"Yes","Missing beat"))</f>
        <v/>
      </c>
    </row>
    <row r="17">
      <c r="J17" s="3">
        <f>IF(A17="","",IF(AND(D17&lt;&gt;"",E17&lt;&gt;"",F17&lt;&gt;""),"Yes","Missing beat"))</f>
        <v/>
      </c>
    </row>
    <row r="18">
      <c r="J18" s="3">
        <f>IF(A18="","",IF(AND(D18&lt;&gt;"",E18&lt;&gt;"",F18&lt;&gt;""),"Yes","Missing beat"))</f>
        <v/>
      </c>
    </row>
    <row r="19">
      <c r="J19" s="3">
        <f>IF(A19="","",IF(AND(D19&lt;&gt;"",E19&lt;&gt;"",F19&lt;&gt;""),"Yes","Missing beat"))</f>
        <v/>
      </c>
    </row>
    <row r="20">
      <c r="J20" s="3">
        <f>IF(A20="","",IF(AND(D20&lt;&gt;"",E20&lt;&gt;"",F20&lt;&gt;""),"Yes","Missing beat"))</f>
        <v/>
      </c>
    </row>
    <row r="21">
      <c r="J21" s="3">
        <f>IF(A21="","",IF(AND(D21&lt;&gt;"",E21&lt;&gt;"",F21&lt;&gt;""),"Yes","Missing beat"))</f>
        <v/>
      </c>
    </row>
    <row r="22">
      <c r="J22" s="3">
        <f>IF(A22="","",IF(AND(D22&lt;&gt;"",E22&lt;&gt;"",F22&lt;&gt;""),"Yes","Missing beat"))</f>
        <v/>
      </c>
    </row>
    <row r="23">
      <c r="J23" s="3">
        <f>IF(A23="","",IF(AND(D23&lt;&gt;"",E23&lt;&gt;"",F23&lt;&gt;""),"Yes","Missing beat"))</f>
        <v/>
      </c>
    </row>
    <row r="24">
      <c r="J24" s="3">
        <f>IF(A24="","",IF(AND(D24&lt;&gt;"",E24&lt;&gt;"",F24&lt;&gt;""),"Yes","Missing beat"))</f>
        <v/>
      </c>
    </row>
    <row r="25">
      <c r="J25" s="3">
        <f>IF(A25="","",IF(AND(D25&lt;&gt;"",E25&lt;&gt;"",F25&lt;&gt;""),"Yes","Missing beat"))</f>
        <v/>
      </c>
    </row>
    <row r="26">
      <c r="J26" s="3">
        <f>IF(A26="","",IF(AND(D26&lt;&gt;"",E26&lt;&gt;"",F26&lt;&gt;""),"Yes","Missing beat"))</f>
        <v/>
      </c>
    </row>
    <row r="27">
      <c r="J27" s="3">
        <f>IF(A27="","",IF(AND(D27&lt;&gt;"",E27&lt;&gt;"",F27&lt;&gt;""),"Yes","Missing beat"))</f>
        <v/>
      </c>
    </row>
    <row r="28">
      <c r="J28" s="3">
        <f>IF(A28="","",IF(AND(D28&lt;&gt;"",E28&lt;&gt;"",F28&lt;&gt;""),"Yes","Missing beat"))</f>
        <v/>
      </c>
    </row>
    <row r="29">
      <c r="J29" s="3">
        <f>IF(A29="","",IF(AND(D29&lt;&gt;"",E29&lt;&gt;"",F29&lt;&gt;""),"Yes","Missing beat"))</f>
        <v/>
      </c>
    </row>
    <row r="30">
      <c r="J30" s="3">
        <f>IF(A30="","",IF(AND(D30&lt;&gt;"",E30&lt;&gt;"",F30&lt;&gt;""),"Yes","Missing beat"))</f>
        <v/>
      </c>
    </row>
    <row r="31">
      <c r="J31" s="3">
        <f>IF(A31="","",IF(AND(D31&lt;&gt;"",E31&lt;&gt;"",F31&lt;&gt;""),"Yes","Missing beat"))</f>
        <v/>
      </c>
    </row>
    <row r="32">
      <c r="J32" s="3">
        <f>IF(A32="","",IF(AND(D32&lt;&gt;"",E32&lt;&gt;"",F32&lt;&gt;""),"Yes","Missing beat"))</f>
        <v/>
      </c>
    </row>
    <row r="33">
      <c r="J33" s="3">
        <f>IF(A33="","",IF(AND(D33&lt;&gt;"",E33&lt;&gt;"",F33&lt;&gt;""),"Yes","Missing beat"))</f>
        <v/>
      </c>
    </row>
    <row r="34">
      <c r="J34" s="3">
        <f>IF(A34="","",IF(AND(D34&lt;&gt;"",E34&lt;&gt;"",F34&lt;&gt;""),"Yes","Missing beat"))</f>
        <v/>
      </c>
    </row>
    <row r="35">
      <c r="J35" s="3">
        <f>IF(A35="","",IF(AND(D35&lt;&gt;"",E35&lt;&gt;"",F35&lt;&gt;""),"Yes","Missing beat"))</f>
        <v/>
      </c>
    </row>
    <row r="36">
      <c r="J36" s="3">
        <f>IF(A36="","",IF(AND(D36&lt;&gt;"",E36&lt;&gt;"",F36&lt;&gt;""),"Yes","Missing beat"))</f>
        <v/>
      </c>
    </row>
    <row r="37">
      <c r="J37" s="3">
        <f>IF(A37="","",IF(AND(D37&lt;&gt;"",E37&lt;&gt;"",F37&lt;&gt;""),"Yes","Missing beat"))</f>
        <v/>
      </c>
    </row>
    <row r="38">
      <c r="J38" s="3">
        <f>IF(A38="","",IF(AND(D38&lt;&gt;"",E38&lt;&gt;"",F38&lt;&gt;""),"Yes","Missing beat"))</f>
        <v/>
      </c>
    </row>
    <row r="39">
      <c r="J39" s="3">
        <f>IF(A39="","",IF(AND(D39&lt;&gt;"",E39&lt;&gt;"",F39&lt;&gt;""),"Yes","Missing beat"))</f>
        <v/>
      </c>
    </row>
    <row r="40">
      <c r="J40" s="3">
        <f>IF(A40="","",IF(AND(D40&lt;&gt;"",E40&lt;&gt;"",F40&lt;&gt;""),"Yes","Missing beat"))</f>
        <v/>
      </c>
    </row>
    <row r="41">
      <c r="J41" s="3">
        <f>IF(A41="","",IF(AND(D41&lt;&gt;"",E41&lt;&gt;"",F41&lt;&gt;""),"Yes","Missing beat"))</f>
        <v/>
      </c>
    </row>
    <row r="42">
      <c r="J42" s="3">
        <f>IF(A42="","",IF(AND(D42&lt;&gt;"",E42&lt;&gt;"",F42&lt;&gt;""),"Yes","Missing beat"))</f>
        <v/>
      </c>
    </row>
    <row r="43">
      <c r="J43" s="3">
        <f>IF(A43="","",IF(AND(D43&lt;&gt;"",E43&lt;&gt;"",F43&lt;&gt;""),"Yes","Missing beat"))</f>
        <v/>
      </c>
    </row>
    <row r="44">
      <c r="J44" s="3">
        <f>IF(A44="","",IF(AND(D44&lt;&gt;"",E44&lt;&gt;"",F44&lt;&gt;""),"Yes","Missing beat"))</f>
        <v/>
      </c>
    </row>
    <row r="45">
      <c r="J45" s="3">
        <f>IF(A45="","",IF(AND(D45&lt;&gt;"",E45&lt;&gt;"",F45&lt;&gt;""),"Yes","Missing beat"))</f>
        <v/>
      </c>
    </row>
    <row r="46">
      <c r="J46" s="3">
        <f>IF(A46="","",IF(AND(D46&lt;&gt;"",E46&lt;&gt;"",F46&lt;&gt;""),"Yes","Missing beat"))</f>
        <v/>
      </c>
    </row>
    <row r="47">
      <c r="J47" s="3">
        <f>IF(A47="","",IF(AND(D47&lt;&gt;"",E47&lt;&gt;"",F47&lt;&gt;""),"Yes","Missing beat"))</f>
        <v/>
      </c>
    </row>
    <row r="48">
      <c r="J48" s="3">
        <f>IF(A48="","",IF(AND(D48&lt;&gt;"",E48&lt;&gt;"",F48&lt;&gt;""),"Yes","Missing beat"))</f>
        <v/>
      </c>
    </row>
    <row r="49">
      <c r="J49" s="3">
        <f>IF(A49="","",IF(AND(D49&lt;&gt;"",E49&lt;&gt;"",F49&lt;&gt;""),"Yes","Missing beat"))</f>
        <v/>
      </c>
    </row>
    <row r="50">
      <c r="J50" s="3">
        <f>IF(A50="","",IF(AND(D50&lt;&gt;"",E50&lt;&gt;"",F50&lt;&gt;""),"Yes","Missing beat"))</f>
        <v/>
      </c>
    </row>
    <row r="51">
      <c r="J51" s="3">
        <f>IF(A51="","",IF(AND(D51&lt;&gt;"",E51&lt;&gt;"",F51&lt;&gt;""),"Yes","Missing beat"))</f>
        <v/>
      </c>
    </row>
    <row r="52">
      <c r="J52" s="3">
        <f>IF(A52="","",IF(AND(D52&lt;&gt;"",E52&lt;&gt;"",F52&lt;&gt;""),"Yes","Missing beat"))</f>
        <v/>
      </c>
    </row>
    <row r="53">
      <c r="J53" s="3">
        <f>IF(A53="","",IF(AND(D53&lt;&gt;"",E53&lt;&gt;"",F53&lt;&gt;""),"Yes","Missing beat"))</f>
        <v/>
      </c>
    </row>
    <row r="54">
      <c r="J54" s="3">
        <f>IF(A54="","",IF(AND(D54&lt;&gt;"",E54&lt;&gt;"",F54&lt;&gt;""),"Yes","Missing beat"))</f>
        <v/>
      </c>
    </row>
    <row r="55">
      <c r="J55" s="3">
        <f>IF(A55="","",IF(AND(D55&lt;&gt;"",E55&lt;&gt;"",F55&lt;&gt;""),"Yes","Missing beat"))</f>
        <v/>
      </c>
    </row>
    <row r="56">
      <c r="J56" s="3">
        <f>IF(A56="","",IF(AND(D56&lt;&gt;"",E56&lt;&gt;"",F56&lt;&gt;""),"Yes","Missing beat"))</f>
        <v/>
      </c>
    </row>
    <row r="57">
      <c r="J57" s="3">
        <f>IF(A57="","",IF(AND(D57&lt;&gt;"",E57&lt;&gt;"",F57&lt;&gt;""),"Yes","Missing beat"))</f>
        <v/>
      </c>
    </row>
    <row r="58">
      <c r="J58" s="3">
        <f>IF(A58="","",IF(AND(D58&lt;&gt;"",E58&lt;&gt;"",F58&lt;&gt;""),"Yes","Missing beat"))</f>
        <v/>
      </c>
    </row>
    <row r="59">
      <c r="J59" s="3">
        <f>IF(A59="","",IF(AND(D59&lt;&gt;"",E59&lt;&gt;"",F59&lt;&gt;""),"Yes","Missing beat"))</f>
        <v/>
      </c>
    </row>
    <row r="60">
      <c r="J60" s="3">
        <f>IF(A60="","",IF(AND(D60&lt;&gt;"",E60&lt;&gt;"",F60&lt;&gt;""),"Yes","Missing beat"))</f>
        <v/>
      </c>
    </row>
    <row r="61">
      <c r="J61" s="3">
        <f>IF(A61="","",IF(AND(D61&lt;&gt;"",E61&lt;&gt;"",F61&lt;&gt;""),"Yes","Missing beat"))</f>
        <v/>
      </c>
    </row>
    <row r="62">
      <c r="J62" s="3">
        <f>IF(A62="","",IF(AND(D62&lt;&gt;"",E62&lt;&gt;"",F62&lt;&gt;""),"Yes","Missing beat"))</f>
        <v/>
      </c>
    </row>
    <row r="63">
      <c r="J63" s="3">
        <f>IF(A63="","",IF(AND(D63&lt;&gt;"",E63&lt;&gt;"",F63&lt;&gt;""),"Yes","Missing beat"))</f>
        <v/>
      </c>
    </row>
    <row r="64">
      <c r="J64" s="3">
        <f>IF(A64="","",IF(AND(D64&lt;&gt;"",E64&lt;&gt;"",F64&lt;&gt;""),"Yes","Missing beat"))</f>
        <v/>
      </c>
    </row>
    <row r="65">
      <c r="J65" s="3">
        <f>IF(A65="","",IF(AND(D65&lt;&gt;"",E65&lt;&gt;"",F65&lt;&gt;""),"Yes","Missing beat"))</f>
        <v/>
      </c>
    </row>
    <row r="66">
      <c r="J66" s="3">
        <f>IF(A66="","",IF(AND(D66&lt;&gt;"",E66&lt;&gt;"",F66&lt;&gt;""),"Yes","Missing beat"))</f>
        <v/>
      </c>
    </row>
    <row r="67">
      <c r="J67" s="3">
        <f>IF(A67="","",IF(AND(D67&lt;&gt;"",E67&lt;&gt;"",F67&lt;&gt;""),"Yes","Missing beat"))</f>
        <v/>
      </c>
    </row>
    <row r="68">
      <c r="J68" s="3">
        <f>IF(A68="","",IF(AND(D68&lt;&gt;"",E68&lt;&gt;"",F68&lt;&gt;""),"Yes","Missing beat"))</f>
        <v/>
      </c>
    </row>
    <row r="69">
      <c r="J69" s="3">
        <f>IF(A69="","",IF(AND(D69&lt;&gt;"",E69&lt;&gt;"",F69&lt;&gt;""),"Yes","Missing beat"))</f>
        <v/>
      </c>
    </row>
    <row r="70">
      <c r="J70" s="3">
        <f>IF(A70="","",IF(AND(D70&lt;&gt;"",E70&lt;&gt;"",F70&lt;&gt;""),"Yes","Missing beat"))</f>
        <v/>
      </c>
    </row>
    <row r="71">
      <c r="J71" s="3">
        <f>IF(A71="","",IF(AND(D71&lt;&gt;"",E71&lt;&gt;"",F71&lt;&gt;""),"Yes","Missing beat"))</f>
        <v/>
      </c>
    </row>
    <row r="72">
      <c r="J72" s="3">
        <f>IF(A72="","",IF(AND(D72&lt;&gt;"",E72&lt;&gt;"",F72&lt;&gt;""),"Yes","Missing beat"))</f>
        <v/>
      </c>
    </row>
    <row r="73">
      <c r="J73" s="3">
        <f>IF(A73="","",IF(AND(D73&lt;&gt;"",E73&lt;&gt;"",F73&lt;&gt;""),"Yes","Missing beat"))</f>
        <v/>
      </c>
    </row>
    <row r="74">
      <c r="J74" s="3">
        <f>IF(A74="","",IF(AND(D74&lt;&gt;"",E74&lt;&gt;"",F74&lt;&gt;""),"Yes","Missing beat"))</f>
        <v/>
      </c>
    </row>
    <row r="75">
      <c r="J75" s="3">
        <f>IF(A75="","",IF(AND(D75&lt;&gt;"",E75&lt;&gt;"",F75&lt;&gt;""),"Yes","Missing beat"))</f>
        <v/>
      </c>
    </row>
    <row r="76">
      <c r="J76" s="3">
        <f>IF(A76="","",IF(AND(D76&lt;&gt;"",E76&lt;&gt;"",F76&lt;&gt;""),"Yes","Missing beat"))</f>
        <v/>
      </c>
    </row>
    <row r="77">
      <c r="J77" s="3">
        <f>IF(A77="","",IF(AND(D77&lt;&gt;"",E77&lt;&gt;"",F77&lt;&gt;""),"Yes","Missing beat"))</f>
        <v/>
      </c>
    </row>
    <row r="78">
      <c r="J78" s="3">
        <f>IF(A78="","",IF(AND(D78&lt;&gt;"",E78&lt;&gt;"",F78&lt;&gt;""),"Yes","Missing beat"))</f>
        <v/>
      </c>
    </row>
    <row r="79">
      <c r="J79" s="3">
        <f>IF(A79="","",IF(AND(D79&lt;&gt;"",E79&lt;&gt;"",F79&lt;&gt;""),"Yes","Missing beat"))</f>
        <v/>
      </c>
    </row>
    <row r="80">
      <c r="J80" s="3">
        <f>IF(A80="","",IF(AND(D80&lt;&gt;"",E80&lt;&gt;"",F80&lt;&gt;""),"Yes","Missing beat"))</f>
        <v/>
      </c>
    </row>
    <row r="81">
      <c r="J81" s="3">
        <f>IF(A81="","",IF(AND(D81&lt;&gt;"",E81&lt;&gt;"",F81&lt;&gt;""),"Yes","Missing beat"))</f>
        <v/>
      </c>
    </row>
    <row r="82">
      <c r="J82" s="3">
        <f>IF(A82="","",IF(AND(D82&lt;&gt;"",E82&lt;&gt;"",F82&lt;&gt;""),"Yes","Missing beat"))</f>
        <v/>
      </c>
    </row>
    <row r="83">
      <c r="J83" s="3">
        <f>IF(A83="","",IF(AND(D83&lt;&gt;"",E83&lt;&gt;"",F83&lt;&gt;""),"Yes","Missing beat"))</f>
        <v/>
      </c>
    </row>
    <row r="84">
      <c r="J84" s="3">
        <f>IF(A84="","",IF(AND(D84&lt;&gt;"",E84&lt;&gt;"",F84&lt;&gt;""),"Yes","Missing beat"))</f>
        <v/>
      </c>
    </row>
    <row r="85">
      <c r="J85" s="3">
        <f>IF(A85="","",IF(AND(D85&lt;&gt;"",E85&lt;&gt;"",F85&lt;&gt;""),"Yes","Missing beat"))</f>
        <v/>
      </c>
    </row>
    <row r="86">
      <c r="J86" s="3">
        <f>IF(A86="","",IF(AND(D86&lt;&gt;"",E86&lt;&gt;"",F86&lt;&gt;""),"Yes","Missing beat"))</f>
        <v/>
      </c>
    </row>
    <row r="87">
      <c r="J87" s="3">
        <f>IF(A87="","",IF(AND(D87&lt;&gt;"",E87&lt;&gt;"",F87&lt;&gt;""),"Yes","Missing beat"))</f>
        <v/>
      </c>
    </row>
    <row r="88">
      <c r="J88" s="3">
        <f>IF(A88="","",IF(AND(D88&lt;&gt;"",E88&lt;&gt;"",F88&lt;&gt;""),"Yes","Missing beat"))</f>
        <v/>
      </c>
    </row>
    <row r="89">
      <c r="J89" s="3">
        <f>IF(A89="","",IF(AND(D89&lt;&gt;"",E89&lt;&gt;"",F89&lt;&gt;""),"Yes","Missing beat"))</f>
        <v/>
      </c>
    </row>
    <row r="90">
      <c r="J90" s="3">
        <f>IF(A90="","",IF(AND(D90&lt;&gt;"",E90&lt;&gt;"",F90&lt;&gt;""),"Yes","Missing beat"))</f>
        <v/>
      </c>
    </row>
    <row r="91">
      <c r="J91" s="3">
        <f>IF(A91="","",IF(AND(D91&lt;&gt;"",E91&lt;&gt;"",F91&lt;&gt;""),"Yes","Missing beat"))</f>
        <v/>
      </c>
    </row>
    <row r="92">
      <c r="J92" s="3">
        <f>IF(A92="","",IF(AND(D92&lt;&gt;"",E92&lt;&gt;"",F92&lt;&gt;""),"Yes","Missing beat"))</f>
        <v/>
      </c>
    </row>
    <row r="93">
      <c r="J93" s="3">
        <f>IF(A93="","",IF(AND(D93&lt;&gt;"",E93&lt;&gt;"",F93&lt;&gt;""),"Yes","Missing beat"))</f>
        <v/>
      </c>
    </row>
    <row r="94">
      <c r="J94" s="3">
        <f>IF(A94="","",IF(AND(D94&lt;&gt;"",E94&lt;&gt;"",F94&lt;&gt;""),"Yes","Missing beat"))</f>
        <v/>
      </c>
    </row>
    <row r="95">
      <c r="J95" s="3">
        <f>IF(A95="","",IF(AND(D95&lt;&gt;"",E95&lt;&gt;"",F95&lt;&gt;""),"Yes","Missing beat"))</f>
        <v/>
      </c>
    </row>
    <row r="96">
      <c r="J96" s="3">
        <f>IF(A96="","",IF(AND(D96&lt;&gt;"",E96&lt;&gt;"",F96&lt;&gt;""),"Yes","Missing beat"))</f>
        <v/>
      </c>
    </row>
    <row r="97">
      <c r="J97" s="3">
        <f>IF(A97="","",IF(AND(D97&lt;&gt;"",E97&lt;&gt;"",F97&lt;&gt;""),"Yes","Missing beat"))</f>
        <v/>
      </c>
    </row>
    <row r="98">
      <c r="J98" s="3">
        <f>IF(A98="","",IF(AND(D98&lt;&gt;"",E98&lt;&gt;"",F98&lt;&gt;""),"Yes","Missing beat"))</f>
        <v/>
      </c>
    </row>
    <row r="99">
      <c r="J99" s="3">
        <f>IF(A99="","",IF(AND(D99&lt;&gt;"",E99&lt;&gt;"",F99&lt;&gt;""),"Yes","Missing beat"))</f>
        <v/>
      </c>
    </row>
    <row r="100">
      <c r="J100" s="3">
        <f>IF(A100="","",IF(AND(D100&lt;&gt;"",E100&lt;&gt;"",F100&lt;&gt;""),"Yes","Missing beat"))</f>
        <v/>
      </c>
    </row>
    <row r="101">
      <c r="J101" s="3">
        <f>IF(A101="","",IF(AND(D101&lt;&gt;"",E101&lt;&gt;"",F101&lt;&gt;""),"Yes","Missing beat"))</f>
        <v/>
      </c>
    </row>
    <row r="102">
      <c r="J102" s="3">
        <f>IF(A102="","",IF(AND(D102&lt;&gt;"",E102&lt;&gt;"",F102&lt;&gt;""),"Yes","Missing beat"))</f>
        <v/>
      </c>
    </row>
    <row r="103">
      <c r="J103" s="3">
        <f>IF(A103="","",IF(AND(D103&lt;&gt;"",E103&lt;&gt;"",F103&lt;&gt;""),"Yes","Missing beat"))</f>
        <v/>
      </c>
    </row>
    <row r="104">
      <c r="J104" s="3">
        <f>IF(A104="","",IF(AND(D104&lt;&gt;"",E104&lt;&gt;"",F104&lt;&gt;""),"Yes","Missing beat"))</f>
        <v/>
      </c>
    </row>
    <row r="105">
      <c r="J105" s="3">
        <f>IF(A105="","",IF(AND(D105&lt;&gt;"",E105&lt;&gt;"",F105&lt;&gt;""),"Yes","Missing beat"))</f>
        <v/>
      </c>
    </row>
    <row r="106">
      <c r="J106" s="3">
        <f>IF(A106="","",IF(AND(D106&lt;&gt;"",E106&lt;&gt;"",F106&lt;&gt;""),"Yes","Missing beat"))</f>
        <v/>
      </c>
    </row>
    <row r="107">
      <c r="J107" s="3">
        <f>IF(A107="","",IF(AND(D107&lt;&gt;"",E107&lt;&gt;"",F107&lt;&gt;""),"Yes","Missing beat"))</f>
        <v/>
      </c>
    </row>
    <row r="108">
      <c r="J108" s="3">
        <f>IF(A108="","",IF(AND(D108&lt;&gt;"",E108&lt;&gt;"",F108&lt;&gt;""),"Yes","Missing beat"))</f>
        <v/>
      </c>
    </row>
    <row r="109">
      <c r="J109" s="3">
        <f>IF(A109="","",IF(AND(D109&lt;&gt;"",E109&lt;&gt;"",F109&lt;&gt;""),"Yes","Missing beat"))</f>
        <v/>
      </c>
    </row>
    <row r="110">
      <c r="J110" s="3">
        <f>IF(A110="","",IF(AND(D110&lt;&gt;"",E110&lt;&gt;"",F110&lt;&gt;""),"Yes","Missing beat"))</f>
        <v/>
      </c>
    </row>
    <row r="111">
      <c r="J111" s="3">
        <f>IF(A111="","",IF(AND(D111&lt;&gt;"",E111&lt;&gt;"",F111&lt;&gt;""),"Yes","Missing beat"))</f>
        <v/>
      </c>
    </row>
    <row r="112">
      <c r="J112" s="3">
        <f>IF(A112="","",IF(AND(D112&lt;&gt;"",E112&lt;&gt;"",F112&lt;&gt;""),"Yes","Missing beat"))</f>
        <v/>
      </c>
    </row>
    <row r="113">
      <c r="J113" s="3">
        <f>IF(A113="","",IF(AND(D113&lt;&gt;"",E113&lt;&gt;"",F113&lt;&gt;""),"Yes","Missing beat"))</f>
        <v/>
      </c>
    </row>
    <row r="114">
      <c r="J114" s="3">
        <f>IF(A114="","",IF(AND(D114&lt;&gt;"",E114&lt;&gt;"",F114&lt;&gt;""),"Yes","Missing beat"))</f>
        <v/>
      </c>
    </row>
    <row r="115">
      <c r="J115" s="3">
        <f>IF(A115="","",IF(AND(D115&lt;&gt;"",E115&lt;&gt;"",F115&lt;&gt;""),"Yes","Missing beat"))</f>
        <v/>
      </c>
    </row>
    <row r="116">
      <c r="J116" s="3">
        <f>IF(A116="","",IF(AND(D116&lt;&gt;"",E116&lt;&gt;"",F116&lt;&gt;""),"Yes","Missing beat"))</f>
        <v/>
      </c>
    </row>
    <row r="117">
      <c r="J117" s="3">
        <f>IF(A117="","",IF(AND(D117&lt;&gt;"",E117&lt;&gt;"",F117&lt;&gt;""),"Yes","Missing beat"))</f>
        <v/>
      </c>
    </row>
    <row r="118">
      <c r="J118" s="3">
        <f>IF(A118="","",IF(AND(D118&lt;&gt;"",E118&lt;&gt;"",F118&lt;&gt;""),"Yes","Missing beat"))</f>
        <v/>
      </c>
    </row>
    <row r="119">
      <c r="J119" s="3">
        <f>IF(A119="","",IF(AND(D119&lt;&gt;"",E119&lt;&gt;"",F119&lt;&gt;""),"Yes","Missing beat"))</f>
        <v/>
      </c>
    </row>
    <row r="120">
      <c r="J120" s="3">
        <f>IF(A120="","",IF(AND(D120&lt;&gt;"",E120&lt;&gt;"",F120&lt;&gt;""),"Yes","Missing beat"))</f>
        <v/>
      </c>
    </row>
    <row r="121">
      <c r="J121" s="3">
        <f>IF(A121="","",IF(AND(D121&lt;&gt;"",E121&lt;&gt;"",F121&lt;&gt;""),"Yes","Missing beat"))</f>
        <v/>
      </c>
    </row>
    <row r="122">
      <c r="J122" s="3">
        <f>IF(A122="","",IF(AND(D122&lt;&gt;"",E122&lt;&gt;"",F122&lt;&gt;""),"Yes","Missing beat"))</f>
        <v/>
      </c>
    </row>
    <row r="123">
      <c r="J123" s="3">
        <f>IF(A123="","",IF(AND(D123&lt;&gt;"",E123&lt;&gt;"",F123&lt;&gt;""),"Yes","Missing beat"))</f>
        <v/>
      </c>
    </row>
    <row r="124">
      <c r="J124" s="3">
        <f>IF(A124="","",IF(AND(D124&lt;&gt;"",E124&lt;&gt;"",F124&lt;&gt;""),"Yes","Missing beat"))</f>
        <v/>
      </c>
    </row>
    <row r="125">
      <c r="J125" s="3">
        <f>IF(A125="","",IF(AND(D125&lt;&gt;"",E125&lt;&gt;"",F125&lt;&gt;""),"Yes","Missing beat"))</f>
        <v/>
      </c>
    </row>
    <row r="126">
      <c r="J126" s="3">
        <f>IF(A126="","",IF(AND(D126&lt;&gt;"",E126&lt;&gt;"",F126&lt;&gt;""),"Yes","Missing beat"))</f>
        <v/>
      </c>
    </row>
    <row r="127">
      <c r="J127" s="3">
        <f>IF(A127="","",IF(AND(D127&lt;&gt;"",E127&lt;&gt;"",F127&lt;&gt;""),"Yes","Missing beat"))</f>
        <v/>
      </c>
    </row>
    <row r="128">
      <c r="J128" s="3">
        <f>IF(A128="","",IF(AND(D128&lt;&gt;"",E128&lt;&gt;"",F128&lt;&gt;""),"Yes","Missing beat"))</f>
        <v/>
      </c>
    </row>
    <row r="129">
      <c r="J129" s="3">
        <f>IF(A129="","",IF(AND(D129&lt;&gt;"",E129&lt;&gt;"",F129&lt;&gt;""),"Yes","Missing beat"))</f>
        <v/>
      </c>
    </row>
    <row r="130">
      <c r="J130" s="3">
        <f>IF(A130="","",IF(AND(D130&lt;&gt;"",E130&lt;&gt;"",F130&lt;&gt;""),"Yes","Missing beat"))</f>
        <v/>
      </c>
    </row>
    <row r="131">
      <c r="J131" s="3">
        <f>IF(A131="","",IF(AND(D131&lt;&gt;"",E131&lt;&gt;"",F131&lt;&gt;""),"Yes","Missing beat"))</f>
        <v/>
      </c>
    </row>
    <row r="132">
      <c r="J132" s="3">
        <f>IF(A132="","",IF(AND(D132&lt;&gt;"",E132&lt;&gt;"",F132&lt;&gt;""),"Yes","Missing beat"))</f>
        <v/>
      </c>
    </row>
    <row r="133">
      <c r="J133" s="3">
        <f>IF(A133="","",IF(AND(D133&lt;&gt;"",E133&lt;&gt;"",F133&lt;&gt;""),"Yes","Missing beat"))</f>
        <v/>
      </c>
    </row>
    <row r="134">
      <c r="J134" s="3">
        <f>IF(A134="","",IF(AND(D134&lt;&gt;"",E134&lt;&gt;"",F134&lt;&gt;""),"Yes","Missing beat"))</f>
        <v/>
      </c>
    </row>
    <row r="135">
      <c r="J135" s="3">
        <f>IF(A135="","",IF(AND(D135&lt;&gt;"",E135&lt;&gt;"",F135&lt;&gt;""),"Yes","Missing beat"))</f>
        <v/>
      </c>
    </row>
    <row r="136">
      <c r="J136" s="3">
        <f>IF(A136="","",IF(AND(D136&lt;&gt;"",E136&lt;&gt;"",F136&lt;&gt;""),"Yes","Missing beat"))</f>
        <v/>
      </c>
    </row>
    <row r="137">
      <c r="J137" s="3">
        <f>IF(A137="","",IF(AND(D137&lt;&gt;"",E137&lt;&gt;"",F137&lt;&gt;""),"Yes","Missing beat"))</f>
        <v/>
      </c>
    </row>
    <row r="138">
      <c r="J138" s="3">
        <f>IF(A138="","",IF(AND(D138&lt;&gt;"",E138&lt;&gt;"",F138&lt;&gt;""),"Yes","Missing beat"))</f>
        <v/>
      </c>
    </row>
    <row r="139">
      <c r="J139" s="3">
        <f>IF(A139="","",IF(AND(D139&lt;&gt;"",E139&lt;&gt;"",F139&lt;&gt;""),"Yes","Missing beat"))</f>
        <v/>
      </c>
    </row>
    <row r="140">
      <c r="J140" s="3">
        <f>IF(A140="","",IF(AND(D140&lt;&gt;"",E140&lt;&gt;"",F140&lt;&gt;""),"Yes","Missing beat"))</f>
        <v/>
      </c>
    </row>
    <row r="141">
      <c r="J141" s="3">
        <f>IF(A141="","",IF(AND(D141&lt;&gt;"",E141&lt;&gt;"",F141&lt;&gt;""),"Yes","Missing beat"))</f>
        <v/>
      </c>
    </row>
    <row r="142">
      <c r="J142" s="3">
        <f>IF(A142="","",IF(AND(D142&lt;&gt;"",E142&lt;&gt;"",F142&lt;&gt;""),"Yes","Missing beat"))</f>
        <v/>
      </c>
    </row>
    <row r="143">
      <c r="J143" s="3">
        <f>IF(A143="","",IF(AND(D143&lt;&gt;"",E143&lt;&gt;"",F143&lt;&gt;""),"Yes","Missing beat"))</f>
        <v/>
      </c>
    </row>
    <row r="144">
      <c r="J144" s="3">
        <f>IF(A144="","",IF(AND(D144&lt;&gt;"",E144&lt;&gt;"",F144&lt;&gt;""),"Yes","Missing beat"))</f>
        <v/>
      </c>
    </row>
    <row r="145">
      <c r="J145" s="3">
        <f>IF(A145="","",IF(AND(D145&lt;&gt;"",E145&lt;&gt;"",F145&lt;&gt;""),"Yes","Missing beat"))</f>
        <v/>
      </c>
    </row>
    <row r="146">
      <c r="J146" s="3">
        <f>IF(A146="","",IF(AND(D146&lt;&gt;"",E146&lt;&gt;"",F146&lt;&gt;""),"Yes","Missing beat"))</f>
        <v/>
      </c>
    </row>
    <row r="147">
      <c r="J147" s="3">
        <f>IF(A147="","",IF(AND(D147&lt;&gt;"",E147&lt;&gt;"",F147&lt;&gt;""),"Yes","Missing beat"))</f>
        <v/>
      </c>
    </row>
    <row r="148">
      <c r="J148" s="3">
        <f>IF(A148="","",IF(AND(D148&lt;&gt;"",E148&lt;&gt;"",F148&lt;&gt;""),"Yes","Missing beat"))</f>
        <v/>
      </c>
    </row>
    <row r="149">
      <c r="J149" s="3">
        <f>IF(A149="","",IF(AND(D149&lt;&gt;"",E149&lt;&gt;"",F149&lt;&gt;""),"Yes","Missing beat"))</f>
        <v/>
      </c>
    </row>
    <row r="150">
      <c r="J150" s="3">
        <f>IF(A150="","",IF(AND(D150&lt;&gt;"",E150&lt;&gt;"",F150&lt;&gt;""),"Yes","Missing beat"))</f>
        <v/>
      </c>
    </row>
    <row r="151">
      <c r="J151" s="3">
        <f>IF(A151="","",IF(AND(D151&lt;&gt;"",E151&lt;&gt;"",F151&lt;&gt;""),"Yes","Missing beat"))</f>
        <v/>
      </c>
    </row>
    <row r="152">
      <c r="J152" s="3">
        <f>IF(A152="","",IF(AND(D152&lt;&gt;"",E152&lt;&gt;"",F152&lt;&gt;""),"Yes","Missing beat"))</f>
        <v/>
      </c>
    </row>
    <row r="153">
      <c r="J153" s="3">
        <f>IF(A153="","",IF(AND(D153&lt;&gt;"",E153&lt;&gt;"",F153&lt;&gt;""),"Yes","Missing beat"))</f>
        <v/>
      </c>
    </row>
    <row r="154">
      <c r="J154" s="3">
        <f>IF(A154="","",IF(AND(D154&lt;&gt;"",E154&lt;&gt;"",F154&lt;&gt;""),"Yes","Missing beat"))</f>
        <v/>
      </c>
    </row>
    <row r="155">
      <c r="J155" s="3">
        <f>IF(A155="","",IF(AND(D155&lt;&gt;"",E155&lt;&gt;"",F155&lt;&gt;""),"Yes","Missing beat"))</f>
        <v/>
      </c>
    </row>
    <row r="156">
      <c r="J156" s="3">
        <f>IF(A156="","",IF(AND(D156&lt;&gt;"",E156&lt;&gt;"",F156&lt;&gt;""),"Yes","Missing beat"))</f>
        <v/>
      </c>
    </row>
    <row r="157">
      <c r="J157" s="3">
        <f>IF(A157="","",IF(AND(D157&lt;&gt;"",E157&lt;&gt;"",F157&lt;&gt;""),"Yes","Missing beat"))</f>
        <v/>
      </c>
    </row>
    <row r="158">
      <c r="J158" s="3">
        <f>IF(A158="","",IF(AND(D158&lt;&gt;"",E158&lt;&gt;"",F158&lt;&gt;""),"Yes","Missing beat"))</f>
        <v/>
      </c>
    </row>
    <row r="159">
      <c r="J159" s="3">
        <f>IF(A159="","",IF(AND(D159&lt;&gt;"",E159&lt;&gt;"",F159&lt;&gt;""),"Yes","Missing beat"))</f>
        <v/>
      </c>
    </row>
    <row r="160">
      <c r="J160" s="3">
        <f>IF(A160="","",IF(AND(D160&lt;&gt;"",E160&lt;&gt;"",F160&lt;&gt;""),"Yes","Missing beat"))</f>
        <v/>
      </c>
    </row>
    <row r="161">
      <c r="J161" s="3">
        <f>IF(A161="","",IF(AND(D161&lt;&gt;"",E161&lt;&gt;"",F161&lt;&gt;""),"Yes","Missing beat"))</f>
        <v/>
      </c>
    </row>
    <row r="162">
      <c r="J162" s="3">
        <f>IF(A162="","",IF(AND(D162&lt;&gt;"",E162&lt;&gt;"",F162&lt;&gt;""),"Yes","Missing beat"))</f>
        <v/>
      </c>
    </row>
    <row r="163">
      <c r="J163" s="3">
        <f>IF(A163="","",IF(AND(D163&lt;&gt;"",E163&lt;&gt;"",F163&lt;&gt;""),"Yes","Missing beat"))</f>
        <v/>
      </c>
    </row>
    <row r="164">
      <c r="J164" s="3">
        <f>IF(A164="","",IF(AND(D164&lt;&gt;"",E164&lt;&gt;"",F164&lt;&gt;""),"Yes","Missing beat"))</f>
        <v/>
      </c>
    </row>
    <row r="165">
      <c r="J165" s="3">
        <f>IF(A165="","",IF(AND(D165&lt;&gt;"",E165&lt;&gt;"",F165&lt;&gt;""),"Yes","Missing beat"))</f>
        <v/>
      </c>
    </row>
    <row r="166">
      <c r="J166" s="3">
        <f>IF(A166="","",IF(AND(D166&lt;&gt;"",E166&lt;&gt;"",F166&lt;&gt;""),"Yes","Missing beat"))</f>
        <v/>
      </c>
    </row>
    <row r="167">
      <c r="J167" s="3">
        <f>IF(A167="","",IF(AND(D167&lt;&gt;"",E167&lt;&gt;"",F167&lt;&gt;""),"Yes","Missing beat"))</f>
        <v/>
      </c>
    </row>
    <row r="168">
      <c r="J168" s="3">
        <f>IF(A168="","",IF(AND(D168&lt;&gt;"",E168&lt;&gt;"",F168&lt;&gt;""),"Yes","Missing beat"))</f>
        <v/>
      </c>
    </row>
    <row r="169">
      <c r="J169" s="3">
        <f>IF(A169="","",IF(AND(D169&lt;&gt;"",E169&lt;&gt;"",F169&lt;&gt;""),"Yes","Missing beat"))</f>
        <v/>
      </c>
    </row>
    <row r="170">
      <c r="J170" s="3">
        <f>IF(A170="","",IF(AND(D170&lt;&gt;"",E170&lt;&gt;"",F170&lt;&gt;""),"Yes","Missing beat"))</f>
        <v/>
      </c>
    </row>
    <row r="171">
      <c r="J171" s="3">
        <f>IF(A171="","",IF(AND(D171&lt;&gt;"",E171&lt;&gt;"",F171&lt;&gt;""),"Yes","Missing beat"))</f>
        <v/>
      </c>
    </row>
    <row r="172">
      <c r="J172" s="3">
        <f>IF(A172="","",IF(AND(D172&lt;&gt;"",E172&lt;&gt;"",F172&lt;&gt;""),"Yes","Missing beat"))</f>
        <v/>
      </c>
    </row>
    <row r="173">
      <c r="J173" s="3">
        <f>IF(A173="","",IF(AND(D173&lt;&gt;"",E173&lt;&gt;"",F173&lt;&gt;""),"Yes","Missing beat"))</f>
        <v/>
      </c>
    </row>
    <row r="174">
      <c r="J174" s="3">
        <f>IF(A174="","",IF(AND(D174&lt;&gt;"",E174&lt;&gt;"",F174&lt;&gt;""),"Yes","Missing beat"))</f>
        <v/>
      </c>
    </row>
    <row r="175">
      <c r="J175" s="3">
        <f>IF(A175="","",IF(AND(D175&lt;&gt;"",E175&lt;&gt;"",F175&lt;&gt;""),"Yes","Missing beat"))</f>
        <v/>
      </c>
    </row>
    <row r="176">
      <c r="J176" s="3">
        <f>IF(A176="","",IF(AND(D176&lt;&gt;"",E176&lt;&gt;"",F176&lt;&gt;""),"Yes","Missing beat"))</f>
        <v/>
      </c>
    </row>
    <row r="177">
      <c r="J177" s="3">
        <f>IF(A177="","",IF(AND(D177&lt;&gt;"",E177&lt;&gt;"",F177&lt;&gt;""),"Yes","Missing beat"))</f>
        <v/>
      </c>
    </row>
    <row r="178">
      <c r="J178" s="3">
        <f>IF(A178="","",IF(AND(D178&lt;&gt;"",E178&lt;&gt;"",F178&lt;&gt;""),"Yes","Missing beat"))</f>
        <v/>
      </c>
    </row>
    <row r="179">
      <c r="J179" s="3">
        <f>IF(A179="","",IF(AND(D179&lt;&gt;"",E179&lt;&gt;"",F179&lt;&gt;""),"Yes","Missing beat"))</f>
        <v/>
      </c>
    </row>
    <row r="180">
      <c r="J180" s="3">
        <f>IF(A180="","",IF(AND(D180&lt;&gt;"",E180&lt;&gt;"",F180&lt;&gt;""),"Yes","Missing beat"))</f>
        <v/>
      </c>
    </row>
    <row r="181">
      <c r="J181" s="3">
        <f>IF(A181="","",IF(AND(D181&lt;&gt;"",E181&lt;&gt;"",F181&lt;&gt;""),"Yes","Missing beat"))</f>
        <v/>
      </c>
    </row>
    <row r="182">
      <c r="J182" s="3">
        <f>IF(A182="","",IF(AND(D182&lt;&gt;"",E182&lt;&gt;"",F182&lt;&gt;""),"Yes","Missing beat"))</f>
        <v/>
      </c>
    </row>
    <row r="183">
      <c r="J183" s="3">
        <f>IF(A183="","",IF(AND(D183&lt;&gt;"",E183&lt;&gt;"",F183&lt;&gt;""),"Yes","Missing beat"))</f>
        <v/>
      </c>
    </row>
    <row r="184">
      <c r="J184" s="3">
        <f>IF(A184="","",IF(AND(D184&lt;&gt;"",E184&lt;&gt;"",F184&lt;&gt;""),"Yes","Missing beat"))</f>
        <v/>
      </c>
    </row>
    <row r="185">
      <c r="J185" s="3">
        <f>IF(A185="","",IF(AND(D185&lt;&gt;"",E185&lt;&gt;"",F185&lt;&gt;""),"Yes","Missing beat"))</f>
        <v/>
      </c>
    </row>
    <row r="186">
      <c r="J186" s="3">
        <f>IF(A186="","",IF(AND(D186&lt;&gt;"",E186&lt;&gt;"",F186&lt;&gt;""),"Yes","Missing beat"))</f>
        <v/>
      </c>
    </row>
    <row r="187">
      <c r="J187" s="3">
        <f>IF(A187="","",IF(AND(D187&lt;&gt;"",E187&lt;&gt;"",F187&lt;&gt;""),"Yes","Missing beat"))</f>
        <v/>
      </c>
    </row>
    <row r="188">
      <c r="J188" s="3">
        <f>IF(A188="","",IF(AND(D188&lt;&gt;"",E188&lt;&gt;"",F188&lt;&gt;""),"Yes","Missing beat"))</f>
        <v/>
      </c>
    </row>
    <row r="189">
      <c r="J189" s="3">
        <f>IF(A189="","",IF(AND(D189&lt;&gt;"",E189&lt;&gt;"",F189&lt;&gt;""),"Yes","Missing beat"))</f>
        <v/>
      </c>
    </row>
    <row r="190">
      <c r="J190" s="3">
        <f>IF(A190="","",IF(AND(D190&lt;&gt;"",E190&lt;&gt;"",F190&lt;&gt;""),"Yes","Missing beat"))</f>
        <v/>
      </c>
    </row>
    <row r="191">
      <c r="J191" s="3">
        <f>IF(A191="","",IF(AND(D191&lt;&gt;"",E191&lt;&gt;"",F191&lt;&gt;""),"Yes","Missing beat"))</f>
        <v/>
      </c>
    </row>
    <row r="192">
      <c r="J192" s="3">
        <f>IF(A192="","",IF(AND(D192&lt;&gt;"",E192&lt;&gt;"",F192&lt;&gt;""),"Yes","Missing beat"))</f>
        <v/>
      </c>
    </row>
    <row r="193">
      <c r="J193" s="3">
        <f>IF(A193="","",IF(AND(D193&lt;&gt;"",E193&lt;&gt;"",F193&lt;&gt;""),"Yes","Missing beat"))</f>
        <v/>
      </c>
    </row>
    <row r="194">
      <c r="J194" s="3">
        <f>IF(A194="","",IF(AND(D194&lt;&gt;"",E194&lt;&gt;"",F194&lt;&gt;""),"Yes","Missing beat"))</f>
        <v/>
      </c>
    </row>
    <row r="195">
      <c r="J195" s="3">
        <f>IF(A195="","",IF(AND(D195&lt;&gt;"",E195&lt;&gt;"",F195&lt;&gt;""),"Yes","Missing beat"))</f>
        <v/>
      </c>
    </row>
    <row r="196">
      <c r="J196" s="3">
        <f>IF(A196="","",IF(AND(D196&lt;&gt;"",E196&lt;&gt;"",F196&lt;&gt;""),"Yes","Missing beat"))</f>
        <v/>
      </c>
    </row>
    <row r="197">
      <c r="J197" s="3">
        <f>IF(A197="","",IF(AND(D197&lt;&gt;"",E197&lt;&gt;"",F197&lt;&gt;""),"Yes","Missing beat"))</f>
        <v/>
      </c>
    </row>
    <row r="198">
      <c r="J198" s="3">
        <f>IF(A198="","",IF(AND(D198&lt;&gt;"",E198&lt;&gt;"",F198&lt;&gt;""),"Yes","Missing beat"))</f>
        <v/>
      </c>
    </row>
    <row r="199">
      <c r="J199" s="3">
        <f>IF(A199="","",IF(AND(D199&lt;&gt;"",E199&lt;&gt;"",F199&lt;&gt;""),"Yes","Missing beat"))</f>
        <v/>
      </c>
    </row>
    <row r="200">
      <c r="J200" s="3">
        <f>IF(A200="","",IF(AND(D200&lt;&gt;"",E200&lt;&gt;"",F200&lt;&gt;""),"Yes","Missing beat"))</f>
        <v/>
      </c>
    </row>
    <row r="201">
      <c r="J201" s="3">
        <f>IF(A201="","",IF(AND(D201&lt;&gt;"",E201&lt;&gt;"",F201&lt;&gt;""),"Yes","Missing beat"))</f>
        <v/>
      </c>
    </row>
  </sheetData>
  <dataValidations count="2">
    <dataValidation sqref="C2:C201" showDropDown="0" showInputMessage="0" showErrorMessage="0" allowBlank="1" type="list">
      <formula1>"Seed (awareness),Harvest (offer)"</formula1>
    </dataValidation>
    <dataValidation sqref="H2:H201" showDropDown="0" showInputMessage="0" showErrorMessage="0" allowBlank="1" type="list">
      <formula1>"Own team,Creator,AI-assisted"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5.71428571428571" customWidth="1" min="13" max="13"/>
    <col width="28.57142857142857" customWidth="1" min="14" max="14"/>
  </cols>
  <sheetData>
    <row r="1" ht="48" customHeight="1">
      <c r="A1" s="1" t="inlineStr">
        <is>
          <t>Asset ID</t>
        </is>
      </c>
      <c r="B1" s="1" t="inlineStr">
        <is>
          <t>Date</t>
        </is>
      </c>
      <c r="C1" s="1" t="inlineStr">
        <is>
          <t>Producer</t>
        </is>
      </c>
      <c r="D1" s="1" t="inlineStr">
        <is>
          <t>Seed/Harvest</t>
        </is>
      </c>
      <c r="E1" s="1" t="inlineStr">
        <is>
          <t>Selling point</t>
        </is>
      </c>
      <c r="F1" s="1" t="inlineStr">
        <is>
          <t>Views</t>
        </is>
      </c>
      <c r="G1" s="1" t="inlineStr">
        <is>
          <t>3s retention %</t>
        </is>
      </c>
      <c r="H1" s="1" t="inlineStr">
        <is>
          <t>Click-through %</t>
        </is>
      </c>
      <c r="I1" s="1" t="inlineStr">
        <is>
          <t>Orders</t>
        </is>
      </c>
      <c r="J1" s="1" t="inlineStr">
        <is>
          <t>Ad spend ($)</t>
        </is>
      </c>
      <c r="K1" s="1" t="inlineStr">
        <is>
          <t>Revenue ($)</t>
        </is>
      </c>
      <c r="L1" s="2" t="inlineStr">
        <is>
          <t>ROAS ƒ</t>
        </is>
      </c>
      <c r="M1" s="2" t="inlineStr">
        <is>
          <t>Triage ƒ</t>
        </is>
      </c>
      <c r="N1" s="1" t="inlineStr">
        <is>
          <t>Why (yesterday's stand-up)</t>
        </is>
      </c>
    </row>
    <row r="2">
      <c r="A2" t="inlineStr">
        <is>
          <t>V-001</t>
        </is>
      </c>
      <c r="B2" t="inlineStr">
        <is>
          <t>2026-11-02</t>
        </is>
      </c>
      <c r="C2" t="inlineStr">
        <is>
          <t>Ana</t>
        </is>
      </c>
      <c r="D2" t="inlineStr">
        <is>
          <t>Harvest</t>
        </is>
      </c>
      <c r="E2" t="inlineStr">
        <is>
          <t>Salon result</t>
        </is>
      </c>
      <c r="F2" t="n">
        <v>18000</v>
      </c>
      <c r="G2" s="8" t="n">
        <v>0.41</v>
      </c>
      <c r="H2" s="8" t="n">
        <v>0.021</v>
      </c>
      <c r="I2" t="n">
        <v>14</v>
      </c>
      <c r="J2" s="4" t="n">
        <v>120</v>
      </c>
      <c r="K2" s="4" t="n">
        <v>686</v>
      </c>
      <c r="L2" s="9">
        <f>IF(A2="","",IFERROR(K2/J2,0))</f>
        <v/>
      </c>
      <c r="M2" s="3">
        <f>IF(A2="","",IF(F2=0,"",IF(G2&lt;0.25,"P0 fix hook",IF(AND(D2="Harvest",I2=0),"P1 check proof/CTA","P2 keep"))))</f>
        <v/>
      </c>
    </row>
    <row r="3">
      <c r="G3" s="8" t="n"/>
      <c r="H3" s="8" t="n"/>
      <c r="J3" s="4" t="n"/>
      <c r="K3" s="4" t="n"/>
      <c r="L3" s="9">
        <f>IF(A3="","",IFERROR(K3/J3,0))</f>
        <v/>
      </c>
      <c r="M3" s="3">
        <f>IF(A3="","",IF(F3=0,"",IF(G3&lt;0.25,"P0 fix hook",IF(AND(D3="Harvest",I3=0),"P1 check proof/CTA","P2 keep"))))</f>
        <v/>
      </c>
    </row>
    <row r="4">
      <c r="G4" s="8" t="n"/>
      <c r="H4" s="8" t="n"/>
      <c r="J4" s="4" t="n"/>
      <c r="K4" s="4" t="n"/>
      <c r="L4" s="9">
        <f>IF(A4="","",IFERROR(K4/J4,0))</f>
        <v/>
      </c>
      <c r="M4" s="3">
        <f>IF(A4="","",IF(F4=0,"",IF(G4&lt;0.25,"P0 fix hook",IF(AND(D4="Harvest",I4=0),"P1 check proof/CTA","P2 keep"))))</f>
        <v/>
      </c>
    </row>
    <row r="5">
      <c r="G5" s="8" t="n"/>
      <c r="H5" s="8" t="n"/>
      <c r="J5" s="4" t="n"/>
      <c r="K5" s="4" t="n"/>
      <c r="L5" s="9">
        <f>IF(A5="","",IFERROR(K5/J5,0))</f>
        <v/>
      </c>
      <c r="M5" s="3">
        <f>IF(A5="","",IF(F5=0,"",IF(G5&lt;0.25,"P0 fix hook",IF(AND(D5="Harvest",I5=0),"P1 check proof/CTA","P2 keep"))))</f>
        <v/>
      </c>
    </row>
    <row r="6">
      <c r="G6" s="8" t="n"/>
      <c r="H6" s="8" t="n"/>
      <c r="J6" s="4" t="n"/>
      <c r="K6" s="4" t="n"/>
      <c r="L6" s="9">
        <f>IF(A6="","",IFERROR(K6/J6,0))</f>
        <v/>
      </c>
      <c r="M6" s="3">
        <f>IF(A6="","",IF(F6=0,"",IF(G6&lt;0.25,"P0 fix hook",IF(AND(D6="Harvest",I6=0),"P1 check proof/CTA","P2 keep"))))</f>
        <v/>
      </c>
    </row>
    <row r="7">
      <c r="G7" s="8" t="n"/>
      <c r="H7" s="8" t="n"/>
      <c r="J7" s="4" t="n"/>
      <c r="K7" s="4" t="n"/>
      <c r="L7" s="9">
        <f>IF(A7="","",IFERROR(K7/J7,0))</f>
        <v/>
      </c>
      <c r="M7" s="3">
        <f>IF(A7="","",IF(F7=0,"",IF(G7&lt;0.25,"P0 fix hook",IF(AND(D7="Harvest",I7=0),"P1 check proof/CTA","P2 keep"))))</f>
        <v/>
      </c>
    </row>
    <row r="8">
      <c r="G8" s="8" t="n"/>
      <c r="H8" s="8" t="n"/>
      <c r="J8" s="4" t="n"/>
      <c r="K8" s="4" t="n"/>
      <c r="L8" s="9">
        <f>IF(A8="","",IFERROR(K8/J8,0))</f>
        <v/>
      </c>
      <c r="M8" s="3">
        <f>IF(A8="","",IF(F8=0,"",IF(G8&lt;0.25,"P0 fix hook",IF(AND(D8="Harvest",I8=0),"P1 check proof/CTA","P2 keep"))))</f>
        <v/>
      </c>
    </row>
    <row r="9">
      <c r="G9" s="8" t="n"/>
      <c r="H9" s="8" t="n"/>
      <c r="J9" s="4" t="n"/>
      <c r="K9" s="4" t="n"/>
      <c r="L9" s="9">
        <f>IF(A9="","",IFERROR(K9/J9,0))</f>
        <v/>
      </c>
      <c r="M9" s="3">
        <f>IF(A9="","",IF(F9=0,"",IF(G9&lt;0.25,"P0 fix hook",IF(AND(D9="Harvest",I9=0),"P1 check proof/CTA","P2 keep"))))</f>
        <v/>
      </c>
    </row>
    <row r="10">
      <c r="G10" s="8" t="n"/>
      <c r="H10" s="8" t="n"/>
      <c r="J10" s="4" t="n"/>
      <c r="K10" s="4" t="n"/>
      <c r="L10" s="9">
        <f>IF(A10="","",IFERROR(K10/J10,0))</f>
        <v/>
      </c>
      <c r="M10" s="3">
        <f>IF(A10="","",IF(F10=0,"",IF(G10&lt;0.25,"P0 fix hook",IF(AND(D10="Harvest",I10=0),"P1 check proof/CTA","P2 keep"))))</f>
        <v/>
      </c>
    </row>
    <row r="11">
      <c r="G11" s="8" t="n"/>
      <c r="H11" s="8" t="n"/>
      <c r="J11" s="4" t="n"/>
      <c r="K11" s="4" t="n"/>
      <c r="L11" s="9">
        <f>IF(A11="","",IFERROR(K11/J11,0))</f>
        <v/>
      </c>
      <c r="M11" s="3">
        <f>IF(A11="","",IF(F11=0,"",IF(G11&lt;0.25,"P0 fix hook",IF(AND(D11="Harvest",I11=0),"P1 check proof/CTA","P2 keep"))))</f>
        <v/>
      </c>
    </row>
    <row r="12">
      <c r="G12" s="8" t="n"/>
      <c r="H12" s="8" t="n"/>
      <c r="J12" s="4" t="n"/>
      <c r="K12" s="4" t="n"/>
      <c r="L12" s="9">
        <f>IF(A12="","",IFERROR(K12/J12,0))</f>
        <v/>
      </c>
      <c r="M12" s="3">
        <f>IF(A12="","",IF(F12=0,"",IF(G12&lt;0.25,"P0 fix hook",IF(AND(D12="Harvest",I12=0),"P1 check proof/CTA","P2 keep"))))</f>
        <v/>
      </c>
    </row>
    <row r="13">
      <c r="G13" s="8" t="n"/>
      <c r="H13" s="8" t="n"/>
      <c r="J13" s="4" t="n"/>
      <c r="K13" s="4" t="n"/>
      <c r="L13" s="9">
        <f>IF(A13="","",IFERROR(K13/J13,0))</f>
        <v/>
      </c>
      <c r="M13" s="3">
        <f>IF(A13="","",IF(F13=0,"",IF(G13&lt;0.25,"P0 fix hook",IF(AND(D13="Harvest",I13=0),"P1 check proof/CTA","P2 keep"))))</f>
        <v/>
      </c>
    </row>
    <row r="14">
      <c r="G14" s="8" t="n"/>
      <c r="H14" s="8" t="n"/>
      <c r="J14" s="4" t="n"/>
      <c r="K14" s="4" t="n"/>
      <c r="L14" s="9">
        <f>IF(A14="","",IFERROR(K14/J14,0))</f>
        <v/>
      </c>
      <c r="M14" s="3">
        <f>IF(A14="","",IF(F14=0,"",IF(G14&lt;0.25,"P0 fix hook",IF(AND(D14="Harvest",I14=0),"P1 check proof/CTA","P2 keep"))))</f>
        <v/>
      </c>
    </row>
    <row r="15">
      <c r="G15" s="8" t="n"/>
      <c r="H15" s="8" t="n"/>
      <c r="J15" s="4" t="n"/>
      <c r="K15" s="4" t="n"/>
      <c r="L15" s="9">
        <f>IF(A15="","",IFERROR(K15/J15,0))</f>
        <v/>
      </c>
      <c r="M15" s="3">
        <f>IF(A15="","",IF(F15=0,"",IF(G15&lt;0.25,"P0 fix hook",IF(AND(D15="Harvest",I15=0),"P1 check proof/CTA","P2 keep"))))</f>
        <v/>
      </c>
    </row>
    <row r="16">
      <c r="G16" s="8" t="n"/>
      <c r="H16" s="8" t="n"/>
      <c r="J16" s="4" t="n"/>
      <c r="K16" s="4" t="n"/>
      <c r="L16" s="9">
        <f>IF(A16="","",IFERROR(K16/J16,0))</f>
        <v/>
      </c>
      <c r="M16" s="3">
        <f>IF(A16="","",IF(F16=0,"",IF(G16&lt;0.25,"P0 fix hook",IF(AND(D16="Harvest",I16=0),"P1 check proof/CTA","P2 keep"))))</f>
        <v/>
      </c>
    </row>
    <row r="17">
      <c r="G17" s="8" t="n"/>
      <c r="H17" s="8" t="n"/>
      <c r="J17" s="4" t="n"/>
      <c r="K17" s="4" t="n"/>
      <c r="L17" s="9">
        <f>IF(A17="","",IFERROR(K17/J17,0))</f>
        <v/>
      </c>
      <c r="M17" s="3">
        <f>IF(A17="","",IF(F17=0,"",IF(G17&lt;0.25,"P0 fix hook",IF(AND(D17="Harvest",I17=0),"P1 check proof/CTA","P2 keep"))))</f>
        <v/>
      </c>
    </row>
    <row r="18">
      <c r="G18" s="8" t="n"/>
      <c r="H18" s="8" t="n"/>
      <c r="J18" s="4" t="n"/>
      <c r="K18" s="4" t="n"/>
      <c r="L18" s="9">
        <f>IF(A18="","",IFERROR(K18/J18,0))</f>
        <v/>
      </c>
      <c r="M18" s="3">
        <f>IF(A18="","",IF(F18=0,"",IF(G18&lt;0.25,"P0 fix hook",IF(AND(D18="Harvest",I18=0),"P1 check proof/CTA","P2 keep"))))</f>
        <v/>
      </c>
    </row>
    <row r="19">
      <c r="G19" s="8" t="n"/>
      <c r="H19" s="8" t="n"/>
      <c r="J19" s="4" t="n"/>
      <c r="K19" s="4" t="n"/>
      <c r="L19" s="9">
        <f>IF(A19="","",IFERROR(K19/J19,0))</f>
        <v/>
      </c>
      <c r="M19" s="3">
        <f>IF(A19="","",IF(F19=0,"",IF(G19&lt;0.25,"P0 fix hook",IF(AND(D19="Harvest",I19=0),"P1 check proof/CTA","P2 keep"))))</f>
        <v/>
      </c>
    </row>
    <row r="20">
      <c r="G20" s="8" t="n"/>
      <c r="H20" s="8" t="n"/>
      <c r="J20" s="4" t="n"/>
      <c r="K20" s="4" t="n"/>
      <c r="L20" s="9">
        <f>IF(A20="","",IFERROR(K20/J20,0))</f>
        <v/>
      </c>
      <c r="M20" s="3">
        <f>IF(A20="","",IF(F20=0,"",IF(G20&lt;0.25,"P0 fix hook",IF(AND(D20="Harvest",I20=0),"P1 check proof/CTA","P2 keep"))))</f>
        <v/>
      </c>
    </row>
    <row r="21">
      <c r="G21" s="8" t="n"/>
      <c r="H21" s="8" t="n"/>
      <c r="J21" s="4" t="n"/>
      <c r="K21" s="4" t="n"/>
      <c r="L21" s="9">
        <f>IF(A21="","",IFERROR(K21/J21,0))</f>
        <v/>
      </c>
      <c r="M21" s="3">
        <f>IF(A21="","",IF(F21=0,"",IF(G21&lt;0.25,"P0 fix hook",IF(AND(D21="Harvest",I21=0),"P1 check proof/CTA","P2 keep"))))</f>
        <v/>
      </c>
    </row>
    <row r="22">
      <c r="G22" s="8" t="n"/>
      <c r="H22" s="8" t="n"/>
      <c r="J22" s="4" t="n"/>
      <c r="K22" s="4" t="n"/>
      <c r="L22" s="9">
        <f>IF(A22="","",IFERROR(K22/J22,0))</f>
        <v/>
      </c>
      <c r="M22" s="3">
        <f>IF(A22="","",IF(F22=0,"",IF(G22&lt;0.25,"P0 fix hook",IF(AND(D22="Harvest",I22=0),"P1 check proof/CTA","P2 keep"))))</f>
        <v/>
      </c>
    </row>
    <row r="23">
      <c r="G23" s="8" t="n"/>
      <c r="H23" s="8" t="n"/>
      <c r="J23" s="4" t="n"/>
      <c r="K23" s="4" t="n"/>
      <c r="L23" s="9">
        <f>IF(A23="","",IFERROR(K23/J23,0))</f>
        <v/>
      </c>
      <c r="M23" s="3">
        <f>IF(A23="","",IF(F23=0,"",IF(G23&lt;0.25,"P0 fix hook",IF(AND(D23="Harvest",I23=0),"P1 check proof/CTA","P2 keep"))))</f>
        <v/>
      </c>
    </row>
    <row r="24">
      <c r="G24" s="8" t="n"/>
      <c r="H24" s="8" t="n"/>
      <c r="J24" s="4" t="n"/>
      <c r="K24" s="4" t="n"/>
      <c r="L24" s="9">
        <f>IF(A24="","",IFERROR(K24/J24,0))</f>
        <v/>
      </c>
      <c r="M24" s="3">
        <f>IF(A24="","",IF(F24=0,"",IF(G24&lt;0.25,"P0 fix hook",IF(AND(D24="Harvest",I24=0),"P1 check proof/CTA","P2 keep"))))</f>
        <v/>
      </c>
    </row>
    <row r="25">
      <c r="G25" s="8" t="n"/>
      <c r="H25" s="8" t="n"/>
      <c r="J25" s="4" t="n"/>
      <c r="K25" s="4" t="n"/>
      <c r="L25" s="9">
        <f>IF(A25="","",IFERROR(K25/J25,0))</f>
        <v/>
      </c>
      <c r="M25" s="3">
        <f>IF(A25="","",IF(F25=0,"",IF(G25&lt;0.25,"P0 fix hook",IF(AND(D25="Harvest",I25=0),"P1 check proof/CTA","P2 keep"))))</f>
        <v/>
      </c>
    </row>
    <row r="26">
      <c r="G26" s="8" t="n"/>
      <c r="H26" s="8" t="n"/>
      <c r="J26" s="4" t="n"/>
      <c r="K26" s="4" t="n"/>
      <c r="L26" s="9">
        <f>IF(A26="","",IFERROR(K26/J26,0))</f>
        <v/>
      </c>
      <c r="M26" s="3">
        <f>IF(A26="","",IF(F26=0,"",IF(G26&lt;0.25,"P0 fix hook",IF(AND(D26="Harvest",I26=0),"P1 check proof/CTA","P2 keep"))))</f>
        <v/>
      </c>
    </row>
    <row r="27">
      <c r="G27" s="8" t="n"/>
      <c r="H27" s="8" t="n"/>
      <c r="J27" s="4" t="n"/>
      <c r="K27" s="4" t="n"/>
      <c r="L27" s="9">
        <f>IF(A27="","",IFERROR(K27/J27,0))</f>
        <v/>
      </c>
      <c r="M27" s="3">
        <f>IF(A27="","",IF(F27=0,"",IF(G27&lt;0.25,"P0 fix hook",IF(AND(D27="Harvest",I27=0),"P1 check proof/CTA","P2 keep"))))</f>
        <v/>
      </c>
    </row>
    <row r="28">
      <c r="G28" s="8" t="n"/>
      <c r="H28" s="8" t="n"/>
      <c r="J28" s="4" t="n"/>
      <c r="K28" s="4" t="n"/>
      <c r="L28" s="9">
        <f>IF(A28="","",IFERROR(K28/J28,0))</f>
        <v/>
      </c>
      <c r="M28" s="3">
        <f>IF(A28="","",IF(F28=0,"",IF(G28&lt;0.25,"P0 fix hook",IF(AND(D28="Harvest",I28=0),"P1 check proof/CTA","P2 keep"))))</f>
        <v/>
      </c>
    </row>
    <row r="29">
      <c r="G29" s="8" t="n"/>
      <c r="H29" s="8" t="n"/>
      <c r="J29" s="4" t="n"/>
      <c r="K29" s="4" t="n"/>
      <c r="L29" s="9">
        <f>IF(A29="","",IFERROR(K29/J29,0))</f>
        <v/>
      </c>
      <c r="M29" s="3">
        <f>IF(A29="","",IF(F29=0,"",IF(G29&lt;0.25,"P0 fix hook",IF(AND(D29="Harvest",I29=0),"P1 check proof/CTA","P2 keep"))))</f>
        <v/>
      </c>
    </row>
    <row r="30">
      <c r="G30" s="8" t="n"/>
      <c r="H30" s="8" t="n"/>
      <c r="J30" s="4" t="n"/>
      <c r="K30" s="4" t="n"/>
      <c r="L30" s="9">
        <f>IF(A30="","",IFERROR(K30/J30,0))</f>
        <v/>
      </c>
      <c r="M30" s="3">
        <f>IF(A30="","",IF(F30=0,"",IF(G30&lt;0.25,"P0 fix hook",IF(AND(D30="Harvest",I30=0),"P1 check proof/CTA","P2 keep"))))</f>
        <v/>
      </c>
    </row>
    <row r="31">
      <c r="G31" s="8" t="n"/>
      <c r="H31" s="8" t="n"/>
      <c r="J31" s="4" t="n"/>
      <c r="K31" s="4" t="n"/>
      <c r="L31" s="9">
        <f>IF(A31="","",IFERROR(K31/J31,0))</f>
        <v/>
      </c>
      <c r="M31" s="3">
        <f>IF(A31="","",IF(F31=0,"",IF(G31&lt;0.25,"P0 fix hook",IF(AND(D31="Harvest",I31=0),"P1 check proof/CTA","P2 keep"))))</f>
        <v/>
      </c>
    </row>
    <row r="32">
      <c r="G32" s="8" t="n"/>
      <c r="H32" s="8" t="n"/>
      <c r="J32" s="4" t="n"/>
      <c r="K32" s="4" t="n"/>
      <c r="L32" s="9">
        <f>IF(A32="","",IFERROR(K32/J32,0))</f>
        <v/>
      </c>
      <c r="M32" s="3">
        <f>IF(A32="","",IF(F32=0,"",IF(G32&lt;0.25,"P0 fix hook",IF(AND(D32="Harvest",I32=0),"P1 check proof/CTA","P2 keep"))))</f>
        <v/>
      </c>
    </row>
    <row r="33">
      <c r="G33" s="8" t="n"/>
      <c r="H33" s="8" t="n"/>
      <c r="J33" s="4" t="n"/>
      <c r="K33" s="4" t="n"/>
      <c r="L33" s="9">
        <f>IF(A33="","",IFERROR(K33/J33,0))</f>
        <v/>
      </c>
      <c r="M33" s="3">
        <f>IF(A33="","",IF(F33=0,"",IF(G33&lt;0.25,"P0 fix hook",IF(AND(D33="Harvest",I33=0),"P1 check proof/CTA","P2 keep"))))</f>
        <v/>
      </c>
    </row>
    <row r="34">
      <c r="G34" s="8" t="n"/>
      <c r="H34" s="8" t="n"/>
      <c r="J34" s="4" t="n"/>
      <c r="K34" s="4" t="n"/>
      <c r="L34" s="9">
        <f>IF(A34="","",IFERROR(K34/J34,0))</f>
        <v/>
      </c>
      <c r="M34" s="3">
        <f>IF(A34="","",IF(F34=0,"",IF(G34&lt;0.25,"P0 fix hook",IF(AND(D34="Harvest",I34=0),"P1 check proof/CTA","P2 keep"))))</f>
        <v/>
      </c>
    </row>
    <row r="35">
      <c r="G35" s="8" t="n"/>
      <c r="H35" s="8" t="n"/>
      <c r="J35" s="4" t="n"/>
      <c r="K35" s="4" t="n"/>
      <c r="L35" s="9">
        <f>IF(A35="","",IFERROR(K35/J35,0))</f>
        <v/>
      </c>
      <c r="M35" s="3">
        <f>IF(A35="","",IF(F35=0,"",IF(G35&lt;0.25,"P0 fix hook",IF(AND(D35="Harvest",I35=0),"P1 check proof/CTA","P2 keep"))))</f>
        <v/>
      </c>
    </row>
    <row r="36">
      <c r="G36" s="8" t="n"/>
      <c r="H36" s="8" t="n"/>
      <c r="J36" s="4" t="n"/>
      <c r="K36" s="4" t="n"/>
      <c r="L36" s="9">
        <f>IF(A36="","",IFERROR(K36/J36,0))</f>
        <v/>
      </c>
      <c r="M36" s="3">
        <f>IF(A36="","",IF(F36=0,"",IF(G36&lt;0.25,"P0 fix hook",IF(AND(D36="Harvest",I36=0),"P1 check proof/CTA","P2 keep"))))</f>
        <v/>
      </c>
    </row>
    <row r="37">
      <c r="G37" s="8" t="n"/>
      <c r="H37" s="8" t="n"/>
      <c r="J37" s="4" t="n"/>
      <c r="K37" s="4" t="n"/>
      <c r="L37" s="9">
        <f>IF(A37="","",IFERROR(K37/J37,0))</f>
        <v/>
      </c>
      <c r="M37" s="3">
        <f>IF(A37="","",IF(F37=0,"",IF(G37&lt;0.25,"P0 fix hook",IF(AND(D37="Harvest",I37=0),"P1 check proof/CTA","P2 keep"))))</f>
        <v/>
      </c>
    </row>
    <row r="38">
      <c r="G38" s="8" t="n"/>
      <c r="H38" s="8" t="n"/>
      <c r="J38" s="4" t="n"/>
      <c r="K38" s="4" t="n"/>
      <c r="L38" s="9">
        <f>IF(A38="","",IFERROR(K38/J38,0))</f>
        <v/>
      </c>
      <c r="M38" s="3">
        <f>IF(A38="","",IF(F38=0,"",IF(G38&lt;0.25,"P0 fix hook",IF(AND(D38="Harvest",I38=0),"P1 check proof/CTA","P2 keep"))))</f>
        <v/>
      </c>
    </row>
    <row r="39">
      <c r="G39" s="8" t="n"/>
      <c r="H39" s="8" t="n"/>
      <c r="J39" s="4" t="n"/>
      <c r="K39" s="4" t="n"/>
      <c r="L39" s="9">
        <f>IF(A39="","",IFERROR(K39/J39,0))</f>
        <v/>
      </c>
      <c r="M39" s="3">
        <f>IF(A39="","",IF(F39=0,"",IF(G39&lt;0.25,"P0 fix hook",IF(AND(D39="Harvest",I39=0),"P1 check proof/CTA","P2 keep"))))</f>
        <v/>
      </c>
    </row>
    <row r="40">
      <c r="G40" s="8" t="n"/>
      <c r="H40" s="8" t="n"/>
      <c r="J40" s="4" t="n"/>
      <c r="K40" s="4" t="n"/>
      <c r="L40" s="9">
        <f>IF(A40="","",IFERROR(K40/J40,0))</f>
        <v/>
      </c>
      <c r="M40" s="3">
        <f>IF(A40="","",IF(F40=0,"",IF(G40&lt;0.25,"P0 fix hook",IF(AND(D40="Harvest",I40=0),"P1 check proof/CTA","P2 keep"))))</f>
        <v/>
      </c>
    </row>
    <row r="41">
      <c r="G41" s="8" t="n"/>
      <c r="H41" s="8" t="n"/>
      <c r="J41" s="4" t="n"/>
      <c r="K41" s="4" t="n"/>
      <c r="L41" s="9">
        <f>IF(A41="","",IFERROR(K41/J41,0))</f>
        <v/>
      </c>
      <c r="M41" s="3">
        <f>IF(A41="","",IF(F41=0,"",IF(G41&lt;0.25,"P0 fix hook",IF(AND(D41="Harvest",I41=0),"P1 check proof/CTA","P2 keep"))))</f>
        <v/>
      </c>
    </row>
    <row r="42">
      <c r="G42" s="8" t="n"/>
      <c r="H42" s="8" t="n"/>
      <c r="J42" s="4" t="n"/>
      <c r="K42" s="4" t="n"/>
      <c r="L42" s="9">
        <f>IF(A42="","",IFERROR(K42/J42,0))</f>
        <v/>
      </c>
      <c r="M42" s="3">
        <f>IF(A42="","",IF(F42=0,"",IF(G42&lt;0.25,"P0 fix hook",IF(AND(D42="Harvest",I42=0),"P1 check proof/CTA","P2 keep"))))</f>
        <v/>
      </c>
    </row>
    <row r="43">
      <c r="G43" s="8" t="n"/>
      <c r="H43" s="8" t="n"/>
      <c r="J43" s="4" t="n"/>
      <c r="K43" s="4" t="n"/>
      <c r="L43" s="9">
        <f>IF(A43="","",IFERROR(K43/J43,0))</f>
        <v/>
      </c>
      <c r="M43" s="3">
        <f>IF(A43="","",IF(F43=0,"",IF(G43&lt;0.25,"P0 fix hook",IF(AND(D43="Harvest",I43=0),"P1 check proof/CTA","P2 keep"))))</f>
        <v/>
      </c>
    </row>
    <row r="44">
      <c r="G44" s="8" t="n"/>
      <c r="H44" s="8" t="n"/>
      <c r="J44" s="4" t="n"/>
      <c r="K44" s="4" t="n"/>
      <c r="L44" s="9">
        <f>IF(A44="","",IFERROR(K44/J44,0))</f>
        <v/>
      </c>
      <c r="M44" s="3">
        <f>IF(A44="","",IF(F44=0,"",IF(G44&lt;0.25,"P0 fix hook",IF(AND(D44="Harvest",I44=0),"P1 check proof/CTA","P2 keep"))))</f>
        <v/>
      </c>
    </row>
    <row r="45">
      <c r="G45" s="8" t="n"/>
      <c r="H45" s="8" t="n"/>
      <c r="J45" s="4" t="n"/>
      <c r="K45" s="4" t="n"/>
      <c r="L45" s="9">
        <f>IF(A45="","",IFERROR(K45/J45,0))</f>
        <v/>
      </c>
      <c r="M45" s="3">
        <f>IF(A45="","",IF(F45=0,"",IF(G45&lt;0.25,"P0 fix hook",IF(AND(D45="Harvest",I45=0),"P1 check proof/CTA","P2 keep"))))</f>
        <v/>
      </c>
    </row>
    <row r="46">
      <c r="G46" s="8" t="n"/>
      <c r="H46" s="8" t="n"/>
      <c r="J46" s="4" t="n"/>
      <c r="K46" s="4" t="n"/>
      <c r="L46" s="9">
        <f>IF(A46="","",IFERROR(K46/J46,0))</f>
        <v/>
      </c>
      <c r="M46" s="3">
        <f>IF(A46="","",IF(F46=0,"",IF(G46&lt;0.25,"P0 fix hook",IF(AND(D46="Harvest",I46=0),"P1 check proof/CTA","P2 keep"))))</f>
        <v/>
      </c>
    </row>
    <row r="47">
      <c r="G47" s="8" t="n"/>
      <c r="H47" s="8" t="n"/>
      <c r="J47" s="4" t="n"/>
      <c r="K47" s="4" t="n"/>
      <c r="L47" s="9">
        <f>IF(A47="","",IFERROR(K47/J47,0))</f>
        <v/>
      </c>
      <c r="M47" s="3">
        <f>IF(A47="","",IF(F47=0,"",IF(G47&lt;0.25,"P0 fix hook",IF(AND(D47="Harvest",I47=0),"P1 check proof/CTA","P2 keep"))))</f>
        <v/>
      </c>
    </row>
    <row r="48">
      <c r="G48" s="8" t="n"/>
      <c r="H48" s="8" t="n"/>
      <c r="J48" s="4" t="n"/>
      <c r="K48" s="4" t="n"/>
      <c r="L48" s="9">
        <f>IF(A48="","",IFERROR(K48/J48,0))</f>
        <v/>
      </c>
      <c r="M48" s="3">
        <f>IF(A48="","",IF(F48=0,"",IF(G48&lt;0.25,"P0 fix hook",IF(AND(D48="Harvest",I48=0),"P1 check proof/CTA","P2 keep"))))</f>
        <v/>
      </c>
    </row>
    <row r="49">
      <c r="G49" s="8" t="n"/>
      <c r="H49" s="8" t="n"/>
      <c r="J49" s="4" t="n"/>
      <c r="K49" s="4" t="n"/>
      <c r="L49" s="9">
        <f>IF(A49="","",IFERROR(K49/J49,0))</f>
        <v/>
      </c>
      <c r="M49" s="3">
        <f>IF(A49="","",IF(F49=0,"",IF(G49&lt;0.25,"P0 fix hook",IF(AND(D49="Harvest",I49=0),"P1 check proof/CTA","P2 keep"))))</f>
        <v/>
      </c>
    </row>
    <row r="50">
      <c r="G50" s="8" t="n"/>
      <c r="H50" s="8" t="n"/>
      <c r="J50" s="4" t="n"/>
      <c r="K50" s="4" t="n"/>
      <c r="L50" s="9">
        <f>IF(A50="","",IFERROR(K50/J50,0))</f>
        <v/>
      </c>
      <c r="M50" s="3">
        <f>IF(A50="","",IF(F50=0,"",IF(G50&lt;0.25,"P0 fix hook",IF(AND(D50="Harvest",I50=0),"P1 check proof/CTA","P2 keep"))))</f>
        <v/>
      </c>
    </row>
    <row r="51">
      <c r="G51" s="8" t="n"/>
      <c r="H51" s="8" t="n"/>
      <c r="J51" s="4" t="n"/>
      <c r="K51" s="4" t="n"/>
      <c r="L51" s="9">
        <f>IF(A51="","",IFERROR(K51/J51,0))</f>
        <v/>
      </c>
      <c r="M51" s="3">
        <f>IF(A51="","",IF(F51=0,"",IF(G51&lt;0.25,"P0 fix hook",IF(AND(D51="Harvest",I51=0),"P1 check proof/CTA","P2 keep"))))</f>
        <v/>
      </c>
    </row>
    <row r="52">
      <c r="G52" s="8" t="n"/>
      <c r="H52" s="8" t="n"/>
      <c r="J52" s="4" t="n"/>
      <c r="K52" s="4" t="n"/>
      <c r="L52" s="9">
        <f>IF(A52="","",IFERROR(K52/J52,0))</f>
        <v/>
      </c>
      <c r="M52" s="3">
        <f>IF(A52="","",IF(F52=0,"",IF(G52&lt;0.25,"P0 fix hook",IF(AND(D52="Harvest",I52=0),"P1 check proof/CTA","P2 keep"))))</f>
        <v/>
      </c>
    </row>
    <row r="53">
      <c r="G53" s="8" t="n"/>
      <c r="H53" s="8" t="n"/>
      <c r="J53" s="4" t="n"/>
      <c r="K53" s="4" t="n"/>
      <c r="L53" s="9">
        <f>IF(A53="","",IFERROR(K53/J53,0))</f>
        <v/>
      </c>
      <c r="M53" s="3">
        <f>IF(A53="","",IF(F53=0,"",IF(G53&lt;0.25,"P0 fix hook",IF(AND(D53="Harvest",I53=0),"P1 check proof/CTA","P2 keep"))))</f>
        <v/>
      </c>
    </row>
    <row r="54">
      <c r="G54" s="8" t="n"/>
      <c r="H54" s="8" t="n"/>
      <c r="J54" s="4" t="n"/>
      <c r="K54" s="4" t="n"/>
      <c r="L54" s="9">
        <f>IF(A54="","",IFERROR(K54/J54,0))</f>
        <v/>
      </c>
      <c r="M54" s="3">
        <f>IF(A54="","",IF(F54=0,"",IF(G54&lt;0.25,"P0 fix hook",IF(AND(D54="Harvest",I54=0),"P1 check proof/CTA","P2 keep"))))</f>
        <v/>
      </c>
    </row>
    <row r="55">
      <c r="G55" s="8" t="n"/>
      <c r="H55" s="8" t="n"/>
      <c r="J55" s="4" t="n"/>
      <c r="K55" s="4" t="n"/>
      <c r="L55" s="9">
        <f>IF(A55="","",IFERROR(K55/J55,0))</f>
        <v/>
      </c>
      <c r="M55" s="3">
        <f>IF(A55="","",IF(F55=0,"",IF(G55&lt;0.25,"P0 fix hook",IF(AND(D55="Harvest",I55=0),"P1 check proof/CTA","P2 keep"))))</f>
        <v/>
      </c>
    </row>
    <row r="56">
      <c r="G56" s="8" t="n"/>
      <c r="H56" s="8" t="n"/>
      <c r="J56" s="4" t="n"/>
      <c r="K56" s="4" t="n"/>
      <c r="L56" s="9">
        <f>IF(A56="","",IFERROR(K56/J56,0))</f>
        <v/>
      </c>
      <c r="M56" s="3">
        <f>IF(A56="","",IF(F56=0,"",IF(G56&lt;0.25,"P0 fix hook",IF(AND(D56="Harvest",I56=0),"P1 check proof/CTA","P2 keep"))))</f>
        <v/>
      </c>
    </row>
    <row r="57">
      <c r="G57" s="8" t="n"/>
      <c r="H57" s="8" t="n"/>
      <c r="J57" s="4" t="n"/>
      <c r="K57" s="4" t="n"/>
      <c r="L57" s="9">
        <f>IF(A57="","",IFERROR(K57/J57,0))</f>
        <v/>
      </c>
      <c r="M57" s="3">
        <f>IF(A57="","",IF(F57=0,"",IF(G57&lt;0.25,"P0 fix hook",IF(AND(D57="Harvest",I57=0),"P1 check proof/CTA","P2 keep"))))</f>
        <v/>
      </c>
    </row>
    <row r="58">
      <c r="G58" s="8" t="n"/>
      <c r="H58" s="8" t="n"/>
      <c r="J58" s="4" t="n"/>
      <c r="K58" s="4" t="n"/>
      <c r="L58" s="9">
        <f>IF(A58="","",IFERROR(K58/J58,0))</f>
        <v/>
      </c>
      <c r="M58" s="3">
        <f>IF(A58="","",IF(F58=0,"",IF(G58&lt;0.25,"P0 fix hook",IF(AND(D58="Harvest",I58=0),"P1 check proof/CTA","P2 keep"))))</f>
        <v/>
      </c>
    </row>
    <row r="59">
      <c r="G59" s="8" t="n"/>
      <c r="H59" s="8" t="n"/>
      <c r="J59" s="4" t="n"/>
      <c r="K59" s="4" t="n"/>
      <c r="L59" s="9">
        <f>IF(A59="","",IFERROR(K59/J59,0))</f>
        <v/>
      </c>
      <c r="M59" s="3">
        <f>IF(A59="","",IF(F59=0,"",IF(G59&lt;0.25,"P0 fix hook",IF(AND(D59="Harvest",I59=0),"P1 check proof/CTA","P2 keep"))))</f>
        <v/>
      </c>
    </row>
    <row r="60">
      <c r="G60" s="8" t="n"/>
      <c r="H60" s="8" t="n"/>
      <c r="J60" s="4" t="n"/>
      <c r="K60" s="4" t="n"/>
      <c r="L60" s="9">
        <f>IF(A60="","",IFERROR(K60/J60,0))</f>
        <v/>
      </c>
      <c r="M60" s="3">
        <f>IF(A60="","",IF(F60=0,"",IF(G60&lt;0.25,"P0 fix hook",IF(AND(D60="Harvest",I60=0),"P1 check proof/CTA","P2 keep"))))</f>
        <v/>
      </c>
    </row>
    <row r="61">
      <c r="G61" s="8" t="n"/>
      <c r="H61" s="8" t="n"/>
      <c r="J61" s="4" t="n"/>
      <c r="K61" s="4" t="n"/>
      <c r="L61" s="9">
        <f>IF(A61="","",IFERROR(K61/J61,0))</f>
        <v/>
      </c>
      <c r="M61" s="3">
        <f>IF(A61="","",IF(F61=0,"",IF(G61&lt;0.25,"P0 fix hook",IF(AND(D61="Harvest",I61=0),"P1 check proof/CTA","P2 keep"))))</f>
        <v/>
      </c>
    </row>
    <row r="62">
      <c r="G62" s="8" t="n"/>
      <c r="H62" s="8" t="n"/>
      <c r="J62" s="4" t="n"/>
      <c r="K62" s="4" t="n"/>
      <c r="L62" s="9">
        <f>IF(A62="","",IFERROR(K62/J62,0))</f>
        <v/>
      </c>
      <c r="M62" s="3">
        <f>IF(A62="","",IF(F62=0,"",IF(G62&lt;0.25,"P0 fix hook",IF(AND(D62="Harvest",I62=0),"P1 check proof/CTA","P2 keep"))))</f>
        <v/>
      </c>
    </row>
    <row r="63">
      <c r="G63" s="8" t="n"/>
      <c r="H63" s="8" t="n"/>
      <c r="J63" s="4" t="n"/>
      <c r="K63" s="4" t="n"/>
      <c r="L63" s="9">
        <f>IF(A63="","",IFERROR(K63/J63,0))</f>
        <v/>
      </c>
      <c r="M63" s="3">
        <f>IF(A63="","",IF(F63=0,"",IF(G63&lt;0.25,"P0 fix hook",IF(AND(D63="Harvest",I63=0),"P1 check proof/CTA","P2 keep"))))</f>
        <v/>
      </c>
    </row>
    <row r="64">
      <c r="G64" s="8" t="n"/>
      <c r="H64" s="8" t="n"/>
      <c r="J64" s="4" t="n"/>
      <c r="K64" s="4" t="n"/>
      <c r="L64" s="9">
        <f>IF(A64="","",IFERROR(K64/J64,0))</f>
        <v/>
      </c>
      <c r="M64" s="3">
        <f>IF(A64="","",IF(F64=0,"",IF(G64&lt;0.25,"P0 fix hook",IF(AND(D64="Harvest",I64=0),"P1 check proof/CTA","P2 keep"))))</f>
        <v/>
      </c>
    </row>
    <row r="65">
      <c r="G65" s="8" t="n"/>
      <c r="H65" s="8" t="n"/>
      <c r="J65" s="4" t="n"/>
      <c r="K65" s="4" t="n"/>
      <c r="L65" s="9">
        <f>IF(A65="","",IFERROR(K65/J65,0))</f>
        <v/>
      </c>
      <c r="M65" s="3">
        <f>IF(A65="","",IF(F65=0,"",IF(G65&lt;0.25,"P0 fix hook",IF(AND(D65="Harvest",I65=0),"P1 check proof/CTA","P2 keep"))))</f>
        <v/>
      </c>
    </row>
    <row r="66">
      <c r="G66" s="8" t="n"/>
      <c r="H66" s="8" t="n"/>
      <c r="J66" s="4" t="n"/>
      <c r="K66" s="4" t="n"/>
      <c r="L66" s="9">
        <f>IF(A66="","",IFERROR(K66/J66,0))</f>
        <v/>
      </c>
      <c r="M66" s="3">
        <f>IF(A66="","",IF(F66=0,"",IF(G66&lt;0.25,"P0 fix hook",IF(AND(D66="Harvest",I66=0),"P1 check proof/CTA","P2 keep"))))</f>
        <v/>
      </c>
    </row>
    <row r="67">
      <c r="G67" s="8" t="n"/>
      <c r="H67" s="8" t="n"/>
      <c r="J67" s="4" t="n"/>
      <c r="K67" s="4" t="n"/>
      <c r="L67" s="9">
        <f>IF(A67="","",IFERROR(K67/J67,0))</f>
        <v/>
      </c>
      <c r="M67" s="3">
        <f>IF(A67="","",IF(F67=0,"",IF(G67&lt;0.25,"P0 fix hook",IF(AND(D67="Harvest",I67=0),"P1 check proof/CTA","P2 keep"))))</f>
        <v/>
      </c>
    </row>
    <row r="68">
      <c r="G68" s="8" t="n"/>
      <c r="H68" s="8" t="n"/>
      <c r="J68" s="4" t="n"/>
      <c r="K68" s="4" t="n"/>
      <c r="L68" s="9">
        <f>IF(A68="","",IFERROR(K68/J68,0))</f>
        <v/>
      </c>
      <c r="M68" s="3">
        <f>IF(A68="","",IF(F68=0,"",IF(G68&lt;0.25,"P0 fix hook",IF(AND(D68="Harvest",I68=0),"P1 check proof/CTA","P2 keep"))))</f>
        <v/>
      </c>
    </row>
    <row r="69">
      <c r="G69" s="8" t="n"/>
      <c r="H69" s="8" t="n"/>
      <c r="J69" s="4" t="n"/>
      <c r="K69" s="4" t="n"/>
      <c r="L69" s="9">
        <f>IF(A69="","",IFERROR(K69/J69,0))</f>
        <v/>
      </c>
      <c r="M69" s="3">
        <f>IF(A69="","",IF(F69=0,"",IF(G69&lt;0.25,"P0 fix hook",IF(AND(D69="Harvest",I69=0),"P1 check proof/CTA","P2 keep"))))</f>
        <v/>
      </c>
    </row>
    <row r="70">
      <c r="G70" s="8" t="n"/>
      <c r="H70" s="8" t="n"/>
      <c r="J70" s="4" t="n"/>
      <c r="K70" s="4" t="n"/>
      <c r="L70" s="9">
        <f>IF(A70="","",IFERROR(K70/J70,0))</f>
        <v/>
      </c>
      <c r="M70" s="3">
        <f>IF(A70="","",IF(F70=0,"",IF(G70&lt;0.25,"P0 fix hook",IF(AND(D70="Harvest",I70=0),"P1 check proof/CTA","P2 keep"))))</f>
        <v/>
      </c>
    </row>
    <row r="71">
      <c r="G71" s="8" t="n"/>
      <c r="H71" s="8" t="n"/>
      <c r="J71" s="4" t="n"/>
      <c r="K71" s="4" t="n"/>
      <c r="L71" s="9">
        <f>IF(A71="","",IFERROR(K71/J71,0))</f>
        <v/>
      </c>
      <c r="M71" s="3">
        <f>IF(A71="","",IF(F71=0,"",IF(G71&lt;0.25,"P0 fix hook",IF(AND(D71="Harvest",I71=0),"P1 check proof/CTA","P2 keep"))))</f>
        <v/>
      </c>
    </row>
    <row r="72">
      <c r="G72" s="8" t="n"/>
      <c r="H72" s="8" t="n"/>
      <c r="J72" s="4" t="n"/>
      <c r="K72" s="4" t="n"/>
      <c r="L72" s="9">
        <f>IF(A72="","",IFERROR(K72/J72,0))</f>
        <v/>
      </c>
      <c r="M72" s="3">
        <f>IF(A72="","",IF(F72=0,"",IF(G72&lt;0.25,"P0 fix hook",IF(AND(D72="Harvest",I72=0),"P1 check proof/CTA","P2 keep"))))</f>
        <v/>
      </c>
    </row>
    <row r="73">
      <c r="G73" s="8" t="n"/>
      <c r="H73" s="8" t="n"/>
      <c r="J73" s="4" t="n"/>
      <c r="K73" s="4" t="n"/>
      <c r="L73" s="9">
        <f>IF(A73="","",IFERROR(K73/J73,0))</f>
        <v/>
      </c>
      <c r="M73" s="3">
        <f>IF(A73="","",IF(F73=0,"",IF(G73&lt;0.25,"P0 fix hook",IF(AND(D73="Harvest",I73=0),"P1 check proof/CTA","P2 keep"))))</f>
        <v/>
      </c>
    </row>
    <row r="74">
      <c r="G74" s="8" t="n"/>
      <c r="H74" s="8" t="n"/>
      <c r="J74" s="4" t="n"/>
      <c r="K74" s="4" t="n"/>
      <c r="L74" s="9">
        <f>IF(A74="","",IFERROR(K74/J74,0))</f>
        <v/>
      </c>
      <c r="M74" s="3">
        <f>IF(A74="","",IF(F74=0,"",IF(G74&lt;0.25,"P0 fix hook",IF(AND(D74="Harvest",I74=0),"P1 check proof/CTA","P2 keep"))))</f>
        <v/>
      </c>
    </row>
    <row r="75">
      <c r="G75" s="8" t="n"/>
      <c r="H75" s="8" t="n"/>
      <c r="J75" s="4" t="n"/>
      <c r="K75" s="4" t="n"/>
      <c r="L75" s="9">
        <f>IF(A75="","",IFERROR(K75/J75,0))</f>
        <v/>
      </c>
      <c r="M75" s="3">
        <f>IF(A75="","",IF(F75=0,"",IF(G75&lt;0.25,"P0 fix hook",IF(AND(D75="Harvest",I75=0),"P1 check proof/CTA","P2 keep"))))</f>
        <v/>
      </c>
    </row>
    <row r="76">
      <c r="G76" s="8" t="n"/>
      <c r="H76" s="8" t="n"/>
      <c r="J76" s="4" t="n"/>
      <c r="K76" s="4" t="n"/>
      <c r="L76" s="9">
        <f>IF(A76="","",IFERROR(K76/J76,0))</f>
        <v/>
      </c>
      <c r="M76" s="3">
        <f>IF(A76="","",IF(F76=0,"",IF(G76&lt;0.25,"P0 fix hook",IF(AND(D76="Harvest",I76=0),"P1 check proof/CTA","P2 keep"))))</f>
        <v/>
      </c>
    </row>
    <row r="77">
      <c r="G77" s="8" t="n"/>
      <c r="H77" s="8" t="n"/>
      <c r="J77" s="4" t="n"/>
      <c r="K77" s="4" t="n"/>
      <c r="L77" s="9">
        <f>IF(A77="","",IFERROR(K77/J77,0))</f>
        <v/>
      </c>
      <c r="M77" s="3">
        <f>IF(A77="","",IF(F77=0,"",IF(G77&lt;0.25,"P0 fix hook",IF(AND(D77="Harvest",I77=0),"P1 check proof/CTA","P2 keep"))))</f>
        <v/>
      </c>
    </row>
    <row r="78">
      <c r="G78" s="8" t="n"/>
      <c r="H78" s="8" t="n"/>
      <c r="J78" s="4" t="n"/>
      <c r="K78" s="4" t="n"/>
      <c r="L78" s="9">
        <f>IF(A78="","",IFERROR(K78/J78,0))</f>
        <v/>
      </c>
      <c r="M78" s="3">
        <f>IF(A78="","",IF(F78=0,"",IF(G78&lt;0.25,"P0 fix hook",IF(AND(D78="Harvest",I78=0),"P1 check proof/CTA","P2 keep"))))</f>
        <v/>
      </c>
    </row>
    <row r="79">
      <c r="G79" s="8" t="n"/>
      <c r="H79" s="8" t="n"/>
      <c r="J79" s="4" t="n"/>
      <c r="K79" s="4" t="n"/>
      <c r="L79" s="9">
        <f>IF(A79="","",IFERROR(K79/J79,0))</f>
        <v/>
      </c>
      <c r="M79" s="3">
        <f>IF(A79="","",IF(F79=0,"",IF(G79&lt;0.25,"P0 fix hook",IF(AND(D79="Harvest",I79=0),"P1 check proof/CTA","P2 keep"))))</f>
        <v/>
      </c>
    </row>
    <row r="80">
      <c r="G80" s="8" t="n"/>
      <c r="H80" s="8" t="n"/>
      <c r="J80" s="4" t="n"/>
      <c r="K80" s="4" t="n"/>
      <c r="L80" s="9">
        <f>IF(A80="","",IFERROR(K80/J80,0))</f>
        <v/>
      </c>
      <c r="M80" s="3">
        <f>IF(A80="","",IF(F80=0,"",IF(G80&lt;0.25,"P0 fix hook",IF(AND(D80="Harvest",I80=0),"P1 check proof/CTA","P2 keep"))))</f>
        <v/>
      </c>
    </row>
    <row r="81">
      <c r="G81" s="8" t="n"/>
      <c r="H81" s="8" t="n"/>
      <c r="J81" s="4" t="n"/>
      <c r="K81" s="4" t="n"/>
      <c r="L81" s="9">
        <f>IF(A81="","",IFERROR(K81/J81,0))</f>
        <v/>
      </c>
      <c r="M81" s="3">
        <f>IF(A81="","",IF(F81=0,"",IF(G81&lt;0.25,"P0 fix hook",IF(AND(D81="Harvest",I81=0),"P1 check proof/CTA","P2 keep"))))</f>
        <v/>
      </c>
    </row>
    <row r="82">
      <c r="G82" s="8" t="n"/>
      <c r="H82" s="8" t="n"/>
      <c r="J82" s="4" t="n"/>
      <c r="K82" s="4" t="n"/>
      <c r="L82" s="9">
        <f>IF(A82="","",IFERROR(K82/J82,0))</f>
        <v/>
      </c>
      <c r="M82" s="3">
        <f>IF(A82="","",IF(F82=0,"",IF(G82&lt;0.25,"P0 fix hook",IF(AND(D82="Harvest",I82=0),"P1 check proof/CTA","P2 keep"))))</f>
        <v/>
      </c>
    </row>
    <row r="83">
      <c r="G83" s="8" t="n"/>
      <c r="H83" s="8" t="n"/>
      <c r="J83" s="4" t="n"/>
      <c r="K83" s="4" t="n"/>
      <c r="L83" s="9">
        <f>IF(A83="","",IFERROR(K83/J83,0))</f>
        <v/>
      </c>
      <c r="M83" s="3">
        <f>IF(A83="","",IF(F83=0,"",IF(G83&lt;0.25,"P0 fix hook",IF(AND(D83="Harvest",I83=0),"P1 check proof/CTA","P2 keep"))))</f>
        <v/>
      </c>
    </row>
    <row r="84">
      <c r="G84" s="8" t="n"/>
      <c r="H84" s="8" t="n"/>
      <c r="J84" s="4" t="n"/>
      <c r="K84" s="4" t="n"/>
      <c r="L84" s="9">
        <f>IF(A84="","",IFERROR(K84/J84,0))</f>
        <v/>
      </c>
      <c r="M84" s="3">
        <f>IF(A84="","",IF(F84=0,"",IF(G84&lt;0.25,"P0 fix hook",IF(AND(D84="Harvest",I84=0),"P1 check proof/CTA","P2 keep"))))</f>
        <v/>
      </c>
    </row>
    <row r="85">
      <c r="G85" s="8" t="n"/>
      <c r="H85" s="8" t="n"/>
      <c r="J85" s="4" t="n"/>
      <c r="K85" s="4" t="n"/>
      <c r="L85" s="9">
        <f>IF(A85="","",IFERROR(K85/J85,0))</f>
        <v/>
      </c>
      <c r="M85" s="3">
        <f>IF(A85="","",IF(F85=0,"",IF(G85&lt;0.25,"P0 fix hook",IF(AND(D85="Harvest",I85=0),"P1 check proof/CTA","P2 keep"))))</f>
        <v/>
      </c>
    </row>
    <row r="86">
      <c r="G86" s="8" t="n"/>
      <c r="H86" s="8" t="n"/>
      <c r="J86" s="4" t="n"/>
      <c r="K86" s="4" t="n"/>
      <c r="L86" s="9">
        <f>IF(A86="","",IFERROR(K86/J86,0))</f>
        <v/>
      </c>
      <c r="M86" s="3">
        <f>IF(A86="","",IF(F86=0,"",IF(G86&lt;0.25,"P0 fix hook",IF(AND(D86="Harvest",I86=0),"P1 check proof/CTA","P2 keep"))))</f>
        <v/>
      </c>
    </row>
    <row r="87">
      <c r="G87" s="8" t="n"/>
      <c r="H87" s="8" t="n"/>
      <c r="J87" s="4" t="n"/>
      <c r="K87" s="4" t="n"/>
      <c r="L87" s="9">
        <f>IF(A87="","",IFERROR(K87/J87,0))</f>
        <v/>
      </c>
      <c r="M87" s="3">
        <f>IF(A87="","",IF(F87=0,"",IF(G87&lt;0.25,"P0 fix hook",IF(AND(D87="Harvest",I87=0),"P1 check proof/CTA","P2 keep"))))</f>
        <v/>
      </c>
    </row>
    <row r="88">
      <c r="G88" s="8" t="n"/>
      <c r="H88" s="8" t="n"/>
      <c r="J88" s="4" t="n"/>
      <c r="K88" s="4" t="n"/>
      <c r="L88" s="9">
        <f>IF(A88="","",IFERROR(K88/J88,0))</f>
        <v/>
      </c>
      <c r="M88" s="3">
        <f>IF(A88="","",IF(F88=0,"",IF(G88&lt;0.25,"P0 fix hook",IF(AND(D88="Harvest",I88=0),"P1 check proof/CTA","P2 keep"))))</f>
        <v/>
      </c>
    </row>
    <row r="89">
      <c r="G89" s="8" t="n"/>
      <c r="H89" s="8" t="n"/>
      <c r="J89" s="4" t="n"/>
      <c r="K89" s="4" t="n"/>
      <c r="L89" s="9">
        <f>IF(A89="","",IFERROR(K89/J89,0))</f>
        <v/>
      </c>
      <c r="M89" s="3">
        <f>IF(A89="","",IF(F89=0,"",IF(G89&lt;0.25,"P0 fix hook",IF(AND(D89="Harvest",I89=0),"P1 check proof/CTA","P2 keep"))))</f>
        <v/>
      </c>
    </row>
    <row r="90">
      <c r="G90" s="8" t="n"/>
      <c r="H90" s="8" t="n"/>
      <c r="J90" s="4" t="n"/>
      <c r="K90" s="4" t="n"/>
      <c r="L90" s="9">
        <f>IF(A90="","",IFERROR(K90/J90,0))</f>
        <v/>
      </c>
      <c r="M90" s="3">
        <f>IF(A90="","",IF(F90=0,"",IF(G90&lt;0.25,"P0 fix hook",IF(AND(D90="Harvest",I90=0),"P1 check proof/CTA","P2 keep"))))</f>
        <v/>
      </c>
    </row>
    <row r="91">
      <c r="G91" s="8" t="n"/>
      <c r="H91" s="8" t="n"/>
      <c r="J91" s="4" t="n"/>
      <c r="K91" s="4" t="n"/>
      <c r="L91" s="9">
        <f>IF(A91="","",IFERROR(K91/J91,0))</f>
        <v/>
      </c>
      <c r="M91" s="3">
        <f>IF(A91="","",IF(F91=0,"",IF(G91&lt;0.25,"P0 fix hook",IF(AND(D91="Harvest",I91=0),"P1 check proof/CTA","P2 keep"))))</f>
        <v/>
      </c>
    </row>
    <row r="92">
      <c r="G92" s="8" t="n"/>
      <c r="H92" s="8" t="n"/>
      <c r="J92" s="4" t="n"/>
      <c r="K92" s="4" t="n"/>
      <c r="L92" s="9">
        <f>IF(A92="","",IFERROR(K92/J92,0))</f>
        <v/>
      </c>
      <c r="M92" s="3">
        <f>IF(A92="","",IF(F92=0,"",IF(G92&lt;0.25,"P0 fix hook",IF(AND(D92="Harvest",I92=0),"P1 check proof/CTA","P2 keep"))))</f>
        <v/>
      </c>
    </row>
    <row r="93">
      <c r="G93" s="8" t="n"/>
      <c r="H93" s="8" t="n"/>
      <c r="J93" s="4" t="n"/>
      <c r="K93" s="4" t="n"/>
      <c r="L93" s="9">
        <f>IF(A93="","",IFERROR(K93/J93,0))</f>
        <v/>
      </c>
      <c r="M93" s="3">
        <f>IF(A93="","",IF(F93=0,"",IF(G93&lt;0.25,"P0 fix hook",IF(AND(D93="Harvest",I93=0),"P1 check proof/CTA","P2 keep"))))</f>
        <v/>
      </c>
    </row>
    <row r="94">
      <c r="G94" s="8" t="n"/>
      <c r="H94" s="8" t="n"/>
      <c r="J94" s="4" t="n"/>
      <c r="K94" s="4" t="n"/>
      <c r="L94" s="9">
        <f>IF(A94="","",IFERROR(K94/J94,0))</f>
        <v/>
      </c>
      <c r="M94" s="3">
        <f>IF(A94="","",IF(F94=0,"",IF(G94&lt;0.25,"P0 fix hook",IF(AND(D94="Harvest",I94=0),"P1 check proof/CTA","P2 keep"))))</f>
        <v/>
      </c>
    </row>
    <row r="95">
      <c r="G95" s="8" t="n"/>
      <c r="H95" s="8" t="n"/>
      <c r="J95" s="4" t="n"/>
      <c r="K95" s="4" t="n"/>
      <c r="L95" s="9">
        <f>IF(A95="","",IFERROR(K95/J95,0))</f>
        <v/>
      </c>
      <c r="M95" s="3">
        <f>IF(A95="","",IF(F95=0,"",IF(G95&lt;0.25,"P0 fix hook",IF(AND(D95="Harvest",I95=0),"P1 check proof/CTA","P2 keep"))))</f>
        <v/>
      </c>
    </row>
    <row r="96">
      <c r="G96" s="8" t="n"/>
      <c r="H96" s="8" t="n"/>
      <c r="J96" s="4" t="n"/>
      <c r="K96" s="4" t="n"/>
      <c r="L96" s="9">
        <f>IF(A96="","",IFERROR(K96/J96,0))</f>
        <v/>
      </c>
      <c r="M96" s="3">
        <f>IF(A96="","",IF(F96=0,"",IF(G96&lt;0.25,"P0 fix hook",IF(AND(D96="Harvest",I96=0),"P1 check proof/CTA","P2 keep"))))</f>
        <v/>
      </c>
    </row>
    <row r="97">
      <c r="G97" s="8" t="n"/>
      <c r="H97" s="8" t="n"/>
      <c r="J97" s="4" t="n"/>
      <c r="K97" s="4" t="n"/>
      <c r="L97" s="9">
        <f>IF(A97="","",IFERROR(K97/J97,0))</f>
        <v/>
      </c>
      <c r="M97" s="3">
        <f>IF(A97="","",IF(F97=0,"",IF(G97&lt;0.25,"P0 fix hook",IF(AND(D97="Harvest",I97=0),"P1 check proof/CTA","P2 keep"))))</f>
        <v/>
      </c>
    </row>
    <row r="98">
      <c r="G98" s="8" t="n"/>
      <c r="H98" s="8" t="n"/>
      <c r="J98" s="4" t="n"/>
      <c r="K98" s="4" t="n"/>
      <c r="L98" s="9">
        <f>IF(A98="","",IFERROR(K98/J98,0))</f>
        <v/>
      </c>
      <c r="M98" s="3">
        <f>IF(A98="","",IF(F98=0,"",IF(G98&lt;0.25,"P0 fix hook",IF(AND(D98="Harvest",I98=0),"P1 check proof/CTA","P2 keep"))))</f>
        <v/>
      </c>
    </row>
    <row r="99">
      <c r="G99" s="8" t="n"/>
      <c r="H99" s="8" t="n"/>
      <c r="J99" s="4" t="n"/>
      <c r="K99" s="4" t="n"/>
      <c r="L99" s="9">
        <f>IF(A99="","",IFERROR(K99/J99,0))</f>
        <v/>
      </c>
      <c r="M99" s="3">
        <f>IF(A99="","",IF(F99=0,"",IF(G99&lt;0.25,"P0 fix hook",IF(AND(D99="Harvest",I99=0),"P1 check proof/CTA","P2 keep"))))</f>
        <v/>
      </c>
    </row>
    <row r="100">
      <c r="G100" s="8" t="n"/>
      <c r="H100" s="8" t="n"/>
      <c r="J100" s="4" t="n"/>
      <c r="K100" s="4" t="n"/>
      <c r="L100" s="9">
        <f>IF(A100="","",IFERROR(K100/J100,0))</f>
        <v/>
      </c>
      <c r="M100" s="3">
        <f>IF(A100="","",IF(F100=0,"",IF(G100&lt;0.25,"P0 fix hook",IF(AND(D100="Harvest",I100=0),"P1 check proof/CTA","P2 keep"))))</f>
        <v/>
      </c>
    </row>
    <row r="101">
      <c r="G101" s="8" t="n"/>
      <c r="H101" s="8" t="n"/>
      <c r="J101" s="4" t="n"/>
      <c r="K101" s="4" t="n"/>
      <c r="L101" s="9">
        <f>IF(A101="","",IFERROR(K101/J101,0))</f>
        <v/>
      </c>
      <c r="M101" s="3">
        <f>IF(A101="","",IF(F101=0,"",IF(G101&lt;0.25,"P0 fix hook",IF(AND(D101="Harvest",I101=0),"P1 check proof/CTA","P2 keep"))))</f>
        <v/>
      </c>
    </row>
    <row r="102">
      <c r="G102" s="8" t="n"/>
      <c r="H102" s="8" t="n"/>
      <c r="J102" s="4" t="n"/>
      <c r="K102" s="4" t="n"/>
      <c r="L102" s="9">
        <f>IF(A102="","",IFERROR(K102/J102,0))</f>
        <v/>
      </c>
      <c r="M102" s="3">
        <f>IF(A102="","",IF(F102=0,"",IF(G102&lt;0.25,"P0 fix hook",IF(AND(D102="Harvest",I102=0),"P1 check proof/CTA","P2 keep"))))</f>
        <v/>
      </c>
    </row>
    <row r="103">
      <c r="G103" s="8" t="n"/>
      <c r="H103" s="8" t="n"/>
      <c r="J103" s="4" t="n"/>
      <c r="K103" s="4" t="n"/>
      <c r="L103" s="9">
        <f>IF(A103="","",IFERROR(K103/J103,0))</f>
        <v/>
      </c>
      <c r="M103" s="3">
        <f>IF(A103="","",IF(F103=0,"",IF(G103&lt;0.25,"P0 fix hook",IF(AND(D103="Harvest",I103=0),"P1 check proof/CTA","P2 keep"))))</f>
        <v/>
      </c>
    </row>
    <row r="104">
      <c r="G104" s="8" t="n"/>
      <c r="H104" s="8" t="n"/>
      <c r="J104" s="4" t="n"/>
      <c r="K104" s="4" t="n"/>
      <c r="L104" s="9">
        <f>IF(A104="","",IFERROR(K104/J104,0))</f>
        <v/>
      </c>
      <c r="M104" s="3">
        <f>IF(A104="","",IF(F104=0,"",IF(G104&lt;0.25,"P0 fix hook",IF(AND(D104="Harvest",I104=0),"P1 check proof/CTA","P2 keep"))))</f>
        <v/>
      </c>
    </row>
    <row r="105">
      <c r="G105" s="8" t="n"/>
      <c r="H105" s="8" t="n"/>
      <c r="J105" s="4" t="n"/>
      <c r="K105" s="4" t="n"/>
      <c r="L105" s="9">
        <f>IF(A105="","",IFERROR(K105/J105,0))</f>
        <v/>
      </c>
      <c r="M105" s="3">
        <f>IF(A105="","",IF(F105=0,"",IF(G105&lt;0.25,"P0 fix hook",IF(AND(D105="Harvest",I105=0),"P1 check proof/CTA","P2 keep"))))</f>
        <v/>
      </c>
    </row>
    <row r="106">
      <c r="G106" s="8" t="n"/>
      <c r="H106" s="8" t="n"/>
      <c r="J106" s="4" t="n"/>
      <c r="K106" s="4" t="n"/>
      <c r="L106" s="9">
        <f>IF(A106="","",IFERROR(K106/J106,0))</f>
        <v/>
      </c>
      <c r="M106" s="3">
        <f>IF(A106="","",IF(F106=0,"",IF(G106&lt;0.25,"P0 fix hook",IF(AND(D106="Harvest",I106=0),"P1 check proof/CTA","P2 keep"))))</f>
        <v/>
      </c>
    </row>
    <row r="107">
      <c r="G107" s="8" t="n"/>
      <c r="H107" s="8" t="n"/>
      <c r="J107" s="4" t="n"/>
      <c r="K107" s="4" t="n"/>
      <c r="L107" s="9">
        <f>IF(A107="","",IFERROR(K107/J107,0))</f>
        <v/>
      </c>
      <c r="M107" s="3">
        <f>IF(A107="","",IF(F107=0,"",IF(G107&lt;0.25,"P0 fix hook",IF(AND(D107="Harvest",I107=0),"P1 check proof/CTA","P2 keep"))))</f>
        <v/>
      </c>
    </row>
    <row r="108">
      <c r="G108" s="8" t="n"/>
      <c r="H108" s="8" t="n"/>
      <c r="J108" s="4" t="n"/>
      <c r="K108" s="4" t="n"/>
      <c r="L108" s="9">
        <f>IF(A108="","",IFERROR(K108/J108,0))</f>
        <v/>
      </c>
      <c r="M108" s="3">
        <f>IF(A108="","",IF(F108=0,"",IF(G108&lt;0.25,"P0 fix hook",IF(AND(D108="Harvest",I108=0),"P1 check proof/CTA","P2 keep"))))</f>
        <v/>
      </c>
    </row>
    <row r="109">
      <c r="G109" s="8" t="n"/>
      <c r="H109" s="8" t="n"/>
      <c r="J109" s="4" t="n"/>
      <c r="K109" s="4" t="n"/>
      <c r="L109" s="9">
        <f>IF(A109="","",IFERROR(K109/J109,0))</f>
        <v/>
      </c>
      <c r="M109" s="3">
        <f>IF(A109="","",IF(F109=0,"",IF(G109&lt;0.25,"P0 fix hook",IF(AND(D109="Harvest",I109=0),"P1 check proof/CTA","P2 keep"))))</f>
        <v/>
      </c>
    </row>
    <row r="110">
      <c r="G110" s="8" t="n"/>
      <c r="H110" s="8" t="n"/>
      <c r="J110" s="4" t="n"/>
      <c r="K110" s="4" t="n"/>
      <c r="L110" s="9">
        <f>IF(A110="","",IFERROR(K110/J110,0))</f>
        <v/>
      </c>
      <c r="M110" s="3">
        <f>IF(A110="","",IF(F110=0,"",IF(G110&lt;0.25,"P0 fix hook",IF(AND(D110="Harvest",I110=0),"P1 check proof/CTA","P2 keep"))))</f>
        <v/>
      </c>
    </row>
    <row r="111">
      <c r="G111" s="8" t="n"/>
      <c r="H111" s="8" t="n"/>
      <c r="J111" s="4" t="n"/>
      <c r="K111" s="4" t="n"/>
      <c r="L111" s="9">
        <f>IF(A111="","",IFERROR(K111/J111,0))</f>
        <v/>
      </c>
      <c r="M111" s="3">
        <f>IF(A111="","",IF(F111=0,"",IF(G111&lt;0.25,"P0 fix hook",IF(AND(D111="Harvest",I111=0),"P1 check proof/CTA","P2 keep"))))</f>
        <v/>
      </c>
    </row>
    <row r="112">
      <c r="G112" s="8" t="n"/>
      <c r="H112" s="8" t="n"/>
      <c r="J112" s="4" t="n"/>
      <c r="K112" s="4" t="n"/>
      <c r="L112" s="9">
        <f>IF(A112="","",IFERROR(K112/J112,0))</f>
        <v/>
      </c>
      <c r="M112" s="3">
        <f>IF(A112="","",IF(F112=0,"",IF(G112&lt;0.25,"P0 fix hook",IF(AND(D112="Harvest",I112=0),"P1 check proof/CTA","P2 keep"))))</f>
        <v/>
      </c>
    </row>
    <row r="113">
      <c r="G113" s="8" t="n"/>
      <c r="H113" s="8" t="n"/>
      <c r="J113" s="4" t="n"/>
      <c r="K113" s="4" t="n"/>
      <c r="L113" s="9">
        <f>IF(A113="","",IFERROR(K113/J113,0))</f>
        <v/>
      </c>
      <c r="M113" s="3">
        <f>IF(A113="","",IF(F113=0,"",IF(G113&lt;0.25,"P0 fix hook",IF(AND(D113="Harvest",I113=0),"P1 check proof/CTA","P2 keep"))))</f>
        <v/>
      </c>
    </row>
    <row r="114">
      <c r="G114" s="8" t="n"/>
      <c r="H114" s="8" t="n"/>
      <c r="J114" s="4" t="n"/>
      <c r="K114" s="4" t="n"/>
      <c r="L114" s="9">
        <f>IF(A114="","",IFERROR(K114/J114,0))</f>
        <v/>
      </c>
      <c r="M114" s="3">
        <f>IF(A114="","",IF(F114=0,"",IF(G114&lt;0.25,"P0 fix hook",IF(AND(D114="Harvest",I114=0),"P1 check proof/CTA","P2 keep"))))</f>
        <v/>
      </c>
    </row>
    <row r="115">
      <c r="G115" s="8" t="n"/>
      <c r="H115" s="8" t="n"/>
      <c r="J115" s="4" t="n"/>
      <c r="K115" s="4" t="n"/>
      <c r="L115" s="9">
        <f>IF(A115="","",IFERROR(K115/J115,0))</f>
        <v/>
      </c>
      <c r="M115" s="3">
        <f>IF(A115="","",IF(F115=0,"",IF(G115&lt;0.25,"P0 fix hook",IF(AND(D115="Harvest",I115=0),"P1 check proof/CTA","P2 keep"))))</f>
        <v/>
      </c>
    </row>
    <row r="116">
      <c r="G116" s="8" t="n"/>
      <c r="H116" s="8" t="n"/>
      <c r="J116" s="4" t="n"/>
      <c r="K116" s="4" t="n"/>
      <c r="L116" s="9">
        <f>IF(A116="","",IFERROR(K116/J116,0))</f>
        <v/>
      </c>
      <c r="M116" s="3">
        <f>IF(A116="","",IF(F116=0,"",IF(G116&lt;0.25,"P0 fix hook",IF(AND(D116="Harvest",I116=0),"P1 check proof/CTA","P2 keep"))))</f>
        <v/>
      </c>
    </row>
    <row r="117">
      <c r="G117" s="8" t="n"/>
      <c r="H117" s="8" t="n"/>
      <c r="J117" s="4" t="n"/>
      <c r="K117" s="4" t="n"/>
      <c r="L117" s="9">
        <f>IF(A117="","",IFERROR(K117/J117,0))</f>
        <v/>
      </c>
      <c r="M117" s="3">
        <f>IF(A117="","",IF(F117=0,"",IF(G117&lt;0.25,"P0 fix hook",IF(AND(D117="Harvest",I117=0),"P1 check proof/CTA","P2 keep"))))</f>
        <v/>
      </c>
    </row>
    <row r="118">
      <c r="G118" s="8" t="n"/>
      <c r="H118" s="8" t="n"/>
      <c r="J118" s="4" t="n"/>
      <c r="K118" s="4" t="n"/>
      <c r="L118" s="9">
        <f>IF(A118="","",IFERROR(K118/J118,0))</f>
        <v/>
      </c>
      <c r="M118" s="3">
        <f>IF(A118="","",IF(F118=0,"",IF(G118&lt;0.25,"P0 fix hook",IF(AND(D118="Harvest",I118=0),"P1 check proof/CTA","P2 keep"))))</f>
        <v/>
      </c>
    </row>
    <row r="119">
      <c r="G119" s="8" t="n"/>
      <c r="H119" s="8" t="n"/>
      <c r="J119" s="4" t="n"/>
      <c r="K119" s="4" t="n"/>
      <c r="L119" s="9">
        <f>IF(A119="","",IFERROR(K119/J119,0))</f>
        <v/>
      </c>
      <c r="M119" s="3">
        <f>IF(A119="","",IF(F119=0,"",IF(G119&lt;0.25,"P0 fix hook",IF(AND(D119="Harvest",I119=0),"P1 check proof/CTA","P2 keep"))))</f>
        <v/>
      </c>
    </row>
    <row r="120">
      <c r="G120" s="8" t="n"/>
      <c r="H120" s="8" t="n"/>
      <c r="J120" s="4" t="n"/>
      <c r="K120" s="4" t="n"/>
      <c r="L120" s="9">
        <f>IF(A120="","",IFERROR(K120/J120,0))</f>
        <v/>
      </c>
      <c r="M120" s="3">
        <f>IF(A120="","",IF(F120=0,"",IF(G120&lt;0.25,"P0 fix hook",IF(AND(D120="Harvest",I120=0),"P1 check proof/CTA","P2 keep"))))</f>
        <v/>
      </c>
    </row>
    <row r="121">
      <c r="G121" s="8" t="n"/>
      <c r="H121" s="8" t="n"/>
      <c r="J121" s="4" t="n"/>
      <c r="K121" s="4" t="n"/>
      <c r="L121" s="9">
        <f>IF(A121="","",IFERROR(K121/J121,0))</f>
        <v/>
      </c>
      <c r="M121" s="3">
        <f>IF(A121="","",IF(F121=0,"",IF(G121&lt;0.25,"P0 fix hook",IF(AND(D121="Harvest",I121=0),"P1 check proof/CTA","P2 keep"))))</f>
        <v/>
      </c>
    </row>
    <row r="122">
      <c r="G122" s="8" t="n"/>
      <c r="H122" s="8" t="n"/>
      <c r="J122" s="4" t="n"/>
      <c r="K122" s="4" t="n"/>
      <c r="L122" s="9">
        <f>IF(A122="","",IFERROR(K122/J122,0))</f>
        <v/>
      </c>
      <c r="M122" s="3">
        <f>IF(A122="","",IF(F122=0,"",IF(G122&lt;0.25,"P0 fix hook",IF(AND(D122="Harvest",I122=0),"P1 check proof/CTA","P2 keep"))))</f>
        <v/>
      </c>
    </row>
    <row r="123">
      <c r="G123" s="8" t="n"/>
      <c r="H123" s="8" t="n"/>
      <c r="J123" s="4" t="n"/>
      <c r="K123" s="4" t="n"/>
      <c r="L123" s="9">
        <f>IF(A123="","",IFERROR(K123/J123,0))</f>
        <v/>
      </c>
      <c r="M123" s="3">
        <f>IF(A123="","",IF(F123=0,"",IF(G123&lt;0.25,"P0 fix hook",IF(AND(D123="Harvest",I123=0),"P1 check proof/CTA","P2 keep"))))</f>
        <v/>
      </c>
    </row>
    <row r="124">
      <c r="G124" s="8" t="n"/>
      <c r="H124" s="8" t="n"/>
      <c r="J124" s="4" t="n"/>
      <c r="K124" s="4" t="n"/>
      <c r="L124" s="9">
        <f>IF(A124="","",IFERROR(K124/J124,0))</f>
        <v/>
      </c>
      <c r="M124" s="3">
        <f>IF(A124="","",IF(F124=0,"",IF(G124&lt;0.25,"P0 fix hook",IF(AND(D124="Harvest",I124=0),"P1 check proof/CTA","P2 keep"))))</f>
        <v/>
      </c>
    </row>
    <row r="125">
      <c r="G125" s="8" t="n"/>
      <c r="H125" s="8" t="n"/>
      <c r="J125" s="4" t="n"/>
      <c r="K125" s="4" t="n"/>
      <c r="L125" s="9">
        <f>IF(A125="","",IFERROR(K125/J125,0))</f>
        <v/>
      </c>
      <c r="M125" s="3">
        <f>IF(A125="","",IF(F125=0,"",IF(G125&lt;0.25,"P0 fix hook",IF(AND(D125="Harvest",I125=0),"P1 check proof/CTA","P2 keep"))))</f>
        <v/>
      </c>
    </row>
    <row r="126">
      <c r="G126" s="8" t="n"/>
      <c r="H126" s="8" t="n"/>
      <c r="J126" s="4" t="n"/>
      <c r="K126" s="4" t="n"/>
      <c r="L126" s="9">
        <f>IF(A126="","",IFERROR(K126/J126,0))</f>
        <v/>
      </c>
      <c r="M126" s="3">
        <f>IF(A126="","",IF(F126=0,"",IF(G126&lt;0.25,"P0 fix hook",IF(AND(D126="Harvest",I126=0),"P1 check proof/CTA","P2 keep"))))</f>
        <v/>
      </c>
    </row>
    <row r="127">
      <c r="G127" s="8" t="n"/>
      <c r="H127" s="8" t="n"/>
      <c r="J127" s="4" t="n"/>
      <c r="K127" s="4" t="n"/>
      <c r="L127" s="9">
        <f>IF(A127="","",IFERROR(K127/J127,0))</f>
        <v/>
      </c>
      <c r="M127" s="3">
        <f>IF(A127="","",IF(F127=0,"",IF(G127&lt;0.25,"P0 fix hook",IF(AND(D127="Harvest",I127=0),"P1 check proof/CTA","P2 keep"))))</f>
        <v/>
      </c>
    </row>
    <row r="128">
      <c r="G128" s="8" t="n"/>
      <c r="H128" s="8" t="n"/>
      <c r="J128" s="4" t="n"/>
      <c r="K128" s="4" t="n"/>
      <c r="L128" s="9">
        <f>IF(A128="","",IFERROR(K128/J128,0))</f>
        <v/>
      </c>
      <c r="M128" s="3">
        <f>IF(A128="","",IF(F128=0,"",IF(G128&lt;0.25,"P0 fix hook",IF(AND(D128="Harvest",I128=0),"P1 check proof/CTA","P2 keep"))))</f>
        <v/>
      </c>
    </row>
    <row r="129">
      <c r="G129" s="8" t="n"/>
      <c r="H129" s="8" t="n"/>
      <c r="J129" s="4" t="n"/>
      <c r="K129" s="4" t="n"/>
      <c r="L129" s="9">
        <f>IF(A129="","",IFERROR(K129/J129,0))</f>
        <v/>
      </c>
      <c r="M129" s="3">
        <f>IF(A129="","",IF(F129=0,"",IF(G129&lt;0.25,"P0 fix hook",IF(AND(D129="Harvest",I129=0),"P1 check proof/CTA","P2 keep"))))</f>
        <v/>
      </c>
    </row>
    <row r="130">
      <c r="G130" s="8" t="n"/>
      <c r="H130" s="8" t="n"/>
      <c r="J130" s="4" t="n"/>
      <c r="K130" s="4" t="n"/>
      <c r="L130" s="9">
        <f>IF(A130="","",IFERROR(K130/J130,0))</f>
        <v/>
      </c>
      <c r="M130" s="3">
        <f>IF(A130="","",IF(F130=0,"",IF(G130&lt;0.25,"P0 fix hook",IF(AND(D130="Harvest",I130=0),"P1 check proof/CTA","P2 keep"))))</f>
        <v/>
      </c>
    </row>
    <row r="131">
      <c r="G131" s="8" t="n"/>
      <c r="H131" s="8" t="n"/>
      <c r="J131" s="4" t="n"/>
      <c r="K131" s="4" t="n"/>
      <c r="L131" s="9">
        <f>IF(A131="","",IFERROR(K131/J131,0))</f>
        <v/>
      </c>
      <c r="M131" s="3">
        <f>IF(A131="","",IF(F131=0,"",IF(G131&lt;0.25,"P0 fix hook",IF(AND(D131="Harvest",I131=0),"P1 check proof/CTA","P2 keep"))))</f>
        <v/>
      </c>
    </row>
    <row r="132">
      <c r="G132" s="8" t="n"/>
      <c r="H132" s="8" t="n"/>
      <c r="J132" s="4" t="n"/>
      <c r="K132" s="4" t="n"/>
      <c r="L132" s="9">
        <f>IF(A132="","",IFERROR(K132/J132,0))</f>
        <v/>
      </c>
      <c r="M132" s="3">
        <f>IF(A132="","",IF(F132=0,"",IF(G132&lt;0.25,"P0 fix hook",IF(AND(D132="Harvest",I132=0),"P1 check proof/CTA","P2 keep"))))</f>
        <v/>
      </c>
    </row>
    <row r="133">
      <c r="G133" s="8" t="n"/>
      <c r="H133" s="8" t="n"/>
      <c r="J133" s="4" t="n"/>
      <c r="K133" s="4" t="n"/>
      <c r="L133" s="9">
        <f>IF(A133="","",IFERROR(K133/J133,0))</f>
        <v/>
      </c>
      <c r="M133" s="3">
        <f>IF(A133="","",IF(F133=0,"",IF(G133&lt;0.25,"P0 fix hook",IF(AND(D133="Harvest",I133=0),"P1 check proof/CTA","P2 keep"))))</f>
        <v/>
      </c>
    </row>
    <row r="134">
      <c r="G134" s="8" t="n"/>
      <c r="H134" s="8" t="n"/>
      <c r="J134" s="4" t="n"/>
      <c r="K134" s="4" t="n"/>
      <c r="L134" s="9">
        <f>IF(A134="","",IFERROR(K134/J134,0))</f>
        <v/>
      </c>
      <c r="M134" s="3">
        <f>IF(A134="","",IF(F134=0,"",IF(G134&lt;0.25,"P0 fix hook",IF(AND(D134="Harvest",I134=0),"P1 check proof/CTA","P2 keep"))))</f>
        <v/>
      </c>
    </row>
    <row r="135">
      <c r="G135" s="8" t="n"/>
      <c r="H135" s="8" t="n"/>
      <c r="J135" s="4" t="n"/>
      <c r="K135" s="4" t="n"/>
      <c r="L135" s="9">
        <f>IF(A135="","",IFERROR(K135/J135,0))</f>
        <v/>
      </c>
      <c r="M135" s="3">
        <f>IF(A135="","",IF(F135=0,"",IF(G135&lt;0.25,"P0 fix hook",IF(AND(D135="Harvest",I135=0),"P1 check proof/CTA","P2 keep"))))</f>
        <v/>
      </c>
    </row>
    <row r="136">
      <c r="G136" s="8" t="n"/>
      <c r="H136" s="8" t="n"/>
      <c r="J136" s="4" t="n"/>
      <c r="K136" s="4" t="n"/>
      <c r="L136" s="9">
        <f>IF(A136="","",IFERROR(K136/J136,0))</f>
        <v/>
      </c>
      <c r="M136" s="3">
        <f>IF(A136="","",IF(F136=0,"",IF(G136&lt;0.25,"P0 fix hook",IF(AND(D136="Harvest",I136=0),"P1 check proof/CTA","P2 keep"))))</f>
        <v/>
      </c>
    </row>
    <row r="137">
      <c r="G137" s="8" t="n"/>
      <c r="H137" s="8" t="n"/>
      <c r="J137" s="4" t="n"/>
      <c r="K137" s="4" t="n"/>
      <c r="L137" s="9">
        <f>IF(A137="","",IFERROR(K137/J137,0))</f>
        <v/>
      </c>
      <c r="M137" s="3">
        <f>IF(A137="","",IF(F137=0,"",IF(G137&lt;0.25,"P0 fix hook",IF(AND(D137="Harvest",I137=0),"P1 check proof/CTA","P2 keep"))))</f>
        <v/>
      </c>
    </row>
    <row r="138">
      <c r="G138" s="8" t="n"/>
      <c r="H138" s="8" t="n"/>
      <c r="J138" s="4" t="n"/>
      <c r="K138" s="4" t="n"/>
      <c r="L138" s="9">
        <f>IF(A138="","",IFERROR(K138/J138,0))</f>
        <v/>
      </c>
      <c r="M138" s="3">
        <f>IF(A138="","",IF(F138=0,"",IF(G138&lt;0.25,"P0 fix hook",IF(AND(D138="Harvest",I138=0),"P1 check proof/CTA","P2 keep"))))</f>
        <v/>
      </c>
    </row>
    <row r="139">
      <c r="G139" s="8" t="n"/>
      <c r="H139" s="8" t="n"/>
      <c r="J139" s="4" t="n"/>
      <c r="K139" s="4" t="n"/>
      <c r="L139" s="9">
        <f>IF(A139="","",IFERROR(K139/J139,0))</f>
        <v/>
      </c>
      <c r="M139" s="3">
        <f>IF(A139="","",IF(F139=0,"",IF(G139&lt;0.25,"P0 fix hook",IF(AND(D139="Harvest",I139=0),"P1 check proof/CTA","P2 keep"))))</f>
        <v/>
      </c>
    </row>
    <row r="140">
      <c r="G140" s="8" t="n"/>
      <c r="H140" s="8" t="n"/>
      <c r="J140" s="4" t="n"/>
      <c r="K140" s="4" t="n"/>
      <c r="L140" s="9">
        <f>IF(A140="","",IFERROR(K140/J140,0))</f>
        <v/>
      </c>
      <c r="M140" s="3">
        <f>IF(A140="","",IF(F140=0,"",IF(G140&lt;0.25,"P0 fix hook",IF(AND(D140="Harvest",I140=0),"P1 check proof/CTA","P2 keep"))))</f>
        <v/>
      </c>
    </row>
    <row r="141">
      <c r="G141" s="8" t="n"/>
      <c r="H141" s="8" t="n"/>
      <c r="J141" s="4" t="n"/>
      <c r="K141" s="4" t="n"/>
      <c r="L141" s="9">
        <f>IF(A141="","",IFERROR(K141/J141,0))</f>
        <v/>
      </c>
      <c r="M141" s="3">
        <f>IF(A141="","",IF(F141=0,"",IF(G141&lt;0.25,"P0 fix hook",IF(AND(D141="Harvest",I141=0),"P1 check proof/CTA","P2 keep"))))</f>
        <v/>
      </c>
    </row>
    <row r="142">
      <c r="G142" s="8" t="n"/>
      <c r="H142" s="8" t="n"/>
      <c r="J142" s="4" t="n"/>
      <c r="K142" s="4" t="n"/>
      <c r="L142" s="9">
        <f>IF(A142="","",IFERROR(K142/J142,0))</f>
        <v/>
      </c>
      <c r="M142" s="3">
        <f>IF(A142="","",IF(F142=0,"",IF(G142&lt;0.25,"P0 fix hook",IF(AND(D142="Harvest",I142=0),"P1 check proof/CTA","P2 keep"))))</f>
        <v/>
      </c>
    </row>
    <row r="143">
      <c r="G143" s="8" t="n"/>
      <c r="H143" s="8" t="n"/>
      <c r="J143" s="4" t="n"/>
      <c r="K143" s="4" t="n"/>
      <c r="L143" s="9">
        <f>IF(A143="","",IFERROR(K143/J143,0))</f>
        <v/>
      </c>
      <c r="M143" s="3">
        <f>IF(A143="","",IF(F143=0,"",IF(G143&lt;0.25,"P0 fix hook",IF(AND(D143="Harvest",I143=0),"P1 check proof/CTA","P2 keep"))))</f>
        <v/>
      </c>
    </row>
    <row r="144">
      <c r="G144" s="8" t="n"/>
      <c r="H144" s="8" t="n"/>
      <c r="J144" s="4" t="n"/>
      <c r="K144" s="4" t="n"/>
      <c r="L144" s="9">
        <f>IF(A144="","",IFERROR(K144/J144,0))</f>
        <v/>
      </c>
      <c r="M144" s="3">
        <f>IF(A144="","",IF(F144=0,"",IF(G144&lt;0.25,"P0 fix hook",IF(AND(D144="Harvest",I144=0),"P1 check proof/CTA","P2 keep"))))</f>
        <v/>
      </c>
    </row>
    <row r="145">
      <c r="G145" s="8" t="n"/>
      <c r="H145" s="8" t="n"/>
      <c r="J145" s="4" t="n"/>
      <c r="K145" s="4" t="n"/>
      <c r="L145" s="9">
        <f>IF(A145="","",IFERROR(K145/J145,0))</f>
        <v/>
      </c>
      <c r="M145" s="3">
        <f>IF(A145="","",IF(F145=0,"",IF(G145&lt;0.25,"P0 fix hook",IF(AND(D145="Harvest",I145=0),"P1 check proof/CTA","P2 keep"))))</f>
        <v/>
      </c>
    </row>
    <row r="146">
      <c r="G146" s="8" t="n"/>
      <c r="H146" s="8" t="n"/>
      <c r="J146" s="4" t="n"/>
      <c r="K146" s="4" t="n"/>
      <c r="L146" s="9">
        <f>IF(A146="","",IFERROR(K146/J146,0))</f>
        <v/>
      </c>
      <c r="M146" s="3">
        <f>IF(A146="","",IF(F146=0,"",IF(G146&lt;0.25,"P0 fix hook",IF(AND(D146="Harvest",I146=0),"P1 check proof/CTA","P2 keep"))))</f>
        <v/>
      </c>
    </row>
    <row r="147">
      <c r="G147" s="8" t="n"/>
      <c r="H147" s="8" t="n"/>
      <c r="J147" s="4" t="n"/>
      <c r="K147" s="4" t="n"/>
      <c r="L147" s="9">
        <f>IF(A147="","",IFERROR(K147/J147,0))</f>
        <v/>
      </c>
      <c r="M147" s="3">
        <f>IF(A147="","",IF(F147=0,"",IF(G147&lt;0.25,"P0 fix hook",IF(AND(D147="Harvest",I147=0),"P1 check proof/CTA","P2 keep"))))</f>
        <v/>
      </c>
    </row>
    <row r="148">
      <c r="G148" s="8" t="n"/>
      <c r="H148" s="8" t="n"/>
      <c r="J148" s="4" t="n"/>
      <c r="K148" s="4" t="n"/>
      <c r="L148" s="9">
        <f>IF(A148="","",IFERROR(K148/J148,0))</f>
        <v/>
      </c>
      <c r="M148" s="3">
        <f>IF(A148="","",IF(F148=0,"",IF(G148&lt;0.25,"P0 fix hook",IF(AND(D148="Harvest",I148=0),"P1 check proof/CTA","P2 keep"))))</f>
        <v/>
      </c>
    </row>
    <row r="149">
      <c r="G149" s="8" t="n"/>
      <c r="H149" s="8" t="n"/>
      <c r="J149" s="4" t="n"/>
      <c r="K149" s="4" t="n"/>
      <c r="L149" s="9">
        <f>IF(A149="","",IFERROR(K149/J149,0))</f>
        <v/>
      </c>
      <c r="M149" s="3">
        <f>IF(A149="","",IF(F149=0,"",IF(G149&lt;0.25,"P0 fix hook",IF(AND(D149="Harvest",I149=0),"P1 check proof/CTA","P2 keep"))))</f>
        <v/>
      </c>
    </row>
    <row r="150">
      <c r="G150" s="8" t="n"/>
      <c r="H150" s="8" t="n"/>
      <c r="J150" s="4" t="n"/>
      <c r="K150" s="4" t="n"/>
      <c r="L150" s="9">
        <f>IF(A150="","",IFERROR(K150/J150,0))</f>
        <v/>
      </c>
      <c r="M150" s="3">
        <f>IF(A150="","",IF(F150=0,"",IF(G150&lt;0.25,"P0 fix hook",IF(AND(D150="Harvest",I150=0),"P1 check proof/CTA","P2 keep"))))</f>
        <v/>
      </c>
    </row>
    <row r="151">
      <c r="G151" s="8" t="n"/>
      <c r="H151" s="8" t="n"/>
      <c r="J151" s="4" t="n"/>
      <c r="K151" s="4" t="n"/>
      <c r="L151" s="9">
        <f>IF(A151="","",IFERROR(K151/J151,0))</f>
        <v/>
      </c>
      <c r="M151" s="3">
        <f>IF(A151="","",IF(F151=0,"",IF(G151&lt;0.25,"P0 fix hook",IF(AND(D151="Harvest",I151=0),"P1 check proof/CTA","P2 keep"))))</f>
        <v/>
      </c>
    </row>
    <row r="152">
      <c r="G152" s="8" t="n"/>
      <c r="H152" s="8" t="n"/>
      <c r="J152" s="4" t="n"/>
      <c r="K152" s="4" t="n"/>
      <c r="L152" s="9">
        <f>IF(A152="","",IFERROR(K152/J152,0))</f>
        <v/>
      </c>
      <c r="M152" s="3">
        <f>IF(A152="","",IF(F152=0,"",IF(G152&lt;0.25,"P0 fix hook",IF(AND(D152="Harvest",I152=0),"P1 check proof/CTA","P2 keep"))))</f>
        <v/>
      </c>
    </row>
    <row r="153">
      <c r="G153" s="8" t="n"/>
      <c r="H153" s="8" t="n"/>
      <c r="J153" s="4" t="n"/>
      <c r="K153" s="4" t="n"/>
      <c r="L153" s="9">
        <f>IF(A153="","",IFERROR(K153/J153,0))</f>
        <v/>
      </c>
      <c r="M153" s="3">
        <f>IF(A153="","",IF(F153=0,"",IF(G153&lt;0.25,"P0 fix hook",IF(AND(D153="Harvest",I153=0),"P1 check proof/CTA","P2 keep"))))</f>
        <v/>
      </c>
    </row>
    <row r="154">
      <c r="G154" s="8" t="n"/>
      <c r="H154" s="8" t="n"/>
      <c r="J154" s="4" t="n"/>
      <c r="K154" s="4" t="n"/>
      <c r="L154" s="9">
        <f>IF(A154="","",IFERROR(K154/J154,0))</f>
        <v/>
      </c>
      <c r="M154" s="3">
        <f>IF(A154="","",IF(F154=0,"",IF(G154&lt;0.25,"P0 fix hook",IF(AND(D154="Harvest",I154=0),"P1 check proof/CTA","P2 keep"))))</f>
        <v/>
      </c>
    </row>
    <row r="155">
      <c r="G155" s="8" t="n"/>
      <c r="H155" s="8" t="n"/>
      <c r="J155" s="4" t="n"/>
      <c r="K155" s="4" t="n"/>
      <c r="L155" s="9">
        <f>IF(A155="","",IFERROR(K155/J155,0))</f>
        <v/>
      </c>
      <c r="M155" s="3">
        <f>IF(A155="","",IF(F155=0,"",IF(G155&lt;0.25,"P0 fix hook",IF(AND(D155="Harvest",I155=0),"P1 check proof/CTA","P2 keep"))))</f>
        <v/>
      </c>
    </row>
    <row r="156">
      <c r="G156" s="8" t="n"/>
      <c r="H156" s="8" t="n"/>
      <c r="J156" s="4" t="n"/>
      <c r="K156" s="4" t="n"/>
      <c r="L156" s="9">
        <f>IF(A156="","",IFERROR(K156/J156,0))</f>
        <v/>
      </c>
      <c r="M156" s="3">
        <f>IF(A156="","",IF(F156=0,"",IF(G156&lt;0.25,"P0 fix hook",IF(AND(D156="Harvest",I156=0),"P1 check proof/CTA","P2 keep"))))</f>
        <v/>
      </c>
    </row>
    <row r="157">
      <c r="G157" s="8" t="n"/>
      <c r="H157" s="8" t="n"/>
      <c r="J157" s="4" t="n"/>
      <c r="K157" s="4" t="n"/>
      <c r="L157" s="9">
        <f>IF(A157="","",IFERROR(K157/J157,0))</f>
        <v/>
      </c>
      <c r="M157" s="3">
        <f>IF(A157="","",IF(F157=0,"",IF(G157&lt;0.25,"P0 fix hook",IF(AND(D157="Harvest",I157=0),"P1 check proof/CTA","P2 keep"))))</f>
        <v/>
      </c>
    </row>
    <row r="158">
      <c r="G158" s="8" t="n"/>
      <c r="H158" s="8" t="n"/>
      <c r="J158" s="4" t="n"/>
      <c r="K158" s="4" t="n"/>
      <c r="L158" s="9">
        <f>IF(A158="","",IFERROR(K158/J158,0))</f>
        <v/>
      </c>
      <c r="M158" s="3">
        <f>IF(A158="","",IF(F158=0,"",IF(G158&lt;0.25,"P0 fix hook",IF(AND(D158="Harvest",I158=0),"P1 check proof/CTA","P2 keep"))))</f>
        <v/>
      </c>
    </row>
    <row r="159">
      <c r="G159" s="8" t="n"/>
      <c r="H159" s="8" t="n"/>
      <c r="J159" s="4" t="n"/>
      <c r="K159" s="4" t="n"/>
      <c r="L159" s="9">
        <f>IF(A159="","",IFERROR(K159/J159,0))</f>
        <v/>
      </c>
      <c r="M159" s="3">
        <f>IF(A159="","",IF(F159=0,"",IF(G159&lt;0.25,"P0 fix hook",IF(AND(D159="Harvest",I159=0),"P1 check proof/CTA","P2 keep"))))</f>
        <v/>
      </c>
    </row>
    <row r="160">
      <c r="G160" s="8" t="n"/>
      <c r="H160" s="8" t="n"/>
      <c r="J160" s="4" t="n"/>
      <c r="K160" s="4" t="n"/>
      <c r="L160" s="9">
        <f>IF(A160="","",IFERROR(K160/J160,0))</f>
        <v/>
      </c>
      <c r="M160" s="3">
        <f>IF(A160="","",IF(F160=0,"",IF(G160&lt;0.25,"P0 fix hook",IF(AND(D160="Harvest",I160=0),"P1 check proof/CTA","P2 keep"))))</f>
        <v/>
      </c>
    </row>
    <row r="161">
      <c r="G161" s="8" t="n"/>
      <c r="H161" s="8" t="n"/>
      <c r="J161" s="4" t="n"/>
      <c r="K161" s="4" t="n"/>
      <c r="L161" s="9">
        <f>IF(A161="","",IFERROR(K161/J161,0))</f>
        <v/>
      </c>
      <c r="M161" s="3">
        <f>IF(A161="","",IF(F161=0,"",IF(G161&lt;0.25,"P0 fix hook",IF(AND(D161="Harvest",I161=0),"P1 check proof/CTA","P2 keep"))))</f>
        <v/>
      </c>
    </row>
    <row r="162">
      <c r="G162" s="8" t="n"/>
      <c r="H162" s="8" t="n"/>
      <c r="J162" s="4" t="n"/>
      <c r="K162" s="4" t="n"/>
      <c r="L162" s="9">
        <f>IF(A162="","",IFERROR(K162/J162,0))</f>
        <v/>
      </c>
      <c r="M162" s="3">
        <f>IF(A162="","",IF(F162=0,"",IF(G162&lt;0.25,"P0 fix hook",IF(AND(D162="Harvest",I162=0),"P1 check proof/CTA","P2 keep"))))</f>
        <v/>
      </c>
    </row>
    <row r="163">
      <c r="G163" s="8" t="n"/>
      <c r="H163" s="8" t="n"/>
      <c r="J163" s="4" t="n"/>
      <c r="K163" s="4" t="n"/>
      <c r="L163" s="9">
        <f>IF(A163="","",IFERROR(K163/J163,0))</f>
        <v/>
      </c>
      <c r="M163" s="3">
        <f>IF(A163="","",IF(F163=0,"",IF(G163&lt;0.25,"P0 fix hook",IF(AND(D163="Harvest",I163=0),"P1 check proof/CTA","P2 keep"))))</f>
        <v/>
      </c>
    </row>
    <row r="164">
      <c r="G164" s="8" t="n"/>
      <c r="H164" s="8" t="n"/>
      <c r="J164" s="4" t="n"/>
      <c r="K164" s="4" t="n"/>
      <c r="L164" s="9">
        <f>IF(A164="","",IFERROR(K164/J164,0))</f>
        <v/>
      </c>
      <c r="M164" s="3">
        <f>IF(A164="","",IF(F164=0,"",IF(G164&lt;0.25,"P0 fix hook",IF(AND(D164="Harvest",I164=0),"P1 check proof/CTA","P2 keep"))))</f>
        <v/>
      </c>
    </row>
    <row r="165">
      <c r="G165" s="8" t="n"/>
      <c r="H165" s="8" t="n"/>
      <c r="J165" s="4" t="n"/>
      <c r="K165" s="4" t="n"/>
      <c r="L165" s="9">
        <f>IF(A165="","",IFERROR(K165/J165,0))</f>
        <v/>
      </c>
      <c r="M165" s="3">
        <f>IF(A165="","",IF(F165=0,"",IF(G165&lt;0.25,"P0 fix hook",IF(AND(D165="Harvest",I165=0),"P1 check proof/CTA","P2 keep"))))</f>
        <v/>
      </c>
    </row>
    <row r="166">
      <c r="G166" s="8" t="n"/>
      <c r="H166" s="8" t="n"/>
      <c r="J166" s="4" t="n"/>
      <c r="K166" s="4" t="n"/>
      <c r="L166" s="9">
        <f>IF(A166="","",IFERROR(K166/J166,0))</f>
        <v/>
      </c>
      <c r="M166" s="3">
        <f>IF(A166="","",IF(F166=0,"",IF(G166&lt;0.25,"P0 fix hook",IF(AND(D166="Harvest",I166=0),"P1 check proof/CTA","P2 keep"))))</f>
        <v/>
      </c>
    </row>
    <row r="167">
      <c r="G167" s="8" t="n"/>
      <c r="H167" s="8" t="n"/>
      <c r="J167" s="4" t="n"/>
      <c r="K167" s="4" t="n"/>
      <c r="L167" s="9">
        <f>IF(A167="","",IFERROR(K167/J167,0))</f>
        <v/>
      </c>
      <c r="M167" s="3">
        <f>IF(A167="","",IF(F167=0,"",IF(G167&lt;0.25,"P0 fix hook",IF(AND(D167="Harvest",I167=0),"P1 check proof/CTA","P2 keep"))))</f>
        <v/>
      </c>
    </row>
    <row r="168">
      <c r="G168" s="8" t="n"/>
      <c r="H168" s="8" t="n"/>
      <c r="J168" s="4" t="n"/>
      <c r="K168" s="4" t="n"/>
      <c r="L168" s="9">
        <f>IF(A168="","",IFERROR(K168/J168,0))</f>
        <v/>
      </c>
      <c r="M168" s="3">
        <f>IF(A168="","",IF(F168=0,"",IF(G168&lt;0.25,"P0 fix hook",IF(AND(D168="Harvest",I168=0),"P1 check proof/CTA","P2 keep"))))</f>
        <v/>
      </c>
    </row>
    <row r="169">
      <c r="G169" s="8" t="n"/>
      <c r="H169" s="8" t="n"/>
      <c r="J169" s="4" t="n"/>
      <c r="K169" s="4" t="n"/>
      <c r="L169" s="9">
        <f>IF(A169="","",IFERROR(K169/J169,0))</f>
        <v/>
      </c>
      <c r="M169" s="3">
        <f>IF(A169="","",IF(F169=0,"",IF(G169&lt;0.25,"P0 fix hook",IF(AND(D169="Harvest",I169=0),"P1 check proof/CTA","P2 keep"))))</f>
        <v/>
      </c>
    </row>
    <row r="170">
      <c r="G170" s="8" t="n"/>
      <c r="H170" s="8" t="n"/>
      <c r="J170" s="4" t="n"/>
      <c r="K170" s="4" t="n"/>
      <c r="L170" s="9">
        <f>IF(A170="","",IFERROR(K170/J170,0))</f>
        <v/>
      </c>
      <c r="M170" s="3">
        <f>IF(A170="","",IF(F170=0,"",IF(G170&lt;0.25,"P0 fix hook",IF(AND(D170="Harvest",I170=0),"P1 check proof/CTA","P2 keep"))))</f>
        <v/>
      </c>
    </row>
    <row r="171">
      <c r="G171" s="8" t="n"/>
      <c r="H171" s="8" t="n"/>
      <c r="J171" s="4" t="n"/>
      <c r="K171" s="4" t="n"/>
      <c r="L171" s="9">
        <f>IF(A171="","",IFERROR(K171/J171,0))</f>
        <v/>
      </c>
      <c r="M171" s="3">
        <f>IF(A171="","",IF(F171=0,"",IF(G171&lt;0.25,"P0 fix hook",IF(AND(D171="Harvest",I171=0),"P1 check proof/CTA","P2 keep"))))</f>
        <v/>
      </c>
    </row>
    <row r="172">
      <c r="G172" s="8" t="n"/>
      <c r="H172" s="8" t="n"/>
      <c r="J172" s="4" t="n"/>
      <c r="K172" s="4" t="n"/>
      <c r="L172" s="9">
        <f>IF(A172="","",IFERROR(K172/J172,0))</f>
        <v/>
      </c>
      <c r="M172" s="3">
        <f>IF(A172="","",IF(F172=0,"",IF(G172&lt;0.25,"P0 fix hook",IF(AND(D172="Harvest",I172=0),"P1 check proof/CTA","P2 keep"))))</f>
        <v/>
      </c>
    </row>
    <row r="173">
      <c r="G173" s="8" t="n"/>
      <c r="H173" s="8" t="n"/>
      <c r="J173" s="4" t="n"/>
      <c r="K173" s="4" t="n"/>
      <c r="L173" s="9">
        <f>IF(A173="","",IFERROR(K173/J173,0))</f>
        <v/>
      </c>
      <c r="M173" s="3">
        <f>IF(A173="","",IF(F173=0,"",IF(G173&lt;0.25,"P0 fix hook",IF(AND(D173="Harvest",I173=0),"P1 check proof/CTA","P2 keep"))))</f>
        <v/>
      </c>
    </row>
    <row r="174">
      <c r="G174" s="8" t="n"/>
      <c r="H174" s="8" t="n"/>
      <c r="J174" s="4" t="n"/>
      <c r="K174" s="4" t="n"/>
      <c r="L174" s="9">
        <f>IF(A174="","",IFERROR(K174/J174,0))</f>
        <v/>
      </c>
      <c r="M174" s="3">
        <f>IF(A174="","",IF(F174=0,"",IF(G174&lt;0.25,"P0 fix hook",IF(AND(D174="Harvest",I174=0),"P1 check proof/CTA","P2 keep"))))</f>
        <v/>
      </c>
    </row>
    <row r="175">
      <c r="G175" s="8" t="n"/>
      <c r="H175" s="8" t="n"/>
      <c r="J175" s="4" t="n"/>
      <c r="K175" s="4" t="n"/>
      <c r="L175" s="9">
        <f>IF(A175="","",IFERROR(K175/J175,0))</f>
        <v/>
      </c>
      <c r="M175" s="3">
        <f>IF(A175="","",IF(F175=0,"",IF(G175&lt;0.25,"P0 fix hook",IF(AND(D175="Harvest",I175=0),"P1 check proof/CTA","P2 keep"))))</f>
        <v/>
      </c>
    </row>
    <row r="176">
      <c r="G176" s="8" t="n"/>
      <c r="H176" s="8" t="n"/>
      <c r="J176" s="4" t="n"/>
      <c r="K176" s="4" t="n"/>
      <c r="L176" s="9">
        <f>IF(A176="","",IFERROR(K176/J176,0))</f>
        <v/>
      </c>
      <c r="M176" s="3">
        <f>IF(A176="","",IF(F176=0,"",IF(G176&lt;0.25,"P0 fix hook",IF(AND(D176="Harvest",I176=0),"P1 check proof/CTA","P2 keep"))))</f>
        <v/>
      </c>
    </row>
    <row r="177">
      <c r="G177" s="8" t="n"/>
      <c r="H177" s="8" t="n"/>
      <c r="J177" s="4" t="n"/>
      <c r="K177" s="4" t="n"/>
      <c r="L177" s="9">
        <f>IF(A177="","",IFERROR(K177/J177,0))</f>
        <v/>
      </c>
      <c r="M177" s="3">
        <f>IF(A177="","",IF(F177=0,"",IF(G177&lt;0.25,"P0 fix hook",IF(AND(D177="Harvest",I177=0),"P1 check proof/CTA","P2 keep"))))</f>
        <v/>
      </c>
    </row>
    <row r="178">
      <c r="G178" s="8" t="n"/>
      <c r="H178" s="8" t="n"/>
      <c r="J178" s="4" t="n"/>
      <c r="K178" s="4" t="n"/>
      <c r="L178" s="9">
        <f>IF(A178="","",IFERROR(K178/J178,0))</f>
        <v/>
      </c>
      <c r="M178" s="3">
        <f>IF(A178="","",IF(F178=0,"",IF(G178&lt;0.25,"P0 fix hook",IF(AND(D178="Harvest",I178=0),"P1 check proof/CTA","P2 keep"))))</f>
        <v/>
      </c>
    </row>
    <row r="179">
      <c r="G179" s="8" t="n"/>
      <c r="H179" s="8" t="n"/>
      <c r="J179" s="4" t="n"/>
      <c r="K179" s="4" t="n"/>
      <c r="L179" s="9">
        <f>IF(A179="","",IFERROR(K179/J179,0))</f>
        <v/>
      </c>
      <c r="M179" s="3">
        <f>IF(A179="","",IF(F179=0,"",IF(G179&lt;0.25,"P0 fix hook",IF(AND(D179="Harvest",I179=0),"P1 check proof/CTA","P2 keep"))))</f>
        <v/>
      </c>
    </row>
    <row r="180">
      <c r="G180" s="8" t="n"/>
      <c r="H180" s="8" t="n"/>
      <c r="J180" s="4" t="n"/>
      <c r="K180" s="4" t="n"/>
      <c r="L180" s="9">
        <f>IF(A180="","",IFERROR(K180/J180,0))</f>
        <v/>
      </c>
      <c r="M180" s="3">
        <f>IF(A180="","",IF(F180=0,"",IF(G180&lt;0.25,"P0 fix hook",IF(AND(D180="Harvest",I180=0),"P1 check proof/CTA","P2 keep"))))</f>
        <v/>
      </c>
    </row>
    <row r="181">
      <c r="G181" s="8" t="n"/>
      <c r="H181" s="8" t="n"/>
      <c r="J181" s="4" t="n"/>
      <c r="K181" s="4" t="n"/>
      <c r="L181" s="9">
        <f>IF(A181="","",IFERROR(K181/J181,0))</f>
        <v/>
      </c>
      <c r="M181" s="3">
        <f>IF(A181="","",IF(F181=0,"",IF(G181&lt;0.25,"P0 fix hook",IF(AND(D181="Harvest",I181=0),"P1 check proof/CTA","P2 keep"))))</f>
        <v/>
      </c>
    </row>
    <row r="182">
      <c r="G182" s="8" t="n"/>
      <c r="H182" s="8" t="n"/>
      <c r="J182" s="4" t="n"/>
      <c r="K182" s="4" t="n"/>
      <c r="L182" s="9">
        <f>IF(A182="","",IFERROR(K182/J182,0))</f>
        <v/>
      </c>
      <c r="M182" s="3">
        <f>IF(A182="","",IF(F182=0,"",IF(G182&lt;0.25,"P0 fix hook",IF(AND(D182="Harvest",I182=0),"P1 check proof/CTA","P2 keep"))))</f>
        <v/>
      </c>
    </row>
    <row r="183">
      <c r="G183" s="8" t="n"/>
      <c r="H183" s="8" t="n"/>
      <c r="J183" s="4" t="n"/>
      <c r="K183" s="4" t="n"/>
      <c r="L183" s="9">
        <f>IF(A183="","",IFERROR(K183/J183,0))</f>
        <v/>
      </c>
      <c r="M183" s="3">
        <f>IF(A183="","",IF(F183=0,"",IF(G183&lt;0.25,"P0 fix hook",IF(AND(D183="Harvest",I183=0),"P1 check proof/CTA","P2 keep"))))</f>
        <v/>
      </c>
    </row>
    <row r="184">
      <c r="G184" s="8" t="n"/>
      <c r="H184" s="8" t="n"/>
      <c r="J184" s="4" t="n"/>
      <c r="K184" s="4" t="n"/>
      <c r="L184" s="9">
        <f>IF(A184="","",IFERROR(K184/J184,0))</f>
        <v/>
      </c>
      <c r="M184" s="3">
        <f>IF(A184="","",IF(F184=0,"",IF(G184&lt;0.25,"P0 fix hook",IF(AND(D184="Harvest",I184=0),"P1 check proof/CTA","P2 keep"))))</f>
        <v/>
      </c>
    </row>
    <row r="185">
      <c r="G185" s="8" t="n"/>
      <c r="H185" s="8" t="n"/>
      <c r="J185" s="4" t="n"/>
      <c r="K185" s="4" t="n"/>
      <c r="L185" s="9">
        <f>IF(A185="","",IFERROR(K185/J185,0))</f>
        <v/>
      </c>
      <c r="M185" s="3">
        <f>IF(A185="","",IF(F185=0,"",IF(G185&lt;0.25,"P0 fix hook",IF(AND(D185="Harvest",I185=0),"P1 check proof/CTA","P2 keep"))))</f>
        <v/>
      </c>
    </row>
    <row r="186">
      <c r="G186" s="8" t="n"/>
      <c r="H186" s="8" t="n"/>
      <c r="J186" s="4" t="n"/>
      <c r="K186" s="4" t="n"/>
      <c r="L186" s="9">
        <f>IF(A186="","",IFERROR(K186/J186,0))</f>
        <v/>
      </c>
      <c r="M186" s="3">
        <f>IF(A186="","",IF(F186=0,"",IF(G186&lt;0.25,"P0 fix hook",IF(AND(D186="Harvest",I186=0),"P1 check proof/CTA","P2 keep"))))</f>
        <v/>
      </c>
    </row>
    <row r="187">
      <c r="G187" s="8" t="n"/>
      <c r="H187" s="8" t="n"/>
      <c r="J187" s="4" t="n"/>
      <c r="K187" s="4" t="n"/>
      <c r="L187" s="9">
        <f>IF(A187="","",IFERROR(K187/J187,0))</f>
        <v/>
      </c>
      <c r="M187" s="3">
        <f>IF(A187="","",IF(F187=0,"",IF(G187&lt;0.25,"P0 fix hook",IF(AND(D187="Harvest",I187=0),"P1 check proof/CTA","P2 keep"))))</f>
        <v/>
      </c>
    </row>
    <row r="188">
      <c r="G188" s="8" t="n"/>
      <c r="H188" s="8" t="n"/>
      <c r="J188" s="4" t="n"/>
      <c r="K188" s="4" t="n"/>
      <c r="L188" s="9">
        <f>IF(A188="","",IFERROR(K188/J188,0))</f>
        <v/>
      </c>
      <c r="M188" s="3">
        <f>IF(A188="","",IF(F188=0,"",IF(G188&lt;0.25,"P0 fix hook",IF(AND(D188="Harvest",I188=0),"P1 check proof/CTA","P2 keep"))))</f>
        <v/>
      </c>
    </row>
    <row r="189">
      <c r="G189" s="8" t="n"/>
      <c r="H189" s="8" t="n"/>
      <c r="J189" s="4" t="n"/>
      <c r="K189" s="4" t="n"/>
      <c r="L189" s="9">
        <f>IF(A189="","",IFERROR(K189/J189,0))</f>
        <v/>
      </c>
      <c r="M189" s="3">
        <f>IF(A189="","",IF(F189=0,"",IF(G189&lt;0.25,"P0 fix hook",IF(AND(D189="Harvest",I189=0),"P1 check proof/CTA","P2 keep"))))</f>
        <v/>
      </c>
    </row>
    <row r="190">
      <c r="G190" s="8" t="n"/>
      <c r="H190" s="8" t="n"/>
      <c r="J190" s="4" t="n"/>
      <c r="K190" s="4" t="n"/>
      <c r="L190" s="9">
        <f>IF(A190="","",IFERROR(K190/J190,0))</f>
        <v/>
      </c>
      <c r="M190" s="3">
        <f>IF(A190="","",IF(F190=0,"",IF(G190&lt;0.25,"P0 fix hook",IF(AND(D190="Harvest",I190=0),"P1 check proof/CTA","P2 keep"))))</f>
        <v/>
      </c>
    </row>
    <row r="191">
      <c r="G191" s="8" t="n"/>
      <c r="H191" s="8" t="n"/>
      <c r="J191" s="4" t="n"/>
      <c r="K191" s="4" t="n"/>
      <c r="L191" s="9">
        <f>IF(A191="","",IFERROR(K191/J191,0))</f>
        <v/>
      </c>
      <c r="M191" s="3">
        <f>IF(A191="","",IF(F191=0,"",IF(G191&lt;0.25,"P0 fix hook",IF(AND(D191="Harvest",I191=0),"P1 check proof/CTA","P2 keep"))))</f>
        <v/>
      </c>
    </row>
    <row r="192">
      <c r="G192" s="8" t="n"/>
      <c r="H192" s="8" t="n"/>
      <c r="J192" s="4" t="n"/>
      <c r="K192" s="4" t="n"/>
      <c r="L192" s="9">
        <f>IF(A192="","",IFERROR(K192/J192,0))</f>
        <v/>
      </c>
      <c r="M192" s="3">
        <f>IF(A192="","",IF(F192=0,"",IF(G192&lt;0.25,"P0 fix hook",IF(AND(D192="Harvest",I192=0),"P1 check proof/CTA","P2 keep"))))</f>
        <v/>
      </c>
    </row>
    <row r="193">
      <c r="G193" s="8" t="n"/>
      <c r="H193" s="8" t="n"/>
      <c r="J193" s="4" t="n"/>
      <c r="K193" s="4" t="n"/>
      <c r="L193" s="9">
        <f>IF(A193="","",IFERROR(K193/J193,0))</f>
        <v/>
      </c>
      <c r="M193" s="3">
        <f>IF(A193="","",IF(F193=0,"",IF(G193&lt;0.25,"P0 fix hook",IF(AND(D193="Harvest",I193=0),"P1 check proof/CTA","P2 keep"))))</f>
        <v/>
      </c>
    </row>
    <row r="194">
      <c r="G194" s="8" t="n"/>
      <c r="H194" s="8" t="n"/>
      <c r="J194" s="4" t="n"/>
      <c r="K194" s="4" t="n"/>
      <c r="L194" s="9">
        <f>IF(A194="","",IFERROR(K194/J194,0))</f>
        <v/>
      </c>
      <c r="M194" s="3">
        <f>IF(A194="","",IF(F194=0,"",IF(G194&lt;0.25,"P0 fix hook",IF(AND(D194="Harvest",I194=0),"P1 check proof/CTA","P2 keep"))))</f>
        <v/>
      </c>
    </row>
    <row r="195">
      <c r="G195" s="8" t="n"/>
      <c r="H195" s="8" t="n"/>
      <c r="J195" s="4" t="n"/>
      <c r="K195" s="4" t="n"/>
      <c r="L195" s="9">
        <f>IF(A195="","",IFERROR(K195/J195,0))</f>
        <v/>
      </c>
      <c r="M195" s="3">
        <f>IF(A195="","",IF(F195=0,"",IF(G195&lt;0.25,"P0 fix hook",IF(AND(D195="Harvest",I195=0),"P1 check proof/CTA","P2 keep"))))</f>
        <v/>
      </c>
    </row>
    <row r="196">
      <c r="G196" s="8" t="n"/>
      <c r="H196" s="8" t="n"/>
      <c r="J196" s="4" t="n"/>
      <c r="K196" s="4" t="n"/>
      <c r="L196" s="9">
        <f>IF(A196="","",IFERROR(K196/J196,0))</f>
        <v/>
      </c>
      <c r="M196" s="3">
        <f>IF(A196="","",IF(F196=0,"",IF(G196&lt;0.25,"P0 fix hook",IF(AND(D196="Harvest",I196=0),"P1 check proof/CTA","P2 keep"))))</f>
        <v/>
      </c>
    </row>
    <row r="197">
      <c r="G197" s="8" t="n"/>
      <c r="H197" s="8" t="n"/>
      <c r="J197" s="4" t="n"/>
      <c r="K197" s="4" t="n"/>
      <c r="L197" s="9">
        <f>IF(A197="","",IFERROR(K197/J197,0))</f>
        <v/>
      </c>
      <c r="M197" s="3">
        <f>IF(A197="","",IF(F197=0,"",IF(G197&lt;0.25,"P0 fix hook",IF(AND(D197="Harvest",I197=0),"P1 check proof/CTA","P2 keep"))))</f>
        <v/>
      </c>
    </row>
    <row r="198">
      <c r="G198" s="8" t="n"/>
      <c r="H198" s="8" t="n"/>
      <c r="J198" s="4" t="n"/>
      <c r="K198" s="4" t="n"/>
      <c r="L198" s="9">
        <f>IF(A198="","",IFERROR(K198/J198,0))</f>
        <v/>
      </c>
      <c r="M198" s="3">
        <f>IF(A198="","",IF(F198=0,"",IF(G198&lt;0.25,"P0 fix hook",IF(AND(D198="Harvest",I198=0),"P1 check proof/CTA","P2 keep"))))</f>
        <v/>
      </c>
    </row>
    <row r="199">
      <c r="G199" s="8" t="n"/>
      <c r="H199" s="8" t="n"/>
      <c r="J199" s="4" t="n"/>
      <c r="K199" s="4" t="n"/>
      <c r="L199" s="9">
        <f>IF(A199="","",IFERROR(K199/J199,0))</f>
        <v/>
      </c>
      <c r="M199" s="3">
        <f>IF(A199="","",IF(F199=0,"",IF(G199&lt;0.25,"P0 fix hook",IF(AND(D199="Harvest",I199=0),"P1 check proof/CTA","P2 keep"))))</f>
        <v/>
      </c>
    </row>
    <row r="200">
      <c r="G200" s="8" t="n"/>
      <c r="H200" s="8" t="n"/>
      <c r="J200" s="4" t="n"/>
      <c r="K200" s="4" t="n"/>
      <c r="L200" s="9">
        <f>IF(A200="","",IFERROR(K200/J200,0))</f>
        <v/>
      </c>
      <c r="M200" s="3">
        <f>IF(A200="","",IF(F200=0,"",IF(G200&lt;0.25,"P0 fix hook",IF(AND(D200="Harvest",I200=0),"P1 check proof/CTA","P2 keep"))))</f>
        <v/>
      </c>
    </row>
    <row r="201">
      <c r="G201" s="8" t="n"/>
      <c r="H201" s="8" t="n"/>
      <c r="J201" s="4" t="n"/>
      <c r="K201" s="4" t="n"/>
      <c r="L201" s="9">
        <f>IF(A201="","",IFERROR(K201/J201,0))</f>
        <v/>
      </c>
      <c r="M201" s="3">
        <f>IF(A201="","",IF(F201=0,"",IF(G201&lt;0.25,"P0 fix hook",IF(AND(D201="Harvest",I201=0),"P1 check proof/CTA","P2 keep"))))</f>
        <v/>
      </c>
    </row>
    <row r="203">
      <c r="A203" s="7" t="inlineStr">
        <is>
          <t>TOTAL</t>
        </is>
      </c>
      <c r="F203" s="7">
        <f>SUM(F2:F201)</f>
        <v/>
      </c>
      <c r="I203" s="7">
        <f>SUM(I2:I201)</f>
        <v/>
      </c>
      <c r="J203" s="10">
        <f>SUM(J2:J201)</f>
        <v/>
      </c>
      <c r="K203" s="10">
        <f>SUM(K2:K201)</f>
        <v/>
      </c>
    </row>
  </sheetData>
  <dataValidations count="1">
    <dataValidation sqref="D2:D201" showDropDown="0" showInputMessage="0" showErrorMessage="0" allowBlank="1" type="list">
      <formula1>"Seed,Harvest"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.85714285714286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2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5.71428571428571" customWidth="1" min="13" max="13"/>
    <col width="15.71428571428571" customWidth="1" min="14" max="14"/>
    <col width="25.71428571428572" customWidth="1" min="15" max="15"/>
  </cols>
  <sheetData>
    <row r="1" ht="48" customHeight="1">
      <c r="A1" s="1" t="inlineStr">
        <is>
          <t>Creator</t>
        </is>
      </c>
      <c r="B1" s="1" t="inlineStr">
        <is>
          <t>Platform</t>
        </is>
      </c>
      <c r="C1" s="1" t="inlineStr">
        <is>
          <t>Segment</t>
        </is>
      </c>
      <c r="D1" s="1" t="inlineStr">
        <is>
          <t>Followers</t>
        </is>
      </c>
      <c r="E1" s="1" t="inlineStr">
        <is>
          <t>Fit (1-5)</t>
        </is>
      </c>
      <c r="F1" s="1" t="inlineStr">
        <is>
          <t>Inflated metrics?</t>
        </is>
      </c>
      <c r="G1" s="1" t="inlineStr">
        <is>
          <t>Outreach variant</t>
        </is>
      </c>
      <c r="H1" s="1" t="inlineStr">
        <is>
          <t>Replied (1/0)</t>
        </is>
      </c>
      <c r="I1" s="1" t="inlineStr">
        <is>
          <t>Moved to direct channel (1/0)</t>
        </is>
      </c>
      <c r="J1" s="1" t="inlineStr">
        <is>
          <t>Sample sent (1/0)</t>
        </is>
      </c>
      <c r="K1" s="1" t="inlineStr">
        <is>
          <t>Content returned (1/0)</t>
        </is>
      </c>
      <c r="L1" s="1" t="inlineStr">
        <is>
          <t>Orders</t>
        </is>
      </c>
      <c r="M1" s="1" t="inlineStr">
        <is>
          <t>Revenue ($)</t>
        </is>
      </c>
      <c r="N1" s="1" t="inlineStr">
        <is>
          <t>Relationship</t>
        </is>
      </c>
      <c r="O1" s="1" t="inlineStr">
        <is>
          <t>Next step</t>
        </is>
      </c>
    </row>
    <row r="2">
      <c r="A2" t="inlineStr">
        <is>
          <t>@example_mom</t>
        </is>
      </c>
      <c r="B2" t="inlineStr">
        <is>
          <t>TikTok</t>
        </is>
      </c>
      <c r="C2" t="inlineStr">
        <is>
          <t>Parents</t>
        </is>
      </c>
      <c r="D2" t="n">
        <v>84000</v>
      </c>
      <c r="E2" t="n">
        <v>5</v>
      </c>
      <c r="F2" t="inlineStr">
        <is>
          <t>No</t>
        </is>
      </c>
      <c r="G2" t="inlineStr">
        <is>
          <t>P-A</t>
        </is>
      </c>
      <c r="H2" t="n">
        <v>1</v>
      </c>
      <c r="I2" t="n">
        <v>1</v>
      </c>
      <c r="J2" t="n">
        <v>1</v>
      </c>
      <c r="K2" t="n">
        <v>1</v>
      </c>
      <c r="L2" t="n">
        <v>22</v>
      </c>
      <c r="M2" s="4" t="n">
        <v>1078</v>
      </c>
      <c r="N2" t="inlineStr">
        <is>
          <t>Partner</t>
        </is>
      </c>
      <c r="O2" t="inlineStr">
        <is>
          <t>Co-write next script</t>
        </is>
      </c>
    </row>
    <row r="3">
      <c r="M3" s="4" t="n"/>
    </row>
    <row r="4">
      <c r="M4" s="4" t="n"/>
    </row>
    <row r="5">
      <c r="M5" s="4" t="n"/>
    </row>
    <row r="6">
      <c r="M6" s="4" t="n"/>
    </row>
    <row r="7">
      <c r="M7" s="4" t="n"/>
    </row>
    <row r="8">
      <c r="M8" s="4" t="n"/>
    </row>
    <row r="9">
      <c r="M9" s="4" t="n"/>
    </row>
    <row r="10">
      <c r="M10" s="4" t="n"/>
    </row>
    <row r="11">
      <c r="M11" s="4" t="n"/>
    </row>
    <row r="12">
      <c r="M12" s="4" t="n"/>
    </row>
    <row r="13">
      <c r="M13" s="4" t="n"/>
    </row>
    <row r="14">
      <c r="M14" s="4" t="n"/>
    </row>
    <row r="15">
      <c r="M15" s="4" t="n"/>
    </row>
    <row r="16">
      <c r="M16" s="4" t="n"/>
    </row>
    <row r="17">
      <c r="M17" s="4" t="n"/>
    </row>
    <row r="18">
      <c r="M18" s="4" t="n"/>
    </row>
    <row r="19">
      <c r="M19" s="4" t="n"/>
    </row>
    <row r="20">
      <c r="M20" s="4" t="n"/>
    </row>
    <row r="21">
      <c r="M21" s="4" t="n"/>
    </row>
    <row r="22">
      <c r="M22" s="4" t="n"/>
    </row>
    <row r="23">
      <c r="M23" s="4" t="n"/>
    </row>
    <row r="24">
      <c r="M24" s="4" t="n"/>
    </row>
    <row r="25">
      <c r="M25" s="4" t="n"/>
    </row>
    <row r="26">
      <c r="M26" s="4" t="n"/>
    </row>
    <row r="27">
      <c r="M27" s="4" t="n"/>
    </row>
    <row r="28">
      <c r="M28" s="4" t="n"/>
    </row>
    <row r="29">
      <c r="M29" s="4" t="n"/>
    </row>
    <row r="30">
      <c r="M30" s="4" t="n"/>
    </row>
    <row r="31">
      <c r="M31" s="4" t="n"/>
    </row>
    <row r="32">
      <c r="M32" s="4" t="n"/>
    </row>
    <row r="33">
      <c r="M33" s="4" t="n"/>
    </row>
    <row r="34">
      <c r="M34" s="4" t="n"/>
    </row>
    <row r="35">
      <c r="M35" s="4" t="n"/>
    </row>
    <row r="36">
      <c r="M36" s="4" t="n"/>
    </row>
    <row r="37">
      <c r="M37" s="4" t="n"/>
    </row>
    <row r="38">
      <c r="M38" s="4" t="n"/>
    </row>
    <row r="39">
      <c r="M39" s="4" t="n"/>
    </row>
    <row r="40">
      <c r="M40" s="4" t="n"/>
    </row>
    <row r="41">
      <c r="M41" s="4" t="n"/>
    </row>
    <row r="42">
      <c r="M42" s="4" t="n"/>
    </row>
    <row r="43">
      <c r="M43" s="4" t="n"/>
    </row>
    <row r="44">
      <c r="M44" s="4" t="n"/>
    </row>
    <row r="45">
      <c r="M45" s="4" t="n"/>
    </row>
    <row r="46">
      <c r="M46" s="4" t="n"/>
    </row>
    <row r="47">
      <c r="M47" s="4" t="n"/>
    </row>
    <row r="48">
      <c r="M48" s="4" t="n"/>
    </row>
    <row r="49">
      <c r="M49" s="4" t="n"/>
    </row>
    <row r="50">
      <c r="M50" s="4" t="n"/>
    </row>
    <row r="51">
      <c r="M51" s="4" t="n"/>
    </row>
    <row r="52">
      <c r="M52" s="4" t="n"/>
    </row>
    <row r="53">
      <c r="M53" s="4" t="n"/>
    </row>
    <row r="54">
      <c r="M54" s="4" t="n"/>
    </row>
    <row r="55">
      <c r="M55" s="4" t="n"/>
    </row>
    <row r="56">
      <c r="M56" s="4" t="n"/>
    </row>
    <row r="57">
      <c r="M57" s="4" t="n"/>
    </row>
    <row r="58">
      <c r="M58" s="4" t="n"/>
    </row>
    <row r="59">
      <c r="M59" s="4" t="n"/>
    </row>
    <row r="60">
      <c r="M60" s="4" t="n"/>
    </row>
    <row r="61">
      <c r="M61" s="4" t="n"/>
    </row>
    <row r="62">
      <c r="M62" s="4" t="n"/>
    </row>
    <row r="63">
      <c r="M63" s="4" t="n"/>
    </row>
    <row r="64">
      <c r="M64" s="4" t="n"/>
    </row>
    <row r="65">
      <c r="M65" s="4" t="n"/>
    </row>
    <row r="66">
      <c r="M66" s="4" t="n"/>
    </row>
    <row r="67">
      <c r="M67" s="4" t="n"/>
    </row>
    <row r="68">
      <c r="M68" s="4" t="n"/>
    </row>
    <row r="69">
      <c r="M69" s="4" t="n"/>
    </row>
    <row r="70">
      <c r="M70" s="4" t="n"/>
    </row>
    <row r="71">
      <c r="M71" s="4" t="n"/>
    </row>
    <row r="72">
      <c r="M72" s="4" t="n"/>
    </row>
    <row r="73">
      <c r="M73" s="4" t="n"/>
    </row>
    <row r="74">
      <c r="M74" s="4" t="n"/>
    </row>
    <row r="75">
      <c r="M75" s="4" t="n"/>
    </row>
    <row r="76">
      <c r="M76" s="4" t="n"/>
    </row>
    <row r="77">
      <c r="M77" s="4" t="n"/>
    </row>
    <row r="78">
      <c r="M78" s="4" t="n"/>
    </row>
    <row r="79">
      <c r="M79" s="4" t="n"/>
    </row>
    <row r="80">
      <c r="M80" s="4" t="n"/>
    </row>
    <row r="81">
      <c r="M81" s="4" t="n"/>
    </row>
    <row r="82">
      <c r="M82" s="4" t="n"/>
    </row>
    <row r="83">
      <c r="M83" s="4" t="n"/>
    </row>
    <row r="84">
      <c r="M84" s="4" t="n"/>
    </row>
    <row r="85">
      <c r="M85" s="4" t="n"/>
    </row>
    <row r="86">
      <c r="M86" s="4" t="n"/>
    </row>
    <row r="87">
      <c r="M87" s="4" t="n"/>
    </row>
    <row r="88">
      <c r="M88" s="4" t="n"/>
    </row>
    <row r="89">
      <c r="M89" s="4" t="n"/>
    </row>
    <row r="90">
      <c r="M90" s="4" t="n"/>
    </row>
    <row r="91">
      <c r="M91" s="4" t="n"/>
    </row>
    <row r="92">
      <c r="M92" s="4" t="n"/>
    </row>
    <row r="93">
      <c r="M93" s="4" t="n"/>
    </row>
    <row r="94">
      <c r="M94" s="4" t="n"/>
    </row>
    <row r="95">
      <c r="M95" s="4" t="n"/>
    </row>
    <row r="96">
      <c r="M96" s="4" t="n"/>
    </row>
    <row r="97">
      <c r="M97" s="4" t="n"/>
    </row>
    <row r="98">
      <c r="M98" s="4" t="n"/>
    </row>
    <row r="99">
      <c r="M99" s="4" t="n"/>
    </row>
    <row r="100">
      <c r="M100" s="4" t="n"/>
    </row>
    <row r="101">
      <c r="M101" s="4" t="n"/>
    </row>
    <row r="102">
      <c r="M102" s="4" t="n"/>
    </row>
    <row r="103">
      <c r="M103" s="4" t="n"/>
    </row>
    <row r="104">
      <c r="M104" s="4" t="n"/>
    </row>
    <row r="105">
      <c r="M105" s="4" t="n"/>
    </row>
    <row r="106">
      <c r="M106" s="4" t="n"/>
    </row>
    <row r="107">
      <c r="M107" s="4" t="n"/>
    </row>
    <row r="108">
      <c r="M108" s="4" t="n"/>
    </row>
    <row r="109">
      <c r="M109" s="4" t="n"/>
    </row>
    <row r="110">
      <c r="M110" s="4" t="n"/>
    </row>
    <row r="111">
      <c r="M111" s="4" t="n"/>
    </row>
    <row r="112">
      <c r="M112" s="4" t="n"/>
    </row>
    <row r="113">
      <c r="M113" s="4" t="n"/>
    </row>
    <row r="114">
      <c r="M114" s="4" t="n"/>
    </row>
    <row r="115">
      <c r="M115" s="4" t="n"/>
    </row>
    <row r="116">
      <c r="M116" s="4" t="n"/>
    </row>
    <row r="117">
      <c r="M117" s="4" t="n"/>
    </row>
    <row r="118">
      <c r="M118" s="4" t="n"/>
    </row>
    <row r="119">
      <c r="M119" s="4" t="n"/>
    </row>
    <row r="120">
      <c r="M120" s="4" t="n"/>
    </row>
    <row r="121">
      <c r="M121" s="4" t="n"/>
    </row>
    <row r="122">
      <c r="M122" s="4" t="n"/>
    </row>
    <row r="123">
      <c r="M123" s="4" t="n"/>
    </row>
    <row r="124">
      <c r="M124" s="4" t="n"/>
    </row>
    <row r="125">
      <c r="M125" s="4" t="n"/>
    </row>
    <row r="126">
      <c r="M126" s="4" t="n"/>
    </row>
    <row r="127">
      <c r="M127" s="4" t="n"/>
    </row>
    <row r="128">
      <c r="M128" s="4" t="n"/>
    </row>
    <row r="129">
      <c r="M129" s="4" t="n"/>
    </row>
    <row r="130">
      <c r="M130" s="4" t="n"/>
    </row>
    <row r="131">
      <c r="M131" s="4" t="n"/>
    </row>
    <row r="132">
      <c r="M132" s="4" t="n"/>
    </row>
    <row r="133">
      <c r="M133" s="4" t="n"/>
    </row>
    <row r="134">
      <c r="M134" s="4" t="n"/>
    </row>
    <row r="135">
      <c r="M135" s="4" t="n"/>
    </row>
    <row r="136">
      <c r="M136" s="4" t="n"/>
    </row>
    <row r="137">
      <c r="M137" s="4" t="n"/>
    </row>
    <row r="138">
      <c r="M138" s="4" t="n"/>
    </row>
    <row r="139">
      <c r="M139" s="4" t="n"/>
    </row>
    <row r="140">
      <c r="M140" s="4" t="n"/>
    </row>
    <row r="141">
      <c r="M141" s="4" t="n"/>
    </row>
    <row r="142">
      <c r="M142" s="4" t="n"/>
    </row>
    <row r="143">
      <c r="M143" s="4" t="n"/>
    </row>
    <row r="144">
      <c r="M144" s="4" t="n"/>
    </row>
    <row r="145">
      <c r="M145" s="4" t="n"/>
    </row>
    <row r="146">
      <c r="M146" s="4" t="n"/>
    </row>
    <row r="147">
      <c r="M147" s="4" t="n"/>
    </row>
    <row r="148">
      <c r="M148" s="4" t="n"/>
    </row>
    <row r="149">
      <c r="M149" s="4" t="n"/>
    </row>
    <row r="150">
      <c r="M150" s="4" t="n"/>
    </row>
    <row r="151">
      <c r="M151" s="4" t="n"/>
    </row>
    <row r="152">
      <c r="M152" s="4" t="n"/>
    </row>
    <row r="153">
      <c r="M153" s="4" t="n"/>
    </row>
    <row r="154">
      <c r="M154" s="4" t="n"/>
    </row>
    <row r="155">
      <c r="M155" s="4" t="n"/>
    </row>
    <row r="156">
      <c r="M156" s="4" t="n"/>
    </row>
    <row r="157">
      <c r="M157" s="4" t="n"/>
    </row>
    <row r="158">
      <c r="M158" s="4" t="n"/>
    </row>
    <row r="159">
      <c r="M159" s="4" t="n"/>
    </row>
    <row r="160">
      <c r="M160" s="4" t="n"/>
    </row>
    <row r="161">
      <c r="M161" s="4" t="n"/>
    </row>
    <row r="162">
      <c r="M162" s="4" t="n"/>
    </row>
    <row r="163">
      <c r="M163" s="4" t="n"/>
    </row>
    <row r="164">
      <c r="M164" s="4" t="n"/>
    </row>
    <row r="165">
      <c r="M165" s="4" t="n"/>
    </row>
    <row r="166">
      <c r="M166" s="4" t="n"/>
    </row>
    <row r="167">
      <c r="M167" s="4" t="n"/>
    </row>
    <row r="168">
      <c r="M168" s="4" t="n"/>
    </row>
    <row r="169">
      <c r="M169" s="4" t="n"/>
    </row>
    <row r="170">
      <c r="M170" s="4" t="n"/>
    </row>
    <row r="171">
      <c r="M171" s="4" t="n"/>
    </row>
    <row r="172">
      <c r="M172" s="4" t="n"/>
    </row>
    <row r="173">
      <c r="M173" s="4" t="n"/>
    </row>
    <row r="174">
      <c r="M174" s="4" t="n"/>
    </row>
    <row r="175">
      <c r="M175" s="4" t="n"/>
    </row>
    <row r="176">
      <c r="M176" s="4" t="n"/>
    </row>
    <row r="177">
      <c r="M177" s="4" t="n"/>
    </row>
    <row r="178">
      <c r="M178" s="4" t="n"/>
    </row>
    <row r="179">
      <c r="M179" s="4" t="n"/>
    </row>
    <row r="180">
      <c r="M180" s="4" t="n"/>
    </row>
    <row r="181">
      <c r="M181" s="4" t="n"/>
    </row>
    <row r="182">
      <c r="M182" s="4" t="n"/>
    </row>
    <row r="183">
      <c r="M183" s="4" t="n"/>
    </row>
    <row r="184">
      <c r="M184" s="4" t="n"/>
    </row>
    <row r="185">
      <c r="M185" s="4" t="n"/>
    </row>
    <row r="186">
      <c r="M186" s="4" t="n"/>
    </row>
    <row r="187">
      <c r="M187" s="4" t="n"/>
    </row>
    <row r="188">
      <c r="M188" s="4" t="n"/>
    </row>
    <row r="189">
      <c r="M189" s="4" t="n"/>
    </row>
    <row r="190">
      <c r="M190" s="4" t="n"/>
    </row>
    <row r="191">
      <c r="M191" s="4" t="n"/>
    </row>
    <row r="192">
      <c r="M192" s="4" t="n"/>
    </row>
    <row r="193">
      <c r="M193" s="4" t="n"/>
    </row>
    <row r="194">
      <c r="M194" s="4" t="n"/>
    </row>
    <row r="195">
      <c r="M195" s="4" t="n"/>
    </row>
    <row r="196">
      <c r="M196" s="4" t="n"/>
    </row>
    <row r="197">
      <c r="M197" s="4" t="n"/>
    </row>
    <row r="198">
      <c r="M198" s="4" t="n"/>
    </row>
    <row r="199">
      <c r="M199" s="4" t="n"/>
    </row>
    <row r="200">
      <c r="M200" s="4" t="n"/>
    </row>
    <row r="201">
      <c r="M201" s="4" t="n"/>
    </row>
    <row r="203">
      <c r="A203" s="7">
        <f>COUNTA(A2:A201)</f>
        <v/>
      </c>
      <c r="H203" s="7">
        <f>SUM(H2:H201)</f>
        <v/>
      </c>
      <c r="I203" s="7">
        <f>SUM(I2:I201)</f>
        <v/>
      </c>
      <c r="J203" s="7">
        <f>SUM(J2:J201)</f>
        <v/>
      </c>
      <c r="K203" s="7">
        <f>SUM(K2:K201)</f>
        <v/>
      </c>
      <c r="L203" s="7">
        <f>SUM(L2:L201)</f>
        <v/>
      </c>
      <c r="M203" s="10">
        <f>SUM(M2:M201)</f>
        <v/>
      </c>
    </row>
    <row r="205">
      <c r="A205" s="7" t="inlineStr">
        <is>
          <t>Reply rate</t>
        </is>
      </c>
      <c r="B205" s="8">
        <f>IFERROR(SUM(H2:H201)/COUNTA(A2:A201),0)</f>
        <v/>
      </c>
    </row>
    <row r="206">
      <c r="A206" s="7" t="inlineStr">
        <is>
          <t>Content return rate (target ≥90%)</t>
        </is>
      </c>
      <c r="B206" s="8">
        <f>IFERROR(SUM(K2:K201)/SUM(J2:J201),0)</f>
        <v/>
      </c>
    </row>
    <row r="207">
      <c r="A207" s="7" t="inlineStr">
        <is>
          <t>Revenue per sample</t>
        </is>
      </c>
      <c r="B207" s="4">
        <f>IFERROR(SUM(M2:M201)/SUM(J2:J201),0)</f>
        <v/>
      </c>
    </row>
  </sheetData>
  <dataValidations count="3">
    <dataValidation sqref="C2:C201" showDropDown="0" showInputMessage="0" showErrorMessage="0" allowBlank="1" type="list">
      <formula1>"General,Parents,Fitness,Beauty,Home,Tech,Pets,Other"</formula1>
    </dataValidation>
    <dataValidation sqref="F2:F201" showDropDown="0" showInputMessage="0" showErrorMessage="0" allowBlank="1" type="list">
      <formula1>"No,Suspect,Yes"</formula1>
    </dataValidation>
    <dataValidation sqref="N2:N201" showDropDown="0" showInputMessage="0" showErrorMessage="0" allowBlank="1" type="list">
      <formula1>"Contacted,Talking,Trial,Partner,Long-term distributor,Dropped"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14285714285714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24.28571428571428" customWidth="1" min="10" max="10"/>
    <col width="28.57142857142857" customWidth="1" min="11" max="11"/>
  </cols>
  <sheetData>
    <row r="1" ht="48" customHeight="1">
      <c r="A1" s="1" t="inlineStr">
        <is>
          <t>Creative</t>
        </is>
      </c>
      <c r="B1" s="1" t="inlineStr">
        <is>
          <t>Stage</t>
        </is>
      </c>
      <c r="C1" s="1" t="inlineStr">
        <is>
          <t>Role</t>
        </is>
      </c>
      <c r="D1" s="1" t="inlineStr">
        <is>
          <t>Spend ($)</t>
        </is>
      </c>
      <c r="E1" s="1" t="inlineStr">
        <is>
          <t>Revenue ($)</t>
        </is>
      </c>
      <c r="F1" s="1" t="inlineStr">
        <is>
          <t>Conversions</t>
        </is>
      </c>
      <c r="G1" s="1" t="inlineStr">
        <is>
          <t>Break-even ROAS</t>
        </is>
      </c>
      <c r="H1" s="2" t="inlineStr">
        <is>
          <t>ROAS ƒ</t>
        </is>
      </c>
      <c r="I1" s="2" t="inlineStr">
        <is>
          <t>Activated? ƒ</t>
        </is>
      </c>
      <c r="J1" s="2" t="inlineStr">
        <is>
          <t>Priority ƒ</t>
        </is>
      </c>
      <c r="K1" s="1" t="inlineStr">
        <is>
          <t>Single-variable change</t>
        </is>
      </c>
    </row>
    <row r="2">
      <c r="A2" t="inlineStr">
        <is>
          <t>V-001 hook A</t>
        </is>
      </c>
      <c r="B2" t="inlineStr">
        <is>
          <t>0→1 validate</t>
        </is>
      </c>
      <c r="C2" t="inlineStr">
        <is>
          <t>Harvest</t>
        </is>
      </c>
      <c r="D2" s="4" t="n">
        <v>300</v>
      </c>
      <c r="E2" s="4" t="n">
        <v>540</v>
      </c>
      <c r="F2" t="n">
        <v>11</v>
      </c>
      <c r="G2" s="11" t="n">
        <v>2.6</v>
      </c>
      <c r="H2" s="9">
        <f>IF(A2="","",IFERROR(E2/D2,0))</f>
        <v/>
      </c>
      <c r="I2" s="3">
        <f>IF(A2="","",IF(D2&gt;0,"Yes","No spend"))</f>
        <v/>
      </c>
      <c r="J2" s="3">
        <f>IF(A2="","",IF(D2=0,"Check target/activation",IF(C2="Seed","P2 keep (seeding)",IF(H2&gt;=G2,"P2 hero - scale",IF(H2&gt;=G2*0.7,"P1 watch","P0 fix opening")))))</f>
        <v/>
      </c>
    </row>
    <row r="3">
      <c r="D3" s="4" t="n"/>
      <c r="E3" s="4" t="n"/>
      <c r="G3" s="11" t="n"/>
      <c r="H3" s="9">
        <f>IF(A3="","",IFERROR(E3/D3,0))</f>
        <v/>
      </c>
      <c r="I3" s="3">
        <f>IF(A3="","",IF(D3&gt;0,"Yes","No spend"))</f>
        <v/>
      </c>
      <c r="J3" s="3">
        <f>IF(A3="","",IF(D3=0,"Check target/activation",IF(C3="Seed","P2 keep (seeding)",IF(H3&gt;=G3,"P2 hero - scale",IF(H3&gt;=G3*0.7,"P1 watch","P0 fix opening")))))</f>
        <v/>
      </c>
    </row>
    <row r="4">
      <c r="D4" s="4" t="n"/>
      <c r="E4" s="4" t="n"/>
      <c r="G4" s="11" t="n"/>
      <c r="H4" s="9">
        <f>IF(A4="","",IFERROR(E4/D4,0))</f>
        <v/>
      </c>
      <c r="I4" s="3">
        <f>IF(A4="","",IF(D4&gt;0,"Yes","No spend"))</f>
        <v/>
      </c>
      <c r="J4" s="3">
        <f>IF(A4="","",IF(D4=0,"Check target/activation",IF(C4="Seed","P2 keep (seeding)",IF(H4&gt;=G4,"P2 hero - scale",IF(H4&gt;=G4*0.7,"P1 watch","P0 fix opening")))))</f>
        <v/>
      </c>
    </row>
    <row r="5">
      <c r="D5" s="4" t="n"/>
      <c r="E5" s="4" t="n"/>
      <c r="G5" s="11" t="n"/>
      <c r="H5" s="9">
        <f>IF(A5="","",IFERROR(E5/D5,0))</f>
        <v/>
      </c>
      <c r="I5" s="3">
        <f>IF(A5="","",IF(D5&gt;0,"Yes","No spend"))</f>
        <v/>
      </c>
      <c r="J5" s="3">
        <f>IF(A5="","",IF(D5=0,"Check target/activation",IF(C5="Seed","P2 keep (seeding)",IF(H5&gt;=G5,"P2 hero - scale",IF(H5&gt;=G5*0.7,"P1 watch","P0 fix opening")))))</f>
        <v/>
      </c>
    </row>
    <row r="6">
      <c r="D6" s="4" t="n"/>
      <c r="E6" s="4" t="n"/>
      <c r="G6" s="11" t="n"/>
      <c r="H6" s="9">
        <f>IF(A6="","",IFERROR(E6/D6,0))</f>
        <v/>
      </c>
      <c r="I6" s="3">
        <f>IF(A6="","",IF(D6&gt;0,"Yes","No spend"))</f>
        <v/>
      </c>
      <c r="J6" s="3">
        <f>IF(A6="","",IF(D6=0,"Check target/activation",IF(C6="Seed","P2 keep (seeding)",IF(H6&gt;=G6,"P2 hero - scale",IF(H6&gt;=G6*0.7,"P1 watch","P0 fix opening")))))</f>
        <v/>
      </c>
    </row>
    <row r="7">
      <c r="D7" s="4" t="n"/>
      <c r="E7" s="4" t="n"/>
      <c r="G7" s="11" t="n"/>
      <c r="H7" s="9">
        <f>IF(A7="","",IFERROR(E7/D7,0))</f>
        <v/>
      </c>
      <c r="I7" s="3">
        <f>IF(A7="","",IF(D7&gt;0,"Yes","No spend"))</f>
        <v/>
      </c>
      <c r="J7" s="3">
        <f>IF(A7="","",IF(D7=0,"Check target/activation",IF(C7="Seed","P2 keep (seeding)",IF(H7&gt;=G7,"P2 hero - scale",IF(H7&gt;=G7*0.7,"P1 watch","P0 fix opening")))))</f>
        <v/>
      </c>
    </row>
    <row r="8">
      <c r="D8" s="4" t="n"/>
      <c r="E8" s="4" t="n"/>
      <c r="G8" s="11" t="n"/>
      <c r="H8" s="9">
        <f>IF(A8="","",IFERROR(E8/D8,0))</f>
        <v/>
      </c>
      <c r="I8" s="3">
        <f>IF(A8="","",IF(D8&gt;0,"Yes","No spend"))</f>
        <v/>
      </c>
      <c r="J8" s="3">
        <f>IF(A8="","",IF(D8=0,"Check target/activation",IF(C8="Seed","P2 keep (seeding)",IF(H8&gt;=G8,"P2 hero - scale",IF(H8&gt;=G8*0.7,"P1 watch","P0 fix opening")))))</f>
        <v/>
      </c>
    </row>
    <row r="9">
      <c r="D9" s="4" t="n"/>
      <c r="E9" s="4" t="n"/>
      <c r="G9" s="11" t="n"/>
      <c r="H9" s="9">
        <f>IF(A9="","",IFERROR(E9/D9,0))</f>
        <v/>
      </c>
      <c r="I9" s="3">
        <f>IF(A9="","",IF(D9&gt;0,"Yes","No spend"))</f>
        <v/>
      </c>
      <c r="J9" s="3">
        <f>IF(A9="","",IF(D9=0,"Check target/activation",IF(C9="Seed","P2 keep (seeding)",IF(H9&gt;=G9,"P2 hero - scale",IF(H9&gt;=G9*0.7,"P1 watch","P0 fix opening")))))</f>
        <v/>
      </c>
    </row>
    <row r="10">
      <c r="D10" s="4" t="n"/>
      <c r="E10" s="4" t="n"/>
      <c r="G10" s="11" t="n"/>
      <c r="H10" s="9">
        <f>IF(A10="","",IFERROR(E10/D10,0))</f>
        <v/>
      </c>
      <c r="I10" s="3">
        <f>IF(A10="","",IF(D10&gt;0,"Yes","No spend"))</f>
        <v/>
      </c>
      <c r="J10" s="3">
        <f>IF(A10="","",IF(D10=0,"Check target/activation",IF(C10="Seed","P2 keep (seeding)",IF(H10&gt;=G10,"P2 hero - scale",IF(H10&gt;=G10*0.7,"P1 watch","P0 fix opening")))))</f>
        <v/>
      </c>
    </row>
    <row r="11">
      <c r="D11" s="4" t="n"/>
      <c r="E11" s="4" t="n"/>
      <c r="G11" s="11" t="n"/>
      <c r="H11" s="9">
        <f>IF(A11="","",IFERROR(E11/D11,0))</f>
        <v/>
      </c>
      <c r="I11" s="3">
        <f>IF(A11="","",IF(D11&gt;0,"Yes","No spend"))</f>
        <v/>
      </c>
      <c r="J11" s="3">
        <f>IF(A11="","",IF(D11=0,"Check target/activation",IF(C11="Seed","P2 keep (seeding)",IF(H11&gt;=G11,"P2 hero - scale",IF(H11&gt;=G11*0.7,"P1 watch","P0 fix opening")))))</f>
        <v/>
      </c>
    </row>
    <row r="12">
      <c r="D12" s="4" t="n"/>
      <c r="E12" s="4" t="n"/>
      <c r="G12" s="11" t="n"/>
      <c r="H12" s="9">
        <f>IF(A12="","",IFERROR(E12/D12,0))</f>
        <v/>
      </c>
      <c r="I12" s="3">
        <f>IF(A12="","",IF(D12&gt;0,"Yes","No spend"))</f>
        <v/>
      </c>
      <c r="J12" s="3">
        <f>IF(A12="","",IF(D12=0,"Check target/activation",IF(C12="Seed","P2 keep (seeding)",IF(H12&gt;=G12,"P2 hero - scale",IF(H12&gt;=G12*0.7,"P1 watch","P0 fix opening")))))</f>
        <v/>
      </c>
    </row>
    <row r="13">
      <c r="D13" s="4" t="n"/>
      <c r="E13" s="4" t="n"/>
      <c r="G13" s="11" t="n"/>
      <c r="H13" s="9">
        <f>IF(A13="","",IFERROR(E13/D13,0))</f>
        <v/>
      </c>
      <c r="I13" s="3">
        <f>IF(A13="","",IF(D13&gt;0,"Yes","No spend"))</f>
        <v/>
      </c>
      <c r="J13" s="3">
        <f>IF(A13="","",IF(D13=0,"Check target/activation",IF(C13="Seed","P2 keep (seeding)",IF(H13&gt;=G13,"P2 hero - scale",IF(H13&gt;=G13*0.7,"P1 watch","P0 fix opening")))))</f>
        <v/>
      </c>
    </row>
    <row r="14">
      <c r="D14" s="4" t="n"/>
      <c r="E14" s="4" t="n"/>
      <c r="G14" s="11" t="n"/>
      <c r="H14" s="9">
        <f>IF(A14="","",IFERROR(E14/D14,0))</f>
        <v/>
      </c>
      <c r="I14" s="3">
        <f>IF(A14="","",IF(D14&gt;0,"Yes","No spend"))</f>
        <v/>
      </c>
      <c r="J14" s="3">
        <f>IF(A14="","",IF(D14=0,"Check target/activation",IF(C14="Seed","P2 keep (seeding)",IF(H14&gt;=G14,"P2 hero - scale",IF(H14&gt;=G14*0.7,"P1 watch","P0 fix opening")))))</f>
        <v/>
      </c>
    </row>
    <row r="15">
      <c r="D15" s="4" t="n"/>
      <c r="E15" s="4" t="n"/>
      <c r="G15" s="11" t="n"/>
      <c r="H15" s="9">
        <f>IF(A15="","",IFERROR(E15/D15,0))</f>
        <v/>
      </c>
      <c r="I15" s="3">
        <f>IF(A15="","",IF(D15&gt;0,"Yes","No spend"))</f>
        <v/>
      </c>
      <c r="J15" s="3">
        <f>IF(A15="","",IF(D15=0,"Check target/activation",IF(C15="Seed","P2 keep (seeding)",IF(H15&gt;=G15,"P2 hero - scale",IF(H15&gt;=G15*0.7,"P1 watch","P0 fix opening")))))</f>
        <v/>
      </c>
    </row>
    <row r="16">
      <c r="D16" s="4" t="n"/>
      <c r="E16" s="4" t="n"/>
      <c r="G16" s="11" t="n"/>
      <c r="H16" s="9">
        <f>IF(A16="","",IFERROR(E16/D16,0))</f>
        <v/>
      </c>
      <c r="I16" s="3">
        <f>IF(A16="","",IF(D16&gt;0,"Yes","No spend"))</f>
        <v/>
      </c>
      <c r="J16" s="3">
        <f>IF(A16="","",IF(D16=0,"Check target/activation",IF(C16="Seed","P2 keep (seeding)",IF(H16&gt;=G16,"P2 hero - scale",IF(H16&gt;=G16*0.7,"P1 watch","P0 fix opening")))))</f>
        <v/>
      </c>
    </row>
    <row r="17">
      <c r="D17" s="4" t="n"/>
      <c r="E17" s="4" t="n"/>
      <c r="G17" s="11" t="n"/>
      <c r="H17" s="9">
        <f>IF(A17="","",IFERROR(E17/D17,0))</f>
        <v/>
      </c>
      <c r="I17" s="3">
        <f>IF(A17="","",IF(D17&gt;0,"Yes","No spend"))</f>
        <v/>
      </c>
      <c r="J17" s="3">
        <f>IF(A17="","",IF(D17=0,"Check target/activation",IF(C17="Seed","P2 keep (seeding)",IF(H17&gt;=G17,"P2 hero - scale",IF(H17&gt;=G17*0.7,"P1 watch","P0 fix opening")))))</f>
        <v/>
      </c>
    </row>
    <row r="18">
      <c r="D18" s="4" t="n"/>
      <c r="E18" s="4" t="n"/>
      <c r="G18" s="11" t="n"/>
      <c r="H18" s="9">
        <f>IF(A18="","",IFERROR(E18/D18,0))</f>
        <v/>
      </c>
      <c r="I18" s="3">
        <f>IF(A18="","",IF(D18&gt;0,"Yes","No spend"))</f>
        <v/>
      </c>
      <c r="J18" s="3">
        <f>IF(A18="","",IF(D18=0,"Check target/activation",IF(C18="Seed","P2 keep (seeding)",IF(H18&gt;=G18,"P2 hero - scale",IF(H18&gt;=G18*0.7,"P1 watch","P0 fix opening")))))</f>
        <v/>
      </c>
    </row>
    <row r="19">
      <c r="D19" s="4" t="n"/>
      <c r="E19" s="4" t="n"/>
      <c r="G19" s="11" t="n"/>
      <c r="H19" s="9">
        <f>IF(A19="","",IFERROR(E19/D19,0))</f>
        <v/>
      </c>
      <c r="I19" s="3">
        <f>IF(A19="","",IF(D19&gt;0,"Yes","No spend"))</f>
        <v/>
      </c>
      <c r="J19" s="3">
        <f>IF(A19="","",IF(D19=0,"Check target/activation",IF(C19="Seed","P2 keep (seeding)",IF(H19&gt;=G19,"P2 hero - scale",IF(H19&gt;=G19*0.7,"P1 watch","P0 fix opening")))))</f>
        <v/>
      </c>
    </row>
    <row r="20">
      <c r="D20" s="4" t="n"/>
      <c r="E20" s="4" t="n"/>
      <c r="G20" s="11" t="n"/>
      <c r="H20" s="9">
        <f>IF(A20="","",IFERROR(E20/D20,0))</f>
        <v/>
      </c>
      <c r="I20" s="3">
        <f>IF(A20="","",IF(D20&gt;0,"Yes","No spend"))</f>
        <v/>
      </c>
      <c r="J20" s="3">
        <f>IF(A20="","",IF(D20=0,"Check target/activation",IF(C20="Seed","P2 keep (seeding)",IF(H20&gt;=G20,"P2 hero - scale",IF(H20&gt;=G20*0.7,"P1 watch","P0 fix opening")))))</f>
        <v/>
      </c>
    </row>
    <row r="21">
      <c r="D21" s="4" t="n"/>
      <c r="E21" s="4" t="n"/>
      <c r="G21" s="11" t="n"/>
      <c r="H21" s="9">
        <f>IF(A21="","",IFERROR(E21/D21,0))</f>
        <v/>
      </c>
      <c r="I21" s="3">
        <f>IF(A21="","",IF(D21&gt;0,"Yes","No spend"))</f>
        <v/>
      </c>
      <c r="J21" s="3">
        <f>IF(A21="","",IF(D21=0,"Check target/activation",IF(C21="Seed","P2 keep (seeding)",IF(H21&gt;=G21,"P2 hero - scale",IF(H21&gt;=G21*0.7,"P1 watch","P0 fix opening")))))</f>
        <v/>
      </c>
    </row>
    <row r="22">
      <c r="D22" s="4" t="n"/>
      <c r="E22" s="4" t="n"/>
      <c r="G22" s="11" t="n"/>
      <c r="H22" s="9">
        <f>IF(A22="","",IFERROR(E22/D22,0))</f>
        <v/>
      </c>
      <c r="I22" s="3">
        <f>IF(A22="","",IF(D22&gt;0,"Yes","No spend"))</f>
        <v/>
      </c>
      <c r="J22" s="3">
        <f>IF(A22="","",IF(D22=0,"Check target/activation",IF(C22="Seed","P2 keep (seeding)",IF(H22&gt;=G22,"P2 hero - scale",IF(H22&gt;=G22*0.7,"P1 watch","P0 fix opening")))))</f>
        <v/>
      </c>
    </row>
    <row r="23">
      <c r="D23" s="4" t="n"/>
      <c r="E23" s="4" t="n"/>
      <c r="G23" s="11" t="n"/>
      <c r="H23" s="9">
        <f>IF(A23="","",IFERROR(E23/D23,0))</f>
        <v/>
      </c>
      <c r="I23" s="3">
        <f>IF(A23="","",IF(D23&gt;0,"Yes","No spend"))</f>
        <v/>
      </c>
      <c r="J23" s="3">
        <f>IF(A23="","",IF(D23=0,"Check target/activation",IF(C23="Seed","P2 keep (seeding)",IF(H23&gt;=G23,"P2 hero - scale",IF(H23&gt;=G23*0.7,"P1 watch","P0 fix opening")))))</f>
        <v/>
      </c>
    </row>
    <row r="24">
      <c r="D24" s="4" t="n"/>
      <c r="E24" s="4" t="n"/>
      <c r="G24" s="11" t="n"/>
      <c r="H24" s="9">
        <f>IF(A24="","",IFERROR(E24/D24,0))</f>
        <v/>
      </c>
      <c r="I24" s="3">
        <f>IF(A24="","",IF(D24&gt;0,"Yes","No spend"))</f>
        <v/>
      </c>
      <c r="J24" s="3">
        <f>IF(A24="","",IF(D24=0,"Check target/activation",IF(C24="Seed","P2 keep (seeding)",IF(H24&gt;=G24,"P2 hero - scale",IF(H24&gt;=G24*0.7,"P1 watch","P0 fix opening")))))</f>
        <v/>
      </c>
    </row>
    <row r="25">
      <c r="D25" s="4" t="n"/>
      <c r="E25" s="4" t="n"/>
      <c r="G25" s="11" t="n"/>
      <c r="H25" s="9">
        <f>IF(A25="","",IFERROR(E25/D25,0))</f>
        <v/>
      </c>
      <c r="I25" s="3">
        <f>IF(A25="","",IF(D25&gt;0,"Yes","No spend"))</f>
        <v/>
      </c>
      <c r="J25" s="3">
        <f>IF(A25="","",IF(D25=0,"Check target/activation",IF(C25="Seed","P2 keep (seeding)",IF(H25&gt;=G25,"P2 hero - scale",IF(H25&gt;=G25*0.7,"P1 watch","P0 fix opening")))))</f>
        <v/>
      </c>
    </row>
    <row r="26">
      <c r="D26" s="4" t="n"/>
      <c r="E26" s="4" t="n"/>
      <c r="G26" s="11" t="n"/>
      <c r="H26" s="9">
        <f>IF(A26="","",IFERROR(E26/D26,0))</f>
        <v/>
      </c>
      <c r="I26" s="3">
        <f>IF(A26="","",IF(D26&gt;0,"Yes","No spend"))</f>
        <v/>
      </c>
      <c r="J26" s="3">
        <f>IF(A26="","",IF(D26=0,"Check target/activation",IF(C26="Seed","P2 keep (seeding)",IF(H26&gt;=G26,"P2 hero - scale",IF(H26&gt;=G26*0.7,"P1 watch","P0 fix opening")))))</f>
        <v/>
      </c>
    </row>
    <row r="27">
      <c r="D27" s="4" t="n"/>
      <c r="E27" s="4" t="n"/>
      <c r="G27" s="11" t="n"/>
      <c r="H27" s="9">
        <f>IF(A27="","",IFERROR(E27/D27,0))</f>
        <v/>
      </c>
      <c r="I27" s="3">
        <f>IF(A27="","",IF(D27&gt;0,"Yes","No spend"))</f>
        <v/>
      </c>
      <c r="J27" s="3">
        <f>IF(A27="","",IF(D27=0,"Check target/activation",IF(C27="Seed","P2 keep (seeding)",IF(H27&gt;=G27,"P2 hero - scale",IF(H27&gt;=G27*0.7,"P1 watch","P0 fix opening")))))</f>
        <v/>
      </c>
    </row>
    <row r="28">
      <c r="D28" s="4" t="n"/>
      <c r="E28" s="4" t="n"/>
      <c r="G28" s="11" t="n"/>
      <c r="H28" s="9">
        <f>IF(A28="","",IFERROR(E28/D28,0))</f>
        <v/>
      </c>
      <c r="I28" s="3">
        <f>IF(A28="","",IF(D28&gt;0,"Yes","No spend"))</f>
        <v/>
      </c>
      <c r="J28" s="3">
        <f>IF(A28="","",IF(D28=0,"Check target/activation",IF(C28="Seed","P2 keep (seeding)",IF(H28&gt;=G28,"P2 hero - scale",IF(H28&gt;=G28*0.7,"P1 watch","P0 fix opening")))))</f>
        <v/>
      </c>
    </row>
    <row r="29">
      <c r="D29" s="4" t="n"/>
      <c r="E29" s="4" t="n"/>
      <c r="G29" s="11" t="n"/>
      <c r="H29" s="9">
        <f>IF(A29="","",IFERROR(E29/D29,0))</f>
        <v/>
      </c>
      <c r="I29" s="3">
        <f>IF(A29="","",IF(D29&gt;0,"Yes","No spend"))</f>
        <v/>
      </c>
      <c r="J29" s="3">
        <f>IF(A29="","",IF(D29=0,"Check target/activation",IF(C29="Seed","P2 keep (seeding)",IF(H29&gt;=G29,"P2 hero - scale",IF(H29&gt;=G29*0.7,"P1 watch","P0 fix opening")))))</f>
        <v/>
      </c>
    </row>
    <row r="30">
      <c r="D30" s="4" t="n"/>
      <c r="E30" s="4" t="n"/>
      <c r="G30" s="11" t="n"/>
      <c r="H30" s="9">
        <f>IF(A30="","",IFERROR(E30/D30,0))</f>
        <v/>
      </c>
      <c r="I30" s="3">
        <f>IF(A30="","",IF(D30&gt;0,"Yes","No spend"))</f>
        <v/>
      </c>
      <c r="J30" s="3">
        <f>IF(A30="","",IF(D30=0,"Check target/activation",IF(C30="Seed","P2 keep (seeding)",IF(H30&gt;=G30,"P2 hero - scale",IF(H30&gt;=G30*0.7,"P1 watch","P0 fix opening")))))</f>
        <v/>
      </c>
    </row>
    <row r="31">
      <c r="D31" s="4" t="n"/>
      <c r="E31" s="4" t="n"/>
      <c r="G31" s="11" t="n"/>
      <c r="H31" s="9">
        <f>IF(A31="","",IFERROR(E31/D31,0))</f>
        <v/>
      </c>
      <c r="I31" s="3">
        <f>IF(A31="","",IF(D31&gt;0,"Yes","No spend"))</f>
        <v/>
      </c>
      <c r="J31" s="3">
        <f>IF(A31="","",IF(D31=0,"Check target/activation",IF(C31="Seed","P2 keep (seeding)",IF(H31&gt;=G31,"P2 hero - scale",IF(H31&gt;=G31*0.7,"P1 watch","P0 fix opening")))))</f>
        <v/>
      </c>
    </row>
    <row r="32">
      <c r="D32" s="4" t="n"/>
      <c r="E32" s="4" t="n"/>
      <c r="G32" s="11" t="n"/>
      <c r="H32" s="9">
        <f>IF(A32="","",IFERROR(E32/D32,0))</f>
        <v/>
      </c>
      <c r="I32" s="3">
        <f>IF(A32="","",IF(D32&gt;0,"Yes","No spend"))</f>
        <v/>
      </c>
      <c r="J32" s="3">
        <f>IF(A32="","",IF(D32=0,"Check target/activation",IF(C32="Seed","P2 keep (seeding)",IF(H32&gt;=G32,"P2 hero - scale",IF(H32&gt;=G32*0.7,"P1 watch","P0 fix opening")))))</f>
        <v/>
      </c>
    </row>
    <row r="33">
      <c r="D33" s="4" t="n"/>
      <c r="E33" s="4" t="n"/>
      <c r="G33" s="11" t="n"/>
      <c r="H33" s="9">
        <f>IF(A33="","",IFERROR(E33/D33,0))</f>
        <v/>
      </c>
      <c r="I33" s="3">
        <f>IF(A33="","",IF(D33&gt;0,"Yes","No spend"))</f>
        <v/>
      </c>
      <c r="J33" s="3">
        <f>IF(A33="","",IF(D33=0,"Check target/activation",IF(C33="Seed","P2 keep (seeding)",IF(H33&gt;=G33,"P2 hero - scale",IF(H33&gt;=G33*0.7,"P1 watch","P0 fix opening")))))</f>
        <v/>
      </c>
    </row>
    <row r="34">
      <c r="D34" s="4" t="n"/>
      <c r="E34" s="4" t="n"/>
      <c r="G34" s="11" t="n"/>
      <c r="H34" s="9">
        <f>IF(A34="","",IFERROR(E34/D34,0))</f>
        <v/>
      </c>
      <c r="I34" s="3">
        <f>IF(A34="","",IF(D34&gt;0,"Yes","No spend"))</f>
        <v/>
      </c>
      <c r="J34" s="3">
        <f>IF(A34="","",IF(D34=0,"Check target/activation",IF(C34="Seed","P2 keep (seeding)",IF(H34&gt;=G34,"P2 hero - scale",IF(H34&gt;=G34*0.7,"P1 watch","P0 fix opening")))))</f>
        <v/>
      </c>
    </row>
    <row r="35">
      <c r="D35" s="4" t="n"/>
      <c r="E35" s="4" t="n"/>
      <c r="G35" s="11" t="n"/>
      <c r="H35" s="9">
        <f>IF(A35="","",IFERROR(E35/D35,0))</f>
        <v/>
      </c>
      <c r="I35" s="3">
        <f>IF(A35="","",IF(D35&gt;0,"Yes","No spend"))</f>
        <v/>
      </c>
      <c r="J35" s="3">
        <f>IF(A35="","",IF(D35=0,"Check target/activation",IF(C35="Seed","P2 keep (seeding)",IF(H35&gt;=G35,"P2 hero - scale",IF(H35&gt;=G35*0.7,"P1 watch","P0 fix opening")))))</f>
        <v/>
      </c>
    </row>
    <row r="36">
      <c r="D36" s="4" t="n"/>
      <c r="E36" s="4" t="n"/>
      <c r="G36" s="11" t="n"/>
      <c r="H36" s="9">
        <f>IF(A36="","",IFERROR(E36/D36,0))</f>
        <v/>
      </c>
      <c r="I36" s="3">
        <f>IF(A36="","",IF(D36&gt;0,"Yes","No spend"))</f>
        <v/>
      </c>
      <c r="J36" s="3">
        <f>IF(A36="","",IF(D36=0,"Check target/activation",IF(C36="Seed","P2 keep (seeding)",IF(H36&gt;=G36,"P2 hero - scale",IF(H36&gt;=G36*0.7,"P1 watch","P0 fix opening")))))</f>
        <v/>
      </c>
    </row>
    <row r="37">
      <c r="D37" s="4" t="n"/>
      <c r="E37" s="4" t="n"/>
      <c r="G37" s="11" t="n"/>
      <c r="H37" s="9">
        <f>IF(A37="","",IFERROR(E37/D37,0))</f>
        <v/>
      </c>
      <c r="I37" s="3">
        <f>IF(A37="","",IF(D37&gt;0,"Yes","No spend"))</f>
        <v/>
      </c>
      <c r="J37" s="3">
        <f>IF(A37="","",IF(D37=0,"Check target/activation",IF(C37="Seed","P2 keep (seeding)",IF(H37&gt;=G37,"P2 hero - scale",IF(H37&gt;=G37*0.7,"P1 watch","P0 fix opening")))))</f>
        <v/>
      </c>
    </row>
    <row r="38">
      <c r="D38" s="4" t="n"/>
      <c r="E38" s="4" t="n"/>
      <c r="G38" s="11" t="n"/>
      <c r="H38" s="9">
        <f>IF(A38="","",IFERROR(E38/D38,0))</f>
        <v/>
      </c>
      <c r="I38" s="3">
        <f>IF(A38="","",IF(D38&gt;0,"Yes","No spend"))</f>
        <v/>
      </c>
      <c r="J38" s="3">
        <f>IF(A38="","",IF(D38=0,"Check target/activation",IF(C38="Seed","P2 keep (seeding)",IF(H38&gt;=G38,"P2 hero - scale",IF(H38&gt;=G38*0.7,"P1 watch","P0 fix opening")))))</f>
        <v/>
      </c>
    </row>
    <row r="39">
      <c r="D39" s="4" t="n"/>
      <c r="E39" s="4" t="n"/>
      <c r="G39" s="11" t="n"/>
      <c r="H39" s="9">
        <f>IF(A39="","",IFERROR(E39/D39,0))</f>
        <v/>
      </c>
      <c r="I39" s="3">
        <f>IF(A39="","",IF(D39&gt;0,"Yes","No spend"))</f>
        <v/>
      </c>
      <c r="J39" s="3">
        <f>IF(A39="","",IF(D39=0,"Check target/activation",IF(C39="Seed","P2 keep (seeding)",IF(H39&gt;=G39,"P2 hero - scale",IF(H39&gt;=G39*0.7,"P1 watch","P0 fix opening")))))</f>
        <v/>
      </c>
    </row>
    <row r="40">
      <c r="D40" s="4" t="n"/>
      <c r="E40" s="4" t="n"/>
      <c r="G40" s="11" t="n"/>
      <c r="H40" s="9">
        <f>IF(A40="","",IFERROR(E40/D40,0))</f>
        <v/>
      </c>
      <c r="I40" s="3">
        <f>IF(A40="","",IF(D40&gt;0,"Yes","No spend"))</f>
        <v/>
      </c>
      <c r="J40" s="3">
        <f>IF(A40="","",IF(D40=0,"Check target/activation",IF(C40="Seed","P2 keep (seeding)",IF(H40&gt;=G40,"P2 hero - scale",IF(H40&gt;=G40*0.7,"P1 watch","P0 fix opening")))))</f>
        <v/>
      </c>
    </row>
    <row r="41">
      <c r="D41" s="4" t="n"/>
      <c r="E41" s="4" t="n"/>
      <c r="G41" s="11" t="n"/>
      <c r="H41" s="9">
        <f>IF(A41="","",IFERROR(E41/D41,0))</f>
        <v/>
      </c>
      <c r="I41" s="3">
        <f>IF(A41="","",IF(D41&gt;0,"Yes","No spend"))</f>
        <v/>
      </c>
      <c r="J41" s="3">
        <f>IF(A41="","",IF(D41=0,"Check target/activation",IF(C41="Seed","P2 keep (seeding)",IF(H41&gt;=G41,"P2 hero - scale",IF(H41&gt;=G41*0.7,"P1 watch","P0 fix opening")))))</f>
        <v/>
      </c>
    </row>
    <row r="42">
      <c r="D42" s="4" t="n"/>
      <c r="E42" s="4" t="n"/>
      <c r="G42" s="11" t="n"/>
      <c r="H42" s="9">
        <f>IF(A42="","",IFERROR(E42/D42,0))</f>
        <v/>
      </c>
      <c r="I42" s="3">
        <f>IF(A42="","",IF(D42&gt;0,"Yes","No spend"))</f>
        <v/>
      </c>
      <c r="J42" s="3">
        <f>IF(A42="","",IF(D42=0,"Check target/activation",IF(C42="Seed","P2 keep (seeding)",IF(H42&gt;=G42,"P2 hero - scale",IF(H42&gt;=G42*0.7,"P1 watch","P0 fix opening")))))</f>
        <v/>
      </c>
    </row>
    <row r="43">
      <c r="D43" s="4" t="n"/>
      <c r="E43" s="4" t="n"/>
      <c r="G43" s="11" t="n"/>
      <c r="H43" s="9">
        <f>IF(A43="","",IFERROR(E43/D43,0))</f>
        <v/>
      </c>
      <c r="I43" s="3">
        <f>IF(A43="","",IF(D43&gt;0,"Yes","No spend"))</f>
        <v/>
      </c>
      <c r="J43" s="3">
        <f>IF(A43="","",IF(D43=0,"Check target/activation",IF(C43="Seed","P2 keep (seeding)",IF(H43&gt;=G43,"P2 hero - scale",IF(H43&gt;=G43*0.7,"P1 watch","P0 fix opening")))))</f>
        <v/>
      </c>
    </row>
    <row r="44">
      <c r="D44" s="4" t="n"/>
      <c r="E44" s="4" t="n"/>
      <c r="G44" s="11" t="n"/>
      <c r="H44" s="9">
        <f>IF(A44="","",IFERROR(E44/D44,0))</f>
        <v/>
      </c>
      <c r="I44" s="3">
        <f>IF(A44="","",IF(D44&gt;0,"Yes","No spend"))</f>
        <v/>
      </c>
      <c r="J44" s="3">
        <f>IF(A44="","",IF(D44=0,"Check target/activation",IF(C44="Seed","P2 keep (seeding)",IF(H44&gt;=G44,"P2 hero - scale",IF(H44&gt;=G44*0.7,"P1 watch","P0 fix opening")))))</f>
        <v/>
      </c>
    </row>
    <row r="45">
      <c r="D45" s="4" t="n"/>
      <c r="E45" s="4" t="n"/>
      <c r="G45" s="11" t="n"/>
      <c r="H45" s="9">
        <f>IF(A45="","",IFERROR(E45/D45,0))</f>
        <v/>
      </c>
      <c r="I45" s="3">
        <f>IF(A45="","",IF(D45&gt;0,"Yes","No spend"))</f>
        <v/>
      </c>
      <c r="J45" s="3">
        <f>IF(A45="","",IF(D45=0,"Check target/activation",IF(C45="Seed","P2 keep (seeding)",IF(H45&gt;=G45,"P2 hero - scale",IF(H45&gt;=G45*0.7,"P1 watch","P0 fix opening")))))</f>
        <v/>
      </c>
    </row>
    <row r="46">
      <c r="D46" s="4" t="n"/>
      <c r="E46" s="4" t="n"/>
      <c r="G46" s="11" t="n"/>
      <c r="H46" s="9">
        <f>IF(A46="","",IFERROR(E46/D46,0))</f>
        <v/>
      </c>
      <c r="I46" s="3">
        <f>IF(A46="","",IF(D46&gt;0,"Yes","No spend"))</f>
        <v/>
      </c>
      <c r="J46" s="3">
        <f>IF(A46="","",IF(D46=0,"Check target/activation",IF(C46="Seed","P2 keep (seeding)",IF(H46&gt;=G46,"P2 hero - scale",IF(H46&gt;=G46*0.7,"P1 watch","P0 fix opening")))))</f>
        <v/>
      </c>
    </row>
    <row r="47">
      <c r="D47" s="4" t="n"/>
      <c r="E47" s="4" t="n"/>
      <c r="G47" s="11" t="n"/>
      <c r="H47" s="9">
        <f>IF(A47="","",IFERROR(E47/D47,0))</f>
        <v/>
      </c>
      <c r="I47" s="3">
        <f>IF(A47="","",IF(D47&gt;0,"Yes","No spend"))</f>
        <v/>
      </c>
      <c r="J47" s="3">
        <f>IF(A47="","",IF(D47=0,"Check target/activation",IF(C47="Seed","P2 keep (seeding)",IF(H47&gt;=G47,"P2 hero - scale",IF(H47&gt;=G47*0.7,"P1 watch","P0 fix opening")))))</f>
        <v/>
      </c>
    </row>
    <row r="48">
      <c r="D48" s="4" t="n"/>
      <c r="E48" s="4" t="n"/>
      <c r="G48" s="11" t="n"/>
      <c r="H48" s="9">
        <f>IF(A48="","",IFERROR(E48/D48,0))</f>
        <v/>
      </c>
      <c r="I48" s="3">
        <f>IF(A48="","",IF(D48&gt;0,"Yes","No spend"))</f>
        <v/>
      </c>
      <c r="J48" s="3">
        <f>IF(A48="","",IF(D48=0,"Check target/activation",IF(C48="Seed","P2 keep (seeding)",IF(H48&gt;=G48,"P2 hero - scale",IF(H48&gt;=G48*0.7,"P1 watch","P0 fix opening")))))</f>
        <v/>
      </c>
    </row>
    <row r="49">
      <c r="D49" s="4" t="n"/>
      <c r="E49" s="4" t="n"/>
      <c r="G49" s="11" t="n"/>
      <c r="H49" s="9">
        <f>IF(A49="","",IFERROR(E49/D49,0))</f>
        <v/>
      </c>
      <c r="I49" s="3">
        <f>IF(A49="","",IF(D49&gt;0,"Yes","No spend"))</f>
        <v/>
      </c>
      <c r="J49" s="3">
        <f>IF(A49="","",IF(D49=0,"Check target/activation",IF(C49="Seed","P2 keep (seeding)",IF(H49&gt;=G49,"P2 hero - scale",IF(H49&gt;=G49*0.7,"P1 watch","P0 fix opening")))))</f>
        <v/>
      </c>
    </row>
    <row r="50">
      <c r="D50" s="4" t="n"/>
      <c r="E50" s="4" t="n"/>
      <c r="G50" s="11" t="n"/>
      <c r="H50" s="9">
        <f>IF(A50="","",IFERROR(E50/D50,0))</f>
        <v/>
      </c>
      <c r="I50" s="3">
        <f>IF(A50="","",IF(D50&gt;0,"Yes","No spend"))</f>
        <v/>
      </c>
      <c r="J50" s="3">
        <f>IF(A50="","",IF(D50=0,"Check target/activation",IF(C50="Seed","P2 keep (seeding)",IF(H50&gt;=G50,"P2 hero - scale",IF(H50&gt;=G50*0.7,"P1 watch","P0 fix opening")))))</f>
        <v/>
      </c>
    </row>
    <row r="51">
      <c r="D51" s="4" t="n"/>
      <c r="E51" s="4" t="n"/>
      <c r="G51" s="11" t="n"/>
      <c r="H51" s="9">
        <f>IF(A51="","",IFERROR(E51/D51,0))</f>
        <v/>
      </c>
      <c r="I51" s="3">
        <f>IF(A51="","",IF(D51&gt;0,"Yes","No spend"))</f>
        <v/>
      </c>
      <c r="J51" s="3">
        <f>IF(A51="","",IF(D51=0,"Check target/activation",IF(C51="Seed","P2 keep (seeding)",IF(H51&gt;=G51,"P2 hero - scale",IF(H51&gt;=G51*0.7,"P1 watch","P0 fix opening")))))</f>
        <v/>
      </c>
    </row>
    <row r="52">
      <c r="D52" s="4" t="n"/>
      <c r="E52" s="4" t="n"/>
      <c r="G52" s="11" t="n"/>
      <c r="H52" s="9">
        <f>IF(A52="","",IFERROR(E52/D52,0))</f>
        <v/>
      </c>
      <c r="I52" s="3">
        <f>IF(A52="","",IF(D52&gt;0,"Yes","No spend"))</f>
        <v/>
      </c>
      <c r="J52" s="3">
        <f>IF(A52="","",IF(D52=0,"Check target/activation",IF(C52="Seed","P2 keep (seeding)",IF(H52&gt;=G52,"P2 hero - scale",IF(H52&gt;=G52*0.7,"P1 watch","P0 fix opening")))))</f>
        <v/>
      </c>
    </row>
    <row r="53">
      <c r="D53" s="4" t="n"/>
      <c r="E53" s="4" t="n"/>
      <c r="G53" s="11" t="n"/>
      <c r="H53" s="9">
        <f>IF(A53="","",IFERROR(E53/D53,0))</f>
        <v/>
      </c>
      <c r="I53" s="3">
        <f>IF(A53="","",IF(D53&gt;0,"Yes","No spend"))</f>
        <v/>
      </c>
      <c r="J53" s="3">
        <f>IF(A53="","",IF(D53=0,"Check target/activation",IF(C53="Seed","P2 keep (seeding)",IF(H53&gt;=G53,"P2 hero - scale",IF(H53&gt;=G53*0.7,"P1 watch","P0 fix opening")))))</f>
        <v/>
      </c>
    </row>
    <row r="54">
      <c r="D54" s="4" t="n"/>
      <c r="E54" s="4" t="n"/>
      <c r="G54" s="11" t="n"/>
      <c r="H54" s="9">
        <f>IF(A54="","",IFERROR(E54/D54,0))</f>
        <v/>
      </c>
      <c r="I54" s="3">
        <f>IF(A54="","",IF(D54&gt;0,"Yes","No spend"))</f>
        <v/>
      </c>
      <c r="J54" s="3">
        <f>IF(A54="","",IF(D54=0,"Check target/activation",IF(C54="Seed","P2 keep (seeding)",IF(H54&gt;=G54,"P2 hero - scale",IF(H54&gt;=G54*0.7,"P1 watch","P0 fix opening")))))</f>
        <v/>
      </c>
    </row>
    <row r="55">
      <c r="D55" s="4" t="n"/>
      <c r="E55" s="4" t="n"/>
      <c r="G55" s="11" t="n"/>
      <c r="H55" s="9">
        <f>IF(A55="","",IFERROR(E55/D55,0))</f>
        <v/>
      </c>
      <c r="I55" s="3">
        <f>IF(A55="","",IF(D55&gt;0,"Yes","No spend"))</f>
        <v/>
      </c>
      <c r="J55" s="3">
        <f>IF(A55="","",IF(D55=0,"Check target/activation",IF(C55="Seed","P2 keep (seeding)",IF(H55&gt;=G55,"P2 hero - scale",IF(H55&gt;=G55*0.7,"P1 watch","P0 fix opening")))))</f>
        <v/>
      </c>
    </row>
    <row r="56">
      <c r="D56" s="4" t="n"/>
      <c r="E56" s="4" t="n"/>
      <c r="G56" s="11" t="n"/>
      <c r="H56" s="9">
        <f>IF(A56="","",IFERROR(E56/D56,0))</f>
        <v/>
      </c>
      <c r="I56" s="3">
        <f>IF(A56="","",IF(D56&gt;0,"Yes","No spend"))</f>
        <v/>
      </c>
      <c r="J56" s="3">
        <f>IF(A56="","",IF(D56=0,"Check target/activation",IF(C56="Seed","P2 keep (seeding)",IF(H56&gt;=G56,"P2 hero - scale",IF(H56&gt;=G56*0.7,"P1 watch","P0 fix opening")))))</f>
        <v/>
      </c>
    </row>
    <row r="57">
      <c r="D57" s="4" t="n"/>
      <c r="E57" s="4" t="n"/>
      <c r="G57" s="11" t="n"/>
      <c r="H57" s="9">
        <f>IF(A57="","",IFERROR(E57/D57,0))</f>
        <v/>
      </c>
      <c r="I57" s="3">
        <f>IF(A57="","",IF(D57&gt;0,"Yes","No spend"))</f>
        <v/>
      </c>
      <c r="J57" s="3">
        <f>IF(A57="","",IF(D57=0,"Check target/activation",IF(C57="Seed","P2 keep (seeding)",IF(H57&gt;=G57,"P2 hero - scale",IF(H57&gt;=G57*0.7,"P1 watch","P0 fix opening")))))</f>
        <v/>
      </c>
    </row>
    <row r="58">
      <c r="D58" s="4" t="n"/>
      <c r="E58" s="4" t="n"/>
      <c r="G58" s="11" t="n"/>
      <c r="H58" s="9">
        <f>IF(A58="","",IFERROR(E58/D58,0))</f>
        <v/>
      </c>
      <c r="I58" s="3">
        <f>IF(A58="","",IF(D58&gt;0,"Yes","No spend"))</f>
        <v/>
      </c>
      <c r="J58" s="3">
        <f>IF(A58="","",IF(D58=0,"Check target/activation",IF(C58="Seed","P2 keep (seeding)",IF(H58&gt;=G58,"P2 hero - scale",IF(H58&gt;=G58*0.7,"P1 watch","P0 fix opening")))))</f>
        <v/>
      </c>
    </row>
    <row r="59">
      <c r="D59" s="4" t="n"/>
      <c r="E59" s="4" t="n"/>
      <c r="G59" s="11" t="n"/>
      <c r="H59" s="9">
        <f>IF(A59="","",IFERROR(E59/D59,0))</f>
        <v/>
      </c>
      <c r="I59" s="3">
        <f>IF(A59="","",IF(D59&gt;0,"Yes","No spend"))</f>
        <v/>
      </c>
      <c r="J59" s="3">
        <f>IF(A59="","",IF(D59=0,"Check target/activation",IF(C59="Seed","P2 keep (seeding)",IF(H59&gt;=G59,"P2 hero - scale",IF(H59&gt;=G59*0.7,"P1 watch","P0 fix opening")))))</f>
        <v/>
      </c>
    </row>
    <row r="60">
      <c r="D60" s="4" t="n"/>
      <c r="E60" s="4" t="n"/>
      <c r="G60" s="11" t="n"/>
      <c r="H60" s="9">
        <f>IF(A60="","",IFERROR(E60/D60,0))</f>
        <v/>
      </c>
      <c r="I60" s="3">
        <f>IF(A60="","",IF(D60&gt;0,"Yes","No spend"))</f>
        <v/>
      </c>
      <c r="J60" s="3">
        <f>IF(A60="","",IF(D60=0,"Check target/activation",IF(C60="Seed","P2 keep (seeding)",IF(H60&gt;=G60,"P2 hero - scale",IF(H60&gt;=G60*0.7,"P1 watch","P0 fix opening")))))</f>
        <v/>
      </c>
    </row>
    <row r="61">
      <c r="D61" s="4" t="n"/>
      <c r="E61" s="4" t="n"/>
      <c r="G61" s="11" t="n"/>
      <c r="H61" s="9">
        <f>IF(A61="","",IFERROR(E61/D61,0))</f>
        <v/>
      </c>
      <c r="I61" s="3">
        <f>IF(A61="","",IF(D61&gt;0,"Yes","No spend"))</f>
        <v/>
      </c>
      <c r="J61" s="3">
        <f>IF(A61="","",IF(D61=0,"Check target/activation",IF(C61="Seed","P2 keep (seeding)",IF(H61&gt;=G61,"P2 hero - scale",IF(H61&gt;=G61*0.7,"P1 watch","P0 fix opening")))))</f>
        <v/>
      </c>
    </row>
    <row r="62">
      <c r="D62" s="4" t="n"/>
      <c r="E62" s="4" t="n"/>
      <c r="G62" s="11" t="n"/>
      <c r="H62" s="9">
        <f>IF(A62="","",IFERROR(E62/D62,0))</f>
        <v/>
      </c>
      <c r="I62" s="3">
        <f>IF(A62="","",IF(D62&gt;0,"Yes","No spend"))</f>
        <v/>
      </c>
      <c r="J62" s="3">
        <f>IF(A62="","",IF(D62=0,"Check target/activation",IF(C62="Seed","P2 keep (seeding)",IF(H62&gt;=G62,"P2 hero - scale",IF(H62&gt;=G62*0.7,"P1 watch","P0 fix opening")))))</f>
        <v/>
      </c>
    </row>
    <row r="63">
      <c r="D63" s="4" t="n"/>
      <c r="E63" s="4" t="n"/>
      <c r="G63" s="11" t="n"/>
      <c r="H63" s="9">
        <f>IF(A63="","",IFERROR(E63/D63,0))</f>
        <v/>
      </c>
      <c r="I63" s="3">
        <f>IF(A63="","",IF(D63&gt;0,"Yes","No spend"))</f>
        <v/>
      </c>
      <c r="J63" s="3">
        <f>IF(A63="","",IF(D63=0,"Check target/activation",IF(C63="Seed","P2 keep (seeding)",IF(H63&gt;=G63,"P2 hero - scale",IF(H63&gt;=G63*0.7,"P1 watch","P0 fix opening")))))</f>
        <v/>
      </c>
    </row>
    <row r="64">
      <c r="D64" s="4" t="n"/>
      <c r="E64" s="4" t="n"/>
      <c r="G64" s="11" t="n"/>
      <c r="H64" s="9">
        <f>IF(A64="","",IFERROR(E64/D64,0))</f>
        <v/>
      </c>
      <c r="I64" s="3">
        <f>IF(A64="","",IF(D64&gt;0,"Yes","No spend"))</f>
        <v/>
      </c>
      <c r="J64" s="3">
        <f>IF(A64="","",IF(D64=0,"Check target/activation",IF(C64="Seed","P2 keep (seeding)",IF(H64&gt;=G64,"P2 hero - scale",IF(H64&gt;=G64*0.7,"P1 watch","P0 fix opening")))))</f>
        <v/>
      </c>
    </row>
    <row r="65">
      <c r="D65" s="4" t="n"/>
      <c r="E65" s="4" t="n"/>
      <c r="G65" s="11" t="n"/>
      <c r="H65" s="9">
        <f>IF(A65="","",IFERROR(E65/D65,0))</f>
        <v/>
      </c>
      <c r="I65" s="3">
        <f>IF(A65="","",IF(D65&gt;0,"Yes","No spend"))</f>
        <v/>
      </c>
      <c r="J65" s="3">
        <f>IF(A65="","",IF(D65=0,"Check target/activation",IF(C65="Seed","P2 keep (seeding)",IF(H65&gt;=G65,"P2 hero - scale",IF(H65&gt;=G65*0.7,"P1 watch","P0 fix opening")))))</f>
        <v/>
      </c>
    </row>
    <row r="66">
      <c r="D66" s="4" t="n"/>
      <c r="E66" s="4" t="n"/>
      <c r="G66" s="11" t="n"/>
      <c r="H66" s="9">
        <f>IF(A66="","",IFERROR(E66/D66,0))</f>
        <v/>
      </c>
      <c r="I66" s="3">
        <f>IF(A66="","",IF(D66&gt;0,"Yes","No spend"))</f>
        <v/>
      </c>
      <c r="J66" s="3">
        <f>IF(A66="","",IF(D66=0,"Check target/activation",IF(C66="Seed","P2 keep (seeding)",IF(H66&gt;=G66,"P2 hero - scale",IF(H66&gt;=G66*0.7,"P1 watch","P0 fix opening")))))</f>
        <v/>
      </c>
    </row>
    <row r="67">
      <c r="D67" s="4" t="n"/>
      <c r="E67" s="4" t="n"/>
      <c r="G67" s="11" t="n"/>
      <c r="H67" s="9">
        <f>IF(A67="","",IFERROR(E67/D67,0))</f>
        <v/>
      </c>
      <c r="I67" s="3">
        <f>IF(A67="","",IF(D67&gt;0,"Yes","No spend"))</f>
        <v/>
      </c>
      <c r="J67" s="3">
        <f>IF(A67="","",IF(D67=0,"Check target/activation",IF(C67="Seed","P2 keep (seeding)",IF(H67&gt;=G67,"P2 hero - scale",IF(H67&gt;=G67*0.7,"P1 watch","P0 fix opening")))))</f>
        <v/>
      </c>
    </row>
    <row r="68">
      <c r="D68" s="4" t="n"/>
      <c r="E68" s="4" t="n"/>
      <c r="G68" s="11" t="n"/>
      <c r="H68" s="9">
        <f>IF(A68="","",IFERROR(E68/D68,0))</f>
        <v/>
      </c>
      <c r="I68" s="3">
        <f>IF(A68="","",IF(D68&gt;0,"Yes","No spend"))</f>
        <v/>
      </c>
      <c r="J68" s="3">
        <f>IF(A68="","",IF(D68=0,"Check target/activation",IF(C68="Seed","P2 keep (seeding)",IF(H68&gt;=G68,"P2 hero - scale",IF(H68&gt;=G68*0.7,"P1 watch","P0 fix opening")))))</f>
        <v/>
      </c>
    </row>
    <row r="69">
      <c r="D69" s="4" t="n"/>
      <c r="E69" s="4" t="n"/>
      <c r="G69" s="11" t="n"/>
      <c r="H69" s="9">
        <f>IF(A69="","",IFERROR(E69/D69,0))</f>
        <v/>
      </c>
      <c r="I69" s="3">
        <f>IF(A69="","",IF(D69&gt;0,"Yes","No spend"))</f>
        <v/>
      </c>
      <c r="J69" s="3">
        <f>IF(A69="","",IF(D69=0,"Check target/activation",IF(C69="Seed","P2 keep (seeding)",IF(H69&gt;=G69,"P2 hero - scale",IF(H69&gt;=G69*0.7,"P1 watch","P0 fix opening")))))</f>
        <v/>
      </c>
    </row>
    <row r="70">
      <c r="D70" s="4" t="n"/>
      <c r="E70" s="4" t="n"/>
      <c r="G70" s="11" t="n"/>
      <c r="H70" s="9">
        <f>IF(A70="","",IFERROR(E70/D70,0))</f>
        <v/>
      </c>
      <c r="I70" s="3">
        <f>IF(A70="","",IF(D70&gt;0,"Yes","No spend"))</f>
        <v/>
      </c>
      <c r="J70" s="3">
        <f>IF(A70="","",IF(D70=0,"Check target/activation",IF(C70="Seed","P2 keep (seeding)",IF(H70&gt;=G70,"P2 hero - scale",IF(H70&gt;=G70*0.7,"P1 watch","P0 fix opening")))))</f>
        <v/>
      </c>
    </row>
    <row r="71">
      <c r="D71" s="4" t="n"/>
      <c r="E71" s="4" t="n"/>
      <c r="G71" s="11" t="n"/>
      <c r="H71" s="9">
        <f>IF(A71="","",IFERROR(E71/D71,0))</f>
        <v/>
      </c>
      <c r="I71" s="3">
        <f>IF(A71="","",IF(D71&gt;0,"Yes","No spend"))</f>
        <v/>
      </c>
      <c r="J71" s="3">
        <f>IF(A71="","",IF(D71=0,"Check target/activation",IF(C71="Seed","P2 keep (seeding)",IF(H71&gt;=G71,"P2 hero - scale",IF(H71&gt;=G71*0.7,"P1 watch","P0 fix opening")))))</f>
        <v/>
      </c>
    </row>
    <row r="72">
      <c r="D72" s="4" t="n"/>
      <c r="E72" s="4" t="n"/>
      <c r="G72" s="11" t="n"/>
      <c r="H72" s="9">
        <f>IF(A72="","",IFERROR(E72/D72,0))</f>
        <v/>
      </c>
      <c r="I72" s="3">
        <f>IF(A72="","",IF(D72&gt;0,"Yes","No spend"))</f>
        <v/>
      </c>
      <c r="J72" s="3">
        <f>IF(A72="","",IF(D72=0,"Check target/activation",IF(C72="Seed","P2 keep (seeding)",IF(H72&gt;=G72,"P2 hero - scale",IF(H72&gt;=G72*0.7,"P1 watch","P0 fix opening")))))</f>
        <v/>
      </c>
    </row>
    <row r="73">
      <c r="D73" s="4" t="n"/>
      <c r="E73" s="4" t="n"/>
      <c r="G73" s="11" t="n"/>
      <c r="H73" s="9">
        <f>IF(A73="","",IFERROR(E73/D73,0))</f>
        <v/>
      </c>
      <c r="I73" s="3">
        <f>IF(A73="","",IF(D73&gt;0,"Yes","No spend"))</f>
        <v/>
      </c>
      <c r="J73" s="3">
        <f>IF(A73="","",IF(D73=0,"Check target/activation",IF(C73="Seed","P2 keep (seeding)",IF(H73&gt;=G73,"P2 hero - scale",IF(H73&gt;=G73*0.7,"P1 watch","P0 fix opening")))))</f>
        <v/>
      </c>
    </row>
    <row r="74">
      <c r="D74" s="4" t="n"/>
      <c r="E74" s="4" t="n"/>
      <c r="G74" s="11" t="n"/>
      <c r="H74" s="9">
        <f>IF(A74="","",IFERROR(E74/D74,0))</f>
        <v/>
      </c>
      <c r="I74" s="3">
        <f>IF(A74="","",IF(D74&gt;0,"Yes","No spend"))</f>
        <v/>
      </c>
      <c r="J74" s="3">
        <f>IF(A74="","",IF(D74=0,"Check target/activation",IF(C74="Seed","P2 keep (seeding)",IF(H74&gt;=G74,"P2 hero - scale",IF(H74&gt;=G74*0.7,"P1 watch","P0 fix opening")))))</f>
        <v/>
      </c>
    </row>
    <row r="75">
      <c r="D75" s="4" t="n"/>
      <c r="E75" s="4" t="n"/>
      <c r="G75" s="11" t="n"/>
      <c r="H75" s="9">
        <f>IF(A75="","",IFERROR(E75/D75,0))</f>
        <v/>
      </c>
      <c r="I75" s="3">
        <f>IF(A75="","",IF(D75&gt;0,"Yes","No spend"))</f>
        <v/>
      </c>
      <c r="J75" s="3">
        <f>IF(A75="","",IF(D75=0,"Check target/activation",IF(C75="Seed","P2 keep (seeding)",IF(H75&gt;=G75,"P2 hero - scale",IF(H75&gt;=G75*0.7,"P1 watch","P0 fix opening")))))</f>
        <v/>
      </c>
    </row>
    <row r="76">
      <c r="D76" s="4" t="n"/>
      <c r="E76" s="4" t="n"/>
      <c r="G76" s="11" t="n"/>
      <c r="H76" s="9">
        <f>IF(A76="","",IFERROR(E76/D76,0))</f>
        <v/>
      </c>
      <c r="I76" s="3">
        <f>IF(A76="","",IF(D76&gt;0,"Yes","No spend"))</f>
        <v/>
      </c>
      <c r="J76" s="3">
        <f>IF(A76="","",IF(D76=0,"Check target/activation",IF(C76="Seed","P2 keep (seeding)",IF(H76&gt;=G76,"P2 hero - scale",IF(H76&gt;=G76*0.7,"P1 watch","P0 fix opening")))))</f>
        <v/>
      </c>
    </row>
    <row r="77">
      <c r="D77" s="4" t="n"/>
      <c r="E77" s="4" t="n"/>
      <c r="G77" s="11" t="n"/>
      <c r="H77" s="9">
        <f>IF(A77="","",IFERROR(E77/D77,0))</f>
        <v/>
      </c>
      <c r="I77" s="3">
        <f>IF(A77="","",IF(D77&gt;0,"Yes","No spend"))</f>
        <v/>
      </c>
      <c r="J77" s="3">
        <f>IF(A77="","",IF(D77=0,"Check target/activation",IF(C77="Seed","P2 keep (seeding)",IF(H77&gt;=G77,"P2 hero - scale",IF(H77&gt;=G77*0.7,"P1 watch","P0 fix opening")))))</f>
        <v/>
      </c>
    </row>
    <row r="78">
      <c r="D78" s="4" t="n"/>
      <c r="E78" s="4" t="n"/>
      <c r="G78" s="11" t="n"/>
      <c r="H78" s="9">
        <f>IF(A78="","",IFERROR(E78/D78,0))</f>
        <v/>
      </c>
      <c r="I78" s="3">
        <f>IF(A78="","",IF(D78&gt;0,"Yes","No spend"))</f>
        <v/>
      </c>
      <c r="J78" s="3">
        <f>IF(A78="","",IF(D78=0,"Check target/activation",IF(C78="Seed","P2 keep (seeding)",IF(H78&gt;=G78,"P2 hero - scale",IF(H78&gt;=G78*0.7,"P1 watch","P0 fix opening")))))</f>
        <v/>
      </c>
    </row>
    <row r="79">
      <c r="D79" s="4" t="n"/>
      <c r="E79" s="4" t="n"/>
      <c r="G79" s="11" t="n"/>
      <c r="H79" s="9">
        <f>IF(A79="","",IFERROR(E79/D79,0))</f>
        <v/>
      </c>
      <c r="I79" s="3">
        <f>IF(A79="","",IF(D79&gt;0,"Yes","No spend"))</f>
        <v/>
      </c>
      <c r="J79" s="3">
        <f>IF(A79="","",IF(D79=0,"Check target/activation",IF(C79="Seed","P2 keep (seeding)",IF(H79&gt;=G79,"P2 hero - scale",IF(H79&gt;=G79*0.7,"P1 watch","P0 fix opening")))))</f>
        <v/>
      </c>
    </row>
    <row r="80">
      <c r="D80" s="4" t="n"/>
      <c r="E80" s="4" t="n"/>
      <c r="G80" s="11" t="n"/>
      <c r="H80" s="9">
        <f>IF(A80="","",IFERROR(E80/D80,0))</f>
        <v/>
      </c>
      <c r="I80" s="3">
        <f>IF(A80="","",IF(D80&gt;0,"Yes","No spend"))</f>
        <v/>
      </c>
      <c r="J80" s="3">
        <f>IF(A80="","",IF(D80=0,"Check target/activation",IF(C80="Seed","P2 keep (seeding)",IF(H80&gt;=G80,"P2 hero - scale",IF(H80&gt;=G80*0.7,"P1 watch","P0 fix opening")))))</f>
        <v/>
      </c>
    </row>
    <row r="81">
      <c r="D81" s="4" t="n"/>
      <c r="E81" s="4" t="n"/>
      <c r="G81" s="11" t="n"/>
      <c r="H81" s="9">
        <f>IF(A81="","",IFERROR(E81/D81,0))</f>
        <v/>
      </c>
      <c r="I81" s="3">
        <f>IF(A81="","",IF(D81&gt;0,"Yes","No spend"))</f>
        <v/>
      </c>
      <c r="J81" s="3">
        <f>IF(A81="","",IF(D81=0,"Check target/activation",IF(C81="Seed","P2 keep (seeding)",IF(H81&gt;=G81,"P2 hero - scale",IF(H81&gt;=G81*0.7,"P1 watch","P0 fix opening")))))</f>
        <v/>
      </c>
    </row>
    <row r="82">
      <c r="D82" s="4" t="n"/>
      <c r="E82" s="4" t="n"/>
      <c r="G82" s="11" t="n"/>
      <c r="H82" s="9">
        <f>IF(A82="","",IFERROR(E82/D82,0))</f>
        <v/>
      </c>
      <c r="I82" s="3">
        <f>IF(A82="","",IF(D82&gt;0,"Yes","No spend"))</f>
        <v/>
      </c>
      <c r="J82" s="3">
        <f>IF(A82="","",IF(D82=0,"Check target/activation",IF(C82="Seed","P2 keep (seeding)",IF(H82&gt;=G82,"P2 hero - scale",IF(H82&gt;=G82*0.7,"P1 watch","P0 fix opening")))))</f>
        <v/>
      </c>
    </row>
    <row r="83">
      <c r="D83" s="4" t="n"/>
      <c r="E83" s="4" t="n"/>
      <c r="G83" s="11" t="n"/>
      <c r="H83" s="9">
        <f>IF(A83="","",IFERROR(E83/D83,0))</f>
        <v/>
      </c>
      <c r="I83" s="3">
        <f>IF(A83="","",IF(D83&gt;0,"Yes","No spend"))</f>
        <v/>
      </c>
      <c r="J83" s="3">
        <f>IF(A83="","",IF(D83=0,"Check target/activation",IF(C83="Seed","P2 keep (seeding)",IF(H83&gt;=G83,"P2 hero - scale",IF(H83&gt;=G83*0.7,"P1 watch","P0 fix opening")))))</f>
        <v/>
      </c>
    </row>
    <row r="84">
      <c r="D84" s="4" t="n"/>
      <c r="E84" s="4" t="n"/>
      <c r="G84" s="11" t="n"/>
      <c r="H84" s="9">
        <f>IF(A84="","",IFERROR(E84/D84,0))</f>
        <v/>
      </c>
      <c r="I84" s="3">
        <f>IF(A84="","",IF(D84&gt;0,"Yes","No spend"))</f>
        <v/>
      </c>
      <c r="J84" s="3">
        <f>IF(A84="","",IF(D84=0,"Check target/activation",IF(C84="Seed","P2 keep (seeding)",IF(H84&gt;=G84,"P2 hero - scale",IF(H84&gt;=G84*0.7,"P1 watch","P0 fix opening")))))</f>
        <v/>
      </c>
    </row>
    <row r="85">
      <c r="D85" s="4" t="n"/>
      <c r="E85" s="4" t="n"/>
      <c r="G85" s="11" t="n"/>
      <c r="H85" s="9">
        <f>IF(A85="","",IFERROR(E85/D85,0))</f>
        <v/>
      </c>
      <c r="I85" s="3">
        <f>IF(A85="","",IF(D85&gt;0,"Yes","No spend"))</f>
        <v/>
      </c>
      <c r="J85" s="3">
        <f>IF(A85="","",IF(D85=0,"Check target/activation",IF(C85="Seed","P2 keep (seeding)",IF(H85&gt;=G85,"P2 hero - scale",IF(H85&gt;=G85*0.7,"P1 watch","P0 fix opening")))))</f>
        <v/>
      </c>
    </row>
    <row r="86">
      <c r="D86" s="4" t="n"/>
      <c r="E86" s="4" t="n"/>
      <c r="G86" s="11" t="n"/>
      <c r="H86" s="9">
        <f>IF(A86="","",IFERROR(E86/D86,0))</f>
        <v/>
      </c>
      <c r="I86" s="3">
        <f>IF(A86="","",IF(D86&gt;0,"Yes","No spend"))</f>
        <v/>
      </c>
      <c r="J86" s="3">
        <f>IF(A86="","",IF(D86=0,"Check target/activation",IF(C86="Seed","P2 keep (seeding)",IF(H86&gt;=G86,"P2 hero - scale",IF(H86&gt;=G86*0.7,"P1 watch","P0 fix opening")))))</f>
        <v/>
      </c>
    </row>
    <row r="87">
      <c r="D87" s="4" t="n"/>
      <c r="E87" s="4" t="n"/>
      <c r="G87" s="11" t="n"/>
      <c r="H87" s="9">
        <f>IF(A87="","",IFERROR(E87/D87,0))</f>
        <v/>
      </c>
      <c r="I87" s="3">
        <f>IF(A87="","",IF(D87&gt;0,"Yes","No spend"))</f>
        <v/>
      </c>
      <c r="J87" s="3">
        <f>IF(A87="","",IF(D87=0,"Check target/activation",IF(C87="Seed","P2 keep (seeding)",IF(H87&gt;=G87,"P2 hero - scale",IF(H87&gt;=G87*0.7,"P1 watch","P0 fix opening")))))</f>
        <v/>
      </c>
    </row>
    <row r="88">
      <c r="D88" s="4" t="n"/>
      <c r="E88" s="4" t="n"/>
      <c r="G88" s="11" t="n"/>
      <c r="H88" s="9">
        <f>IF(A88="","",IFERROR(E88/D88,0))</f>
        <v/>
      </c>
      <c r="I88" s="3">
        <f>IF(A88="","",IF(D88&gt;0,"Yes","No spend"))</f>
        <v/>
      </c>
      <c r="J88" s="3">
        <f>IF(A88="","",IF(D88=0,"Check target/activation",IF(C88="Seed","P2 keep (seeding)",IF(H88&gt;=G88,"P2 hero - scale",IF(H88&gt;=G88*0.7,"P1 watch","P0 fix opening")))))</f>
        <v/>
      </c>
    </row>
    <row r="89">
      <c r="D89" s="4" t="n"/>
      <c r="E89" s="4" t="n"/>
      <c r="G89" s="11" t="n"/>
      <c r="H89" s="9">
        <f>IF(A89="","",IFERROR(E89/D89,0))</f>
        <v/>
      </c>
      <c r="I89" s="3">
        <f>IF(A89="","",IF(D89&gt;0,"Yes","No spend"))</f>
        <v/>
      </c>
      <c r="J89" s="3">
        <f>IF(A89="","",IF(D89=0,"Check target/activation",IF(C89="Seed","P2 keep (seeding)",IF(H89&gt;=G89,"P2 hero - scale",IF(H89&gt;=G89*0.7,"P1 watch","P0 fix opening")))))</f>
        <v/>
      </c>
    </row>
    <row r="90">
      <c r="D90" s="4" t="n"/>
      <c r="E90" s="4" t="n"/>
      <c r="G90" s="11" t="n"/>
      <c r="H90" s="9">
        <f>IF(A90="","",IFERROR(E90/D90,0))</f>
        <v/>
      </c>
      <c r="I90" s="3">
        <f>IF(A90="","",IF(D90&gt;0,"Yes","No spend"))</f>
        <v/>
      </c>
      <c r="J90" s="3">
        <f>IF(A90="","",IF(D90=0,"Check target/activation",IF(C90="Seed","P2 keep (seeding)",IF(H90&gt;=G90,"P2 hero - scale",IF(H90&gt;=G90*0.7,"P1 watch","P0 fix opening")))))</f>
        <v/>
      </c>
    </row>
    <row r="91">
      <c r="D91" s="4" t="n"/>
      <c r="E91" s="4" t="n"/>
      <c r="G91" s="11" t="n"/>
      <c r="H91" s="9">
        <f>IF(A91="","",IFERROR(E91/D91,0))</f>
        <v/>
      </c>
      <c r="I91" s="3">
        <f>IF(A91="","",IF(D91&gt;0,"Yes","No spend"))</f>
        <v/>
      </c>
      <c r="J91" s="3">
        <f>IF(A91="","",IF(D91=0,"Check target/activation",IF(C91="Seed","P2 keep (seeding)",IF(H91&gt;=G91,"P2 hero - scale",IF(H91&gt;=G91*0.7,"P1 watch","P0 fix opening")))))</f>
        <v/>
      </c>
    </row>
    <row r="92">
      <c r="D92" s="4" t="n"/>
      <c r="E92" s="4" t="n"/>
      <c r="G92" s="11" t="n"/>
      <c r="H92" s="9">
        <f>IF(A92="","",IFERROR(E92/D92,0))</f>
        <v/>
      </c>
      <c r="I92" s="3">
        <f>IF(A92="","",IF(D92&gt;0,"Yes","No spend"))</f>
        <v/>
      </c>
      <c r="J92" s="3">
        <f>IF(A92="","",IF(D92=0,"Check target/activation",IF(C92="Seed","P2 keep (seeding)",IF(H92&gt;=G92,"P2 hero - scale",IF(H92&gt;=G92*0.7,"P1 watch","P0 fix opening")))))</f>
        <v/>
      </c>
    </row>
    <row r="93">
      <c r="D93" s="4" t="n"/>
      <c r="E93" s="4" t="n"/>
      <c r="G93" s="11" t="n"/>
      <c r="H93" s="9">
        <f>IF(A93="","",IFERROR(E93/D93,0))</f>
        <v/>
      </c>
      <c r="I93" s="3">
        <f>IF(A93="","",IF(D93&gt;0,"Yes","No spend"))</f>
        <v/>
      </c>
      <c r="J93" s="3">
        <f>IF(A93="","",IF(D93=0,"Check target/activation",IF(C93="Seed","P2 keep (seeding)",IF(H93&gt;=G93,"P2 hero - scale",IF(H93&gt;=G93*0.7,"P1 watch","P0 fix opening")))))</f>
        <v/>
      </c>
    </row>
    <row r="94">
      <c r="D94" s="4" t="n"/>
      <c r="E94" s="4" t="n"/>
      <c r="G94" s="11" t="n"/>
      <c r="H94" s="9">
        <f>IF(A94="","",IFERROR(E94/D94,0))</f>
        <v/>
      </c>
      <c r="I94" s="3">
        <f>IF(A94="","",IF(D94&gt;0,"Yes","No spend"))</f>
        <v/>
      </c>
      <c r="J94" s="3">
        <f>IF(A94="","",IF(D94=0,"Check target/activation",IF(C94="Seed","P2 keep (seeding)",IF(H94&gt;=G94,"P2 hero - scale",IF(H94&gt;=G94*0.7,"P1 watch","P0 fix opening")))))</f>
        <v/>
      </c>
    </row>
    <row r="95">
      <c r="D95" s="4" t="n"/>
      <c r="E95" s="4" t="n"/>
      <c r="G95" s="11" t="n"/>
      <c r="H95" s="9">
        <f>IF(A95="","",IFERROR(E95/D95,0))</f>
        <v/>
      </c>
      <c r="I95" s="3">
        <f>IF(A95="","",IF(D95&gt;0,"Yes","No spend"))</f>
        <v/>
      </c>
      <c r="J95" s="3">
        <f>IF(A95="","",IF(D95=0,"Check target/activation",IF(C95="Seed","P2 keep (seeding)",IF(H95&gt;=G95,"P2 hero - scale",IF(H95&gt;=G95*0.7,"P1 watch","P0 fix opening")))))</f>
        <v/>
      </c>
    </row>
    <row r="96">
      <c r="D96" s="4" t="n"/>
      <c r="E96" s="4" t="n"/>
      <c r="G96" s="11" t="n"/>
      <c r="H96" s="9">
        <f>IF(A96="","",IFERROR(E96/D96,0))</f>
        <v/>
      </c>
      <c r="I96" s="3">
        <f>IF(A96="","",IF(D96&gt;0,"Yes","No spend"))</f>
        <v/>
      </c>
      <c r="J96" s="3">
        <f>IF(A96="","",IF(D96=0,"Check target/activation",IF(C96="Seed","P2 keep (seeding)",IF(H96&gt;=G96,"P2 hero - scale",IF(H96&gt;=G96*0.7,"P1 watch","P0 fix opening")))))</f>
        <v/>
      </c>
    </row>
    <row r="97">
      <c r="D97" s="4" t="n"/>
      <c r="E97" s="4" t="n"/>
      <c r="G97" s="11" t="n"/>
      <c r="H97" s="9">
        <f>IF(A97="","",IFERROR(E97/D97,0))</f>
        <v/>
      </c>
      <c r="I97" s="3">
        <f>IF(A97="","",IF(D97&gt;0,"Yes","No spend"))</f>
        <v/>
      </c>
      <c r="J97" s="3">
        <f>IF(A97="","",IF(D97=0,"Check target/activation",IF(C97="Seed","P2 keep (seeding)",IF(H97&gt;=G97,"P2 hero - scale",IF(H97&gt;=G97*0.7,"P1 watch","P0 fix opening")))))</f>
        <v/>
      </c>
    </row>
    <row r="98">
      <c r="D98" s="4" t="n"/>
      <c r="E98" s="4" t="n"/>
      <c r="G98" s="11" t="n"/>
      <c r="H98" s="9">
        <f>IF(A98="","",IFERROR(E98/D98,0))</f>
        <v/>
      </c>
      <c r="I98" s="3">
        <f>IF(A98="","",IF(D98&gt;0,"Yes","No spend"))</f>
        <v/>
      </c>
      <c r="J98" s="3">
        <f>IF(A98="","",IF(D98=0,"Check target/activation",IF(C98="Seed","P2 keep (seeding)",IF(H98&gt;=G98,"P2 hero - scale",IF(H98&gt;=G98*0.7,"P1 watch","P0 fix opening")))))</f>
        <v/>
      </c>
    </row>
    <row r="99">
      <c r="D99" s="4" t="n"/>
      <c r="E99" s="4" t="n"/>
      <c r="G99" s="11" t="n"/>
      <c r="H99" s="9">
        <f>IF(A99="","",IFERROR(E99/D99,0))</f>
        <v/>
      </c>
      <c r="I99" s="3">
        <f>IF(A99="","",IF(D99&gt;0,"Yes","No spend"))</f>
        <v/>
      </c>
      <c r="J99" s="3">
        <f>IF(A99="","",IF(D99=0,"Check target/activation",IF(C99="Seed","P2 keep (seeding)",IF(H99&gt;=G99,"P2 hero - scale",IF(H99&gt;=G99*0.7,"P1 watch","P0 fix opening")))))</f>
        <v/>
      </c>
    </row>
    <row r="100">
      <c r="D100" s="4" t="n"/>
      <c r="E100" s="4" t="n"/>
      <c r="G100" s="11" t="n"/>
      <c r="H100" s="9">
        <f>IF(A100="","",IFERROR(E100/D100,0))</f>
        <v/>
      </c>
      <c r="I100" s="3">
        <f>IF(A100="","",IF(D100&gt;0,"Yes","No spend"))</f>
        <v/>
      </c>
      <c r="J100" s="3">
        <f>IF(A100="","",IF(D100=0,"Check target/activation",IF(C100="Seed","P2 keep (seeding)",IF(H100&gt;=G100,"P2 hero - scale",IF(H100&gt;=G100*0.7,"P1 watch","P0 fix opening")))))</f>
        <v/>
      </c>
    </row>
    <row r="101">
      <c r="D101" s="4" t="n"/>
      <c r="E101" s="4" t="n"/>
      <c r="G101" s="11" t="n"/>
      <c r="H101" s="9">
        <f>IF(A101="","",IFERROR(E101/D101,0))</f>
        <v/>
      </c>
      <c r="I101" s="3">
        <f>IF(A101="","",IF(D101&gt;0,"Yes","No spend"))</f>
        <v/>
      </c>
      <c r="J101" s="3">
        <f>IF(A101="","",IF(D101=0,"Check target/activation",IF(C101="Seed","P2 keep (seeding)",IF(H101&gt;=G101,"P2 hero - scale",IF(H101&gt;=G101*0.7,"P1 watch","P0 fix opening")))))</f>
        <v/>
      </c>
    </row>
    <row r="102">
      <c r="D102" s="4" t="n"/>
      <c r="E102" s="4" t="n"/>
      <c r="G102" s="11" t="n"/>
      <c r="H102" s="9">
        <f>IF(A102="","",IFERROR(E102/D102,0))</f>
        <v/>
      </c>
      <c r="I102" s="3">
        <f>IF(A102="","",IF(D102&gt;0,"Yes","No spend"))</f>
        <v/>
      </c>
      <c r="J102" s="3">
        <f>IF(A102="","",IF(D102=0,"Check target/activation",IF(C102="Seed","P2 keep (seeding)",IF(H102&gt;=G102,"P2 hero - scale",IF(H102&gt;=G102*0.7,"P1 watch","P0 fix opening")))))</f>
        <v/>
      </c>
    </row>
    <row r="103">
      <c r="D103" s="4" t="n"/>
      <c r="E103" s="4" t="n"/>
      <c r="G103" s="11" t="n"/>
      <c r="H103" s="9">
        <f>IF(A103="","",IFERROR(E103/D103,0))</f>
        <v/>
      </c>
      <c r="I103" s="3">
        <f>IF(A103="","",IF(D103&gt;0,"Yes","No spend"))</f>
        <v/>
      </c>
      <c r="J103" s="3">
        <f>IF(A103="","",IF(D103=0,"Check target/activation",IF(C103="Seed","P2 keep (seeding)",IF(H103&gt;=G103,"P2 hero - scale",IF(H103&gt;=G103*0.7,"P1 watch","P0 fix opening")))))</f>
        <v/>
      </c>
    </row>
    <row r="104">
      <c r="D104" s="4" t="n"/>
      <c r="E104" s="4" t="n"/>
      <c r="G104" s="11" t="n"/>
      <c r="H104" s="9">
        <f>IF(A104="","",IFERROR(E104/D104,0))</f>
        <v/>
      </c>
      <c r="I104" s="3">
        <f>IF(A104="","",IF(D104&gt;0,"Yes","No spend"))</f>
        <v/>
      </c>
      <c r="J104" s="3">
        <f>IF(A104="","",IF(D104=0,"Check target/activation",IF(C104="Seed","P2 keep (seeding)",IF(H104&gt;=G104,"P2 hero - scale",IF(H104&gt;=G104*0.7,"P1 watch","P0 fix opening")))))</f>
        <v/>
      </c>
    </row>
    <row r="105">
      <c r="D105" s="4" t="n"/>
      <c r="E105" s="4" t="n"/>
      <c r="G105" s="11" t="n"/>
      <c r="H105" s="9">
        <f>IF(A105="","",IFERROR(E105/D105,0))</f>
        <v/>
      </c>
      <c r="I105" s="3">
        <f>IF(A105="","",IF(D105&gt;0,"Yes","No spend"))</f>
        <v/>
      </c>
      <c r="J105" s="3">
        <f>IF(A105="","",IF(D105=0,"Check target/activation",IF(C105="Seed","P2 keep (seeding)",IF(H105&gt;=G105,"P2 hero - scale",IF(H105&gt;=G105*0.7,"P1 watch","P0 fix opening")))))</f>
        <v/>
      </c>
    </row>
    <row r="106">
      <c r="D106" s="4" t="n"/>
      <c r="E106" s="4" t="n"/>
      <c r="G106" s="11" t="n"/>
      <c r="H106" s="9">
        <f>IF(A106="","",IFERROR(E106/D106,0))</f>
        <v/>
      </c>
      <c r="I106" s="3">
        <f>IF(A106="","",IF(D106&gt;0,"Yes","No spend"))</f>
        <v/>
      </c>
      <c r="J106" s="3">
        <f>IF(A106="","",IF(D106=0,"Check target/activation",IF(C106="Seed","P2 keep (seeding)",IF(H106&gt;=G106,"P2 hero - scale",IF(H106&gt;=G106*0.7,"P1 watch","P0 fix opening")))))</f>
        <v/>
      </c>
    </row>
    <row r="107">
      <c r="D107" s="4" t="n"/>
      <c r="E107" s="4" t="n"/>
      <c r="G107" s="11" t="n"/>
      <c r="H107" s="9">
        <f>IF(A107="","",IFERROR(E107/D107,0))</f>
        <v/>
      </c>
      <c r="I107" s="3">
        <f>IF(A107="","",IF(D107&gt;0,"Yes","No spend"))</f>
        <v/>
      </c>
      <c r="J107" s="3">
        <f>IF(A107="","",IF(D107=0,"Check target/activation",IF(C107="Seed","P2 keep (seeding)",IF(H107&gt;=G107,"P2 hero - scale",IF(H107&gt;=G107*0.7,"P1 watch","P0 fix opening")))))</f>
        <v/>
      </c>
    </row>
    <row r="108">
      <c r="D108" s="4" t="n"/>
      <c r="E108" s="4" t="n"/>
      <c r="G108" s="11" t="n"/>
      <c r="H108" s="9">
        <f>IF(A108="","",IFERROR(E108/D108,0))</f>
        <v/>
      </c>
      <c r="I108" s="3">
        <f>IF(A108="","",IF(D108&gt;0,"Yes","No spend"))</f>
        <v/>
      </c>
      <c r="J108" s="3">
        <f>IF(A108="","",IF(D108=0,"Check target/activation",IF(C108="Seed","P2 keep (seeding)",IF(H108&gt;=G108,"P2 hero - scale",IF(H108&gt;=G108*0.7,"P1 watch","P0 fix opening")))))</f>
        <v/>
      </c>
    </row>
    <row r="109">
      <c r="D109" s="4" t="n"/>
      <c r="E109" s="4" t="n"/>
      <c r="G109" s="11" t="n"/>
      <c r="H109" s="9">
        <f>IF(A109="","",IFERROR(E109/D109,0))</f>
        <v/>
      </c>
      <c r="I109" s="3">
        <f>IF(A109="","",IF(D109&gt;0,"Yes","No spend"))</f>
        <v/>
      </c>
      <c r="J109" s="3">
        <f>IF(A109="","",IF(D109=0,"Check target/activation",IF(C109="Seed","P2 keep (seeding)",IF(H109&gt;=G109,"P2 hero - scale",IF(H109&gt;=G109*0.7,"P1 watch","P0 fix opening")))))</f>
        <v/>
      </c>
    </row>
    <row r="110">
      <c r="D110" s="4" t="n"/>
      <c r="E110" s="4" t="n"/>
      <c r="G110" s="11" t="n"/>
      <c r="H110" s="9">
        <f>IF(A110="","",IFERROR(E110/D110,0))</f>
        <v/>
      </c>
      <c r="I110" s="3">
        <f>IF(A110="","",IF(D110&gt;0,"Yes","No spend"))</f>
        <v/>
      </c>
      <c r="J110" s="3">
        <f>IF(A110="","",IF(D110=0,"Check target/activation",IF(C110="Seed","P2 keep (seeding)",IF(H110&gt;=G110,"P2 hero - scale",IF(H110&gt;=G110*0.7,"P1 watch","P0 fix opening")))))</f>
        <v/>
      </c>
    </row>
    <row r="111">
      <c r="D111" s="4" t="n"/>
      <c r="E111" s="4" t="n"/>
      <c r="G111" s="11" t="n"/>
      <c r="H111" s="9">
        <f>IF(A111="","",IFERROR(E111/D111,0))</f>
        <v/>
      </c>
      <c r="I111" s="3">
        <f>IF(A111="","",IF(D111&gt;0,"Yes","No spend"))</f>
        <v/>
      </c>
      <c r="J111" s="3">
        <f>IF(A111="","",IF(D111=0,"Check target/activation",IF(C111="Seed","P2 keep (seeding)",IF(H111&gt;=G111,"P2 hero - scale",IF(H111&gt;=G111*0.7,"P1 watch","P0 fix opening")))))</f>
        <v/>
      </c>
    </row>
    <row r="112">
      <c r="D112" s="4" t="n"/>
      <c r="E112" s="4" t="n"/>
      <c r="G112" s="11" t="n"/>
      <c r="H112" s="9">
        <f>IF(A112="","",IFERROR(E112/D112,0))</f>
        <v/>
      </c>
      <c r="I112" s="3">
        <f>IF(A112="","",IF(D112&gt;0,"Yes","No spend"))</f>
        <v/>
      </c>
      <c r="J112" s="3">
        <f>IF(A112="","",IF(D112=0,"Check target/activation",IF(C112="Seed","P2 keep (seeding)",IF(H112&gt;=G112,"P2 hero - scale",IF(H112&gt;=G112*0.7,"P1 watch","P0 fix opening")))))</f>
        <v/>
      </c>
    </row>
    <row r="113">
      <c r="D113" s="4" t="n"/>
      <c r="E113" s="4" t="n"/>
      <c r="G113" s="11" t="n"/>
      <c r="H113" s="9">
        <f>IF(A113="","",IFERROR(E113/D113,0))</f>
        <v/>
      </c>
      <c r="I113" s="3">
        <f>IF(A113="","",IF(D113&gt;0,"Yes","No spend"))</f>
        <v/>
      </c>
      <c r="J113" s="3">
        <f>IF(A113="","",IF(D113=0,"Check target/activation",IF(C113="Seed","P2 keep (seeding)",IF(H113&gt;=G113,"P2 hero - scale",IF(H113&gt;=G113*0.7,"P1 watch","P0 fix opening")))))</f>
        <v/>
      </c>
    </row>
    <row r="114">
      <c r="D114" s="4" t="n"/>
      <c r="E114" s="4" t="n"/>
      <c r="G114" s="11" t="n"/>
      <c r="H114" s="9">
        <f>IF(A114="","",IFERROR(E114/D114,0))</f>
        <v/>
      </c>
      <c r="I114" s="3">
        <f>IF(A114="","",IF(D114&gt;0,"Yes","No spend"))</f>
        <v/>
      </c>
      <c r="J114" s="3">
        <f>IF(A114="","",IF(D114=0,"Check target/activation",IF(C114="Seed","P2 keep (seeding)",IF(H114&gt;=G114,"P2 hero - scale",IF(H114&gt;=G114*0.7,"P1 watch","P0 fix opening")))))</f>
        <v/>
      </c>
    </row>
    <row r="115">
      <c r="D115" s="4" t="n"/>
      <c r="E115" s="4" t="n"/>
      <c r="G115" s="11" t="n"/>
      <c r="H115" s="9">
        <f>IF(A115="","",IFERROR(E115/D115,0))</f>
        <v/>
      </c>
      <c r="I115" s="3">
        <f>IF(A115="","",IF(D115&gt;0,"Yes","No spend"))</f>
        <v/>
      </c>
      <c r="J115" s="3">
        <f>IF(A115="","",IF(D115=0,"Check target/activation",IF(C115="Seed","P2 keep (seeding)",IF(H115&gt;=G115,"P2 hero - scale",IF(H115&gt;=G115*0.7,"P1 watch","P0 fix opening")))))</f>
        <v/>
      </c>
    </row>
    <row r="116">
      <c r="D116" s="4" t="n"/>
      <c r="E116" s="4" t="n"/>
      <c r="G116" s="11" t="n"/>
      <c r="H116" s="9">
        <f>IF(A116="","",IFERROR(E116/D116,0))</f>
        <v/>
      </c>
      <c r="I116" s="3">
        <f>IF(A116="","",IF(D116&gt;0,"Yes","No spend"))</f>
        <v/>
      </c>
      <c r="J116" s="3">
        <f>IF(A116="","",IF(D116=0,"Check target/activation",IF(C116="Seed","P2 keep (seeding)",IF(H116&gt;=G116,"P2 hero - scale",IF(H116&gt;=G116*0.7,"P1 watch","P0 fix opening")))))</f>
        <v/>
      </c>
    </row>
    <row r="117">
      <c r="D117" s="4" t="n"/>
      <c r="E117" s="4" t="n"/>
      <c r="G117" s="11" t="n"/>
      <c r="H117" s="9">
        <f>IF(A117="","",IFERROR(E117/D117,0))</f>
        <v/>
      </c>
      <c r="I117" s="3">
        <f>IF(A117="","",IF(D117&gt;0,"Yes","No spend"))</f>
        <v/>
      </c>
      <c r="J117" s="3">
        <f>IF(A117="","",IF(D117=0,"Check target/activation",IF(C117="Seed","P2 keep (seeding)",IF(H117&gt;=G117,"P2 hero - scale",IF(H117&gt;=G117*0.7,"P1 watch","P0 fix opening")))))</f>
        <v/>
      </c>
    </row>
    <row r="118">
      <c r="D118" s="4" t="n"/>
      <c r="E118" s="4" t="n"/>
      <c r="G118" s="11" t="n"/>
      <c r="H118" s="9">
        <f>IF(A118="","",IFERROR(E118/D118,0))</f>
        <v/>
      </c>
      <c r="I118" s="3">
        <f>IF(A118="","",IF(D118&gt;0,"Yes","No spend"))</f>
        <v/>
      </c>
      <c r="J118" s="3">
        <f>IF(A118="","",IF(D118=0,"Check target/activation",IF(C118="Seed","P2 keep (seeding)",IF(H118&gt;=G118,"P2 hero - scale",IF(H118&gt;=G118*0.7,"P1 watch","P0 fix opening")))))</f>
        <v/>
      </c>
    </row>
    <row r="119">
      <c r="D119" s="4" t="n"/>
      <c r="E119" s="4" t="n"/>
      <c r="G119" s="11" t="n"/>
      <c r="H119" s="9">
        <f>IF(A119="","",IFERROR(E119/D119,0))</f>
        <v/>
      </c>
      <c r="I119" s="3">
        <f>IF(A119="","",IF(D119&gt;0,"Yes","No spend"))</f>
        <v/>
      </c>
      <c r="J119" s="3">
        <f>IF(A119="","",IF(D119=0,"Check target/activation",IF(C119="Seed","P2 keep (seeding)",IF(H119&gt;=G119,"P2 hero - scale",IF(H119&gt;=G119*0.7,"P1 watch","P0 fix opening")))))</f>
        <v/>
      </c>
    </row>
    <row r="120">
      <c r="D120" s="4" t="n"/>
      <c r="E120" s="4" t="n"/>
      <c r="G120" s="11" t="n"/>
      <c r="H120" s="9">
        <f>IF(A120="","",IFERROR(E120/D120,0))</f>
        <v/>
      </c>
      <c r="I120" s="3">
        <f>IF(A120="","",IF(D120&gt;0,"Yes","No spend"))</f>
        <v/>
      </c>
      <c r="J120" s="3">
        <f>IF(A120="","",IF(D120=0,"Check target/activation",IF(C120="Seed","P2 keep (seeding)",IF(H120&gt;=G120,"P2 hero - scale",IF(H120&gt;=G120*0.7,"P1 watch","P0 fix opening")))))</f>
        <v/>
      </c>
    </row>
    <row r="121">
      <c r="D121" s="4" t="n"/>
      <c r="E121" s="4" t="n"/>
      <c r="G121" s="11" t="n"/>
      <c r="H121" s="9">
        <f>IF(A121="","",IFERROR(E121/D121,0))</f>
        <v/>
      </c>
      <c r="I121" s="3">
        <f>IF(A121="","",IF(D121&gt;0,"Yes","No spend"))</f>
        <v/>
      </c>
      <c r="J121" s="3">
        <f>IF(A121="","",IF(D121=0,"Check target/activation",IF(C121="Seed","P2 keep (seeding)",IF(H121&gt;=G121,"P2 hero - scale",IF(H121&gt;=G121*0.7,"P1 watch","P0 fix opening")))))</f>
        <v/>
      </c>
    </row>
    <row r="122">
      <c r="D122" s="4" t="n"/>
      <c r="E122" s="4" t="n"/>
      <c r="G122" s="11" t="n"/>
      <c r="H122" s="9">
        <f>IF(A122="","",IFERROR(E122/D122,0))</f>
        <v/>
      </c>
      <c r="I122" s="3">
        <f>IF(A122="","",IF(D122&gt;0,"Yes","No spend"))</f>
        <v/>
      </c>
      <c r="J122" s="3">
        <f>IF(A122="","",IF(D122=0,"Check target/activation",IF(C122="Seed","P2 keep (seeding)",IF(H122&gt;=G122,"P2 hero - scale",IF(H122&gt;=G122*0.7,"P1 watch","P0 fix opening")))))</f>
        <v/>
      </c>
    </row>
    <row r="123">
      <c r="D123" s="4" t="n"/>
      <c r="E123" s="4" t="n"/>
      <c r="G123" s="11" t="n"/>
      <c r="H123" s="9">
        <f>IF(A123="","",IFERROR(E123/D123,0))</f>
        <v/>
      </c>
      <c r="I123" s="3">
        <f>IF(A123="","",IF(D123&gt;0,"Yes","No spend"))</f>
        <v/>
      </c>
      <c r="J123" s="3">
        <f>IF(A123="","",IF(D123=0,"Check target/activation",IF(C123="Seed","P2 keep (seeding)",IF(H123&gt;=G123,"P2 hero - scale",IF(H123&gt;=G123*0.7,"P1 watch","P0 fix opening")))))</f>
        <v/>
      </c>
    </row>
    <row r="124">
      <c r="D124" s="4" t="n"/>
      <c r="E124" s="4" t="n"/>
      <c r="G124" s="11" t="n"/>
      <c r="H124" s="9">
        <f>IF(A124="","",IFERROR(E124/D124,0))</f>
        <v/>
      </c>
      <c r="I124" s="3">
        <f>IF(A124="","",IF(D124&gt;0,"Yes","No spend"))</f>
        <v/>
      </c>
      <c r="J124" s="3">
        <f>IF(A124="","",IF(D124=0,"Check target/activation",IF(C124="Seed","P2 keep (seeding)",IF(H124&gt;=G124,"P2 hero - scale",IF(H124&gt;=G124*0.7,"P1 watch","P0 fix opening")))))</f>
        <v/>
      </c>
    </row>
    <row r="125">
      <c r="D125" s="4" t="n"/>
      <c r="E125" s="4" t="n"/>
      <c r="G125" s="11" t="n"/>
      <c r="H125" s="9">
        <f>IF(A125="","",IFERROR(E125/D125,0))</f>
        <v/>
      </c>
      <c r="I125" s="3">
        <f>IF(A125="","",IF(D125&gt;0,"Yes","No spend"))</f>
        <v/>
      </c>
      <c r="J125" s="3">
        <f>IF(A125="","",IF(D125=0,"Check target/activation",IF(C125="Seed","P2 keep (seeding)",IF(H125&gt;=G125,"P2 hero - scale",IF(H125&gt;=G125*0.7,"P1 watch","P0 fix opening")))))</f>
        <v/>
      </c>
    </row>
    <row r="126">
      <c r="D126" s="4" t="n"/>
      <c r="E126" s="4" t="n"/>
      <c r="G126" s="11" t="n"/>
      <c r="H126" s="9">
        <f>IF(A126="","",IFERROR(E126/D126,0))</f>
        <v/>
      </c>
      <c r="I126" s="3">
        <f>IF(A126="","",IF(D126&gt;0,"Yes","No spend"))</f>
        <v/>
      </c>
      <c r="J126" s="3">
        <f>IF(A126="","",IF(D126=0,"Check target/activation",IF(C126="Seed","P2 keep (seeding)",IF(H126&gt;=G126,"P2 hero - scale",IF(H126&gt;=G126*0.7,"P1 watch","P0 fix opening")))))</f>
        <v/>
      </c>
    </row>
    <row r="127">
      <c r="D127" s="4" t="n"/>
      <c r="E127" s="4" t="n"/>
      <c r="G127" s="11" t="n"/>
      <c r="H127" s="9">
        <f>IF(A127="","",IFERROR(E127/D127,0))</f>
        <v/>
      </c>
      <c r="I127" s="3">
        <f>IF(A127="","",IF(D127&gt;0,"Yes","No spend"))</f>
        <v/>
      </c>
      <c r="J127" s="3">
        <f>IF(A127="","",IF(D127=0,"Check target/activation",IF(C127="Seed","P2 keep (seeding)",IF(H127&gt;=G127,"P2 hero - scale",IF(H127&gt;=G127*0.7,"P1 watch","P0 fix opening")))))</f>
        <v/>
      </c>
    </row>
    <row r="128">
      <c r="D128" s="4" t="n"/>
      <c r="E128" s="4" t="n"/>
      <c r="G128" s="11" t="n"/>
      <c r="H128" s="9">
        <f>IF(A128="","",IFERROR(E128/D128,0))</f>
        <v/>
      </c>
      <c r="I128" s="3">
        <f>IF(A128="","",IF(D128&gt;0,"Yes","No spend"))</f>
        <v/>
      </c>
      <c r="J128" s="3">
        <f>IF(A128="","",IF(D128=0,"Check target/activation",IF(C128="Seed","P2 keep (seeding)",IF(H128&gt;=G128,"P2 hero - scale",IF(H128&gt;=G128*0.7,"P1 watch","P0 fix opening")))))</f>
        <v/>
      </c>
    </row>
    <row r="129">
      <c r="D129" s="4" t="n"/>
      <c r="E129" s="4" t="n"/>
      <c r="G129" s="11" t="n"/>
      <c r="H129" s="9">
        <f>IF(A129="","",IFERROR(E129/D129,0))</f>
        <v/>
      </c>
      <c r="I129" s="3">
        <f>IF(A129="","",IF(D129&gt;0,"Yes","No spend"))</f>
        <v/>
      </c>
      <c r="J129" s="3">
        <f>IF(A129="","",IF(D129=0,"Check target/activation",IF(C129="Seed","P2 keep (seeding)",IF(H129&gt;=G129,"P2 hero - scale",IF(H129&gt;=G129*0.7,"P1 watch","P0 fix opening")))))</f>
        <v/>
      </c>
    </row>
    <row r="130">
      <c r="D130" s="4" t="n"/>
      <c r="E130" s="4" t="n"/>
      <c r="G130" s="11" t="n"/>
      <c r="H130" s="9">
        <f>IF(A130="","",IFERROR(E130/D130,0))</f>
        <v/>
      </c>
      <c r="I130" s="3">
        <f>IF(A130="","",IF(D130&gt;0,"Yes","No spend"))</f>
        <v/>
      </c>
      <c r="J130" s="3">
        <f>IF(A130="","",IF(D130=0,"Check target/activation",IF(C130="Seed","P2 keep (seeding)",IF(H130&gt;=G130,"P2 hero - scale",IF(H130&gt;=G130*0.7,"P1 watch","P0 fix opening")))))</f>
        <v/>
      </c>
    </row>
    <row r="131">
      <c r="D131" s="4" t="n"/>
      <c r="E131" s="4" t="n"/>
      <c r="G131" s="11" t="n"/>
      <c r="H131" s="9">
        <f>IF(A131="","",IFERROR(E131/D131,0))</f>
        <v/>
      </c>
      <c r="I131" s="3">
        <f>IF(A131="","",IF(D131&gt;0,"Yes","No spend"))</f>
        <v/>
      </c>
      <c r="J131" s="3">
        <f>IF(A131="","",IF(D131=0,"Check target/activation",IF(C131="Seed","P2 keep (seeding)",IF(H131&gt;=G131,"P2 hero - scale",IF(H131&gt;=G131*0.7,"P1 watch","P0 fix opening")))))</f>
        <v/>
      </c>
    </row>
    <row r="132">
      <c r="D132" s="4" t="n"/>
      <c r="E132" s="4" t="n"/>
      <c r="G132" s="11" t="n"/>
      <c r="H132" s="9">
        <f>IF(A132="","",IFERROR(E132/D132,0))</f>
        <v/>
      </c>
      <c r="I132" s="3">
        <f>IF(A132="","",IF(D132&gt;0,"Yes","No spend"))</f>
        <v/>
      </c>
      <c r="J132" s="3">
        <f>IF(A132="","",IF(D132=0,"Check target/activation",IF(C132="Seed","P2 keep (seeding)",IF(H132&gt;=G132,"P2 hero - scale",IF(H132&gt;=G132*0.7,"P1 watch","P0 fix opening")))))</f>
        <v/>
      </c>
    </row>
    <row r="133">
      <c r="D133" s="4" t="n"/>
      <c r="E133" s="4" t="n"/>
      <c r="G133" s="11" t="n"/>
      <c r="H133" s="9">
        <f>IF(A133="","",IFERROR(E133/D133,0))</f>
        <v/>
      </c>
      <c r="I133" s="3">
        <f>IF(A133="","",IF(D133&gt;0,"Yes","No spend"))</f>
        <v/>
      </c>
      <c r="J133" s="3">
        <f>IF(A133="","",IF(D133=0,"Check target/activation",IF(C133="Seed","P2 keep (seeding)",IF(H133&gt;=G133,"P2 hero - scale",IF(H133&gt;=G133*0.7,"P1 watch","P0 fix opening")))))</f>
        <v/>
      </c>
    </row>
    <row r="134">
      <c r="D134" s="4" t="n"/>
      <c r="E134" s="4" t="n"/>
      <c r="G134" s="11" t="n"/>
      <c r="H134" s="9">
        <f>IF(A134="","",IFERROR(E134/D134,0))</f>
        <v/>
      </c>
      <c r="I134" s="3">
        <f>IF(A134="","",IF(D134&gt;0,"Yes","No spend"))</f>
        <v/>
      </c>
      <c r="J134" s="3">
        <f>IF(A134="","",IF(D134=0,"Check target/activation",IF(C134="Seed","P2 keep (seeding)",IF(H134&gt;=G134,"P2 hero - scale",IF(H134&gt;=G134*0.7,"P1 watch","P0 fix opening")))))</f>
        <v/>
      </c>
    </row>
    <row r="135">
      <c r="D135" s="4" t="n"/>
      <c r="E135" s="4" t="n"/>
      <c r="G135" s="11" t="n"/>
      <c r="H135" s="9">
        <f>IF(A135="","",IFERROR(E135/D135,0))</f>
        <v/>
      </c>
      <c r="I135" s="3">
        <f>IF(A135="","",IF(D135&gt;0,"Yes","No spend"))</f>
        <v/>
      </c>
      <c r="J135" s="3">
        <f>IF(A135="","",IF(D135=0,"Check target/activation",IF(C135="Seed","P2 keep (seeding)",IF(H135&gt;=G135,"P2 hero - scale",IF(H135&gt;=G135*0.7,"P1 watch","P0 fix opening")))))</f>
        <v/>
      </c>
    </row>
    <row r="136">
      <c r="D136" s="4" t="n"/>
      <c r="E136" s="4" t="n"/>
      <c r="G136" s="11" t="n"/>
      <c r="H136" s="9">
        <f>IF(A136="","",IFERROR(E136/D136,0))</f>
        <v/>
      </c>
      <c r="I136" s="3">
        <f>IF(A136="","",IF(D136&gt;0,"Yes","No spend"))</f>
        <v/>
      </c>
      <c r="J136" s="3">
        <f>IF(A136="","",IF(D136=0,"Check target/activation",IF(C136="Seed","P2 keep (seeding)",IF(H136&gt;=G136,"P2 hero - scale",IF(H136&gt;=G136*0.7,"P1 watch","P0 fix opening")))))</f>
        <v/>
      </c>
    </row>
    <row r="137">
      <c r="D137" s="4" t="n"/>
      <c r="E137" s="4" t="n"/>
      <c r="G137" s="11" t="n"/>
      <c r="H137" s="9">
        <f>IF(A137="","",IFERROR(E137/D137,0))</f>
        <v/>
      </c>
      <c r="I137" s="3">
        <f>IF(A137="","",IF(D137&gt;0,"Yes","No spend"))</f>
        <v/>
      </c>
      <c r="J137" s="3">
        <f>IF(A137="","",IF(D137=0,"Check target/activation",IF(C137="Seed","P2 keep (seeding)",IF(H137&gt;=G137,"P2 hero - scale",IF(H137&gt;=G137*0.7,"P1 watch","P0 fix opening")))))</f>
        <v/>
      </c>
    </row>
    <row r="138">
      <c r="D138" s="4" t="n"/>
      <c r="E138" s="4" t="n"/>
      <c r="G138" s="11" t="n"/>
      <c r="H138" s="9">
        <f>IF(A138="","",IFERROR(E138/D138,0))</f>
        <v/>
      </c>
      <c r="I138" s="3">
        <f>IF(A138="","",IF(D138&gt;0,"Yes","No spend"))</f>
        <v/>
      </c>
      <c r="J138" s="3">
        <f>IF(A138="","",IF(D138=0,"Check target/activation",IF(C138="Seed","P2 keep (seeding)",IF(H138&gt;=G138,"P2 hero - scale",IF(H138&gt;=G138*0.7,"P1 watch","P0 fix opening")))))</f>
        <v/>
      </c>
    </row>
    <row r="139">
      <c r="D139" s="4" t="n"/>
      <c r="E139" s="4" t="n"/>
      <c r="G139" s="11" t="n"/>
      <c r="H139" s="9">
        <f>IF(A139="","",IFERROR(E139/D139,0))</f>
        <v/>
      </c>
      <c r="I139" s="3">
        <f>IF(A139="","",IF(D139&gt;0,"Yes","No spend"))</f>
        <v/>
      </c>
      <c r="J139" s="3">
        <f>IF(A139="","",IF(D139=0,"Check target/activation",IF(C139="Seed","P2 keep (seeding)",IF(H139&gt;=G139,"P2 hero - scale",IF(H139&gt;=G139*0.7,"P1 watch","P0 fix opening")))))</f>
        <v/>
      </c>
    </row>
    <row r="140">
      <c r="D140" s="4" t="n"/>
      <c r="E140" s="4" t="n"/>
      <c r="G140" s="11" t="n"/>
      <c r="H140" s="9">
        <f>IF(A140="","",IFERROR(E140/D140,0))</f>
        <v/>
      </c>
      <c r="I140" s="3">
        <f>IF(A140="","",IF(D140&gt;0,"Yes","No spend"))</f>
        <v/>
      </c>
      <c r="J140" s="3">
        <f>IF(A140="","",IF(D140=0,"Check target/activation",IF(C140="Seed","P2 keep (seeding)",IF(H140&gt;=G140,"P2 hero - scale",IF(H140&gt;=G140*0.7,"P1 watch","P0 fix opening")))))</f>
        <v/>
      </c>
    </row>
    <row r="141">
      <c r="D141" s="4" t="n"/>
      <c r="E141" s="4" t="n"/>
      <c r="G141" s="11" t="n"/>
      <c r="H141" s="9">
        <f>IF(A141="","",IFERROR(E141/D141,0))</f>
        <v/>
      </c>
      <c r="I141" s="3">
        <f>IF(A141="","",IF(D141&gt;0,"Yes","No spend"))</f>
        <v/>
      </c>
      <c r="J141" s="3">
        <f>IF(A141="","",IF(D141=0,"Check target/activation",IF(C141="Seed","P2 keep (seeding)",IF(H141&gt;=G141,"P2 hero - scale",IF(H141&gt;=G141*0.7,"P1 watch","P0 fix opening")))))</f>
        <v/>
      </c>
    </row>
    <row r="142">
      <c r="D142" s="4" t="n"/>
      <c r="E142" s="4" t="n"/>
      <c r="G142" s="11" t="n"/>
      <c r="H142" s="9">
        <f>IF(A142="","",IFERROR(E142/D142,0))</f>
        <v/>
      </c>
      <c r="I142" s="3">
        <f>IF(A142="","",IF(D142&gt;0,"Yes","No spend"))</f>
        <v/>
      </c>
      <c r="J142" s="3">
        <f>IF(A142="","",IF(D142=0,"Check target/activation",IF(C142="Seed","P2 keep (seeding)",IF(H142&gt;=G142,"P2 hero - scale",IF(H142&gt;=G142*0.7,"P1 watch","P0 fix opening")))))</f>
        <v/>
      </c>
    </row>
    <row r="143">
      <c r="D143" s="4" t="n"/>
      <c r="E143" s="4" t="n"/>
      <c r="G143" s="11" t="n"/>
      <c r="H143" s="9">
        <f>IF(A143="","",IFERROR(E143/D143,0))</f>
        <v/>
      </c>
      <c r="I143" s="3">
        <f>IF(A143="","",IF(D143&gt;0,"Yes","No spend"))</f>
        <v/>
      </c>
      <c r="J143" s="3">
        <f>IF(A143="","",IF(D143=0,"Check target/activation",IF(C143="Seed","P2 keep (seeding)",IF(H143&gt;=G143,"P2 hero - scale",IF(H143&gt;=G143*0.7,"P1 watch","P0 fix opening")))))</f>
        <v/>
      </c>
    </row>
    <row r="144">
      <c r="D144" s="4" t="n"/>
      <c r="E144" s="4" t="n"/>
      <c r="G144" s="11" t="n"/>
      <c r="H144" s="9">
        <f>IF(A144="","",IFERROR(E144/D144,0))</f>
        <v/>
      </c>
      <c r="I144" s="3">
        <f>IF(A144="","",IF(D144&gt;0,"Yes","No spend"))</f>
        <v/>
      </c>
      <c r="J144" s="3">
        <f>IF(A144="","",IF(D144=0,"Check target/activation",IF(C144="Seed","P2 keep (seeding)",IF(H144&gt;=G144,"P2 hero - scale",IF(H144&gt;=G144*0.7,"P1 watch","P0 fix opening")))))</f>
        <v/>
      </c>
    </row>
    <row r="145">
      <c r="D145" s="4" t="n"/>
      <c r="E145" s="4" t="n"/>
      <c r="G145" s="11" t="n"/>
      <c r="H145" s="9">
        <f>IF(A145="","",IFERROR(E145/D145,0))</f>
        <v/>
      </c>
      <c r="I145" s="3">
        <f>IF(A145="","",IF(D145&gt;0,"Yes","No spend"))</f>
        <v/>
      </c>
      <c r="J145" s="3">
        <f>IF(A145="","",IF(D145=0,"Check target/activation",IF(C145="Seed","P2 keep (seeding)",IF(H145&gt;=G145,"P2 hero - scale",IF(H145&gt;=G145*0.7,"P1 watch","P0 fix opening")))))</f>
        <v/>
      </c>
    </row>
    <row r="146">
      <c r="D146" s="4" t="n"/>
      <c r="E146" s="4" t="n"/>
      <c r="G146" s="11" t="n"/>
      <c r="H146" s="9">
        <f>IF(A146="","",IFERROR(E146/D146,0))</f>
        <v/>
      </c>
      <c r="I146" s="3">
        <f>IF(A146="","",IF(D146&gt;0,"Yes","No spend"))</f>
        <v/>
      </c>
      <c r="J146" s="3">
        <f>IF(A146="","",IF(D146=0,"Check target/activation",IF(C146="Seed","P2 keep (seeding)",IF(H146&gt;=G146,"P2 hero - scale",IF(H146&gt;=G146*0.7,"P1 watch","P0 fix opening")))))</f>
        <v/>
      </c>
    </row>
    <row r="147">
      <c r="D147" s="4" t="n"/>
      <c r="E147" s="4" t="n"/>
      <c r="G147" s="11" t="n"/>
      <c r="H147" s="9">
        <f>IF(A147="","",IFERROR(E147/D147,0))</f>
        <v/>
      </c>
      <c r="I147" s="3">
        <f>IF(A147="","",IF(D147&gt;0,"Yes","No spend"))</f>
        <v/>
      </c>
      <c r="J147" s="3">
        <f>IF(A147="","",IF(D147=0,"Check target/activation",IF(C147="Seed","P2 keep (seeding)",IF(H147&gt;=G147,"P2 hero - scale",IF(H147&gt;=G147*0.7,"P1 watch","P0 fix opening")))))</f>
        <v/>
      </c>
    </row>
    <row r="148">
      <c r="D148" s="4" t="n"/>
      <c r="E148" s="4" t="n"/>
      <c r="G148" s="11" t="n"/>
      <c r="H148" s="9">
        <f>IF(A148="","",IFERROR(E148/D148,0))</f>
        <v/>
      </c>
      <c r="I148" s="3">
        <f>IF(A148="","",IF(D148&gt;0,"Yes","No spend"))</f>
        <v/>
      </c>
      <c r="J148" s="3">
        <f>IF(A148="","",IF(D148=0,"Check target/activation",IF(C148="Seed","P2 keep (seeding)",IF(H148&gt;=G148,"P2 hero - scale",IF(H148&gt;=G148*0.7,"P1 watch","P0 fix opening")))))</f>
        <v/>
      </c>
    </row>
    <row r="149">
      <c r="D149" s="4" t="n"/>
      <c r="E149" s="4" t="n"/>
      <c r="G149" s="11" t="n"/>
      <c r="H149" s="9">
        <f>IF(A149="","",IFERROR(E149/D149,0))</f>
        <v/>
      </c>
      <c r="I149" s="3">
        <f>IF(A149="","",IF(D149&gt;0,"Yes","No spend"))</f>
        <v/>
      </c>
      <c r="J149" s="3">
        <f>IF(A149="","",IF(D149=0,"Check target/activation",IF(C149="Seed","P2 keep (seeding)",IF(H149&gt;=G149,"P2 hero - scale",IF(H149&gt;=G149*0.7,"P1 watch","P0 fix opening")))))</f>
        <v/>
      </c>
    </row>
    <row r="150">
      <c r="D150" s="4" t="n"/>
      <c r="E150" s="4" t="n"/>
      <c r="G150" s="11" t="n"/>
      <c r="H150" s="9">
        <f>IF(A150="","",IFERROR(E150/D150,0))</f>
        <v/>
      </c>
      <c r="I150" s="3">
        <f>IF(A150="","",IF(D150&gt;0,"Yes","No spend"))</f>
        <v/>
      </c>
      <c r="J150" s="3">
        <f>IF(A150="","",IF(D150=0,"Check target/activation",IF(C150="Seed","P2 keep (seeding)",IF(H150&gt;=G150,"P2 hero - scale",IF(H150&gt;=G150*0.7,"P1 watch","P0 fix opening")))))</f>
        <v/>
      </c>
    </row>
    <row r="151">
      <c r="D151" s="4" t="n"/>
      <c r="E151" s="4" t="n"/>
      <c r="G151" s="11" t="n"/>
      <c r="H151" s="9">
        <f>IF(A151="","",IFERROR(E151/D151,0))</f>
        <v/>
      </c>
      <c r="I151" s="3">
        <f>IF(A151="","",IF(D151&gt;0,"Yes","No spend"))</f>
        <v/>
      </c>
      <c r="J151" s="3">
        <f>IF(A151="","",IF(D151=0,"Check target/activation",IF(C151="Seed","P2 keep (seeding)",IF(H151&gt;=G151,"P2 hero - scale",IF(H151&gt;=G151*0.7,"P1 watch","P0 fix opening")))))</f>
        <v/>
      </c>
    </row>
    <row r="152">
      <c r="D152" s="4" t="n"/>
      <c r="E152" s="4" t="n"/>
      <c r="G152" s="11" t="n"/>
      <c r="H152" s="9">
        <f>IF(A152="","",IFERROR(E152/D152,0))</f>
        <v/>
      </c>
      <c r="I152" s="3">
        <f>IF(A152="","",IF(D152&gt;0,"Yes","No spend"))</f>
        <v/>
      </c>
      <c r="J152" s="3">
        <f>IF(A152="","",IF(D152=0,"Check target/activation",IF(C152="Seed","P2 keep (seeding)",IF(H152&gt;=G152,"P2 hero - scale",IF(H152&gt;=G152*0.7,"P1 watch","P0 fix opening")))))</f>
        <v/>
      </c>
    </row>
    <row r="153">
      <c r="D153" s="4" t="n"/>
      <c r="E153" s="4" t="n"/>
      <c r="G153" s="11" t="n"/>
      <c r="H153" s="9">
        <f>IF(A153="","",IFERROR(E153/D153,0))</f>
        <v/>
      </c>
      <c r="I153" s="3">
        <f>IF(A153="","",IF(D153&gt;0,"Yes","No spend"))</f>
        <v/>
      </c>
      <c r="J153" s="3">
        <f>IF(A153="","",IF(D153=0,"Check target/activation",IF(C153="Seed","P2 keep (seeding)",IF(H153&gt;=G153,"P2 hero - scale",IF(H153&gt;=G153*0.7,"P1 watch","P0 fix opening")))))</f>
        <v/>
      </c>
    </row>
    <row r="154">
      <c r="D154" s="4" t="n"/>
      <c r="E154" s="4" t="n"/>
      <c r="G154" s="11" t="n"/>
      <c r="H154" s="9">
        <f>IF(A154="","",IFERROR(E154/D154,0))</f>
        <v/>
      </c>
      <c r="I154" s="3">
        <f>IF(A154="","",IF(D154&gt;0,"Yes","No spend"))</f>
        <v/>
      </c>
      <c r="J154" s="3">
        <f>IF(A154="","",IF(D154=0,"Check target/activation",IF(C154="Seed","P2 keep (seeding)",IF(H154&gt;=G154,"P2 hero - scale",IF(H154&gt;=G154*0.7,"P1 watch","P0 fix opening")))))</f>
        <v/>
      </c>
    </row>
    <row r="155">
      <c r="D155" s="4" t="n"/>
      <c r="E155" s="4" t="n"/>
      <c r="G155" s="11" t="n"/>
      <c r="H155" s="9">
        <f>IF(A155="","",IFERROR(E155/D155,0))</f>
        <v/>
      </c>
      <c r="I155" s="3">
        <f>IF(A155="","",IF(D155&gt;0,"Yes","No spend"))</f>
        <v/>
      </c>
      <c r="J155" s="3">
        <f>IF(A155="","",IF(D155=0,"Check target/activation",IF(C155="Seed","P2 keep (seeding)",IF(H155&gt;=G155,"P2 hero - scale",IF(H155&gt;=G155*0.7,"P1 watch","P0 fix opening")))))</f>
        <v/>
      </c>
    </row>
    <row r="156">
      <c r="D156" s="4" t="n"/>
      <c r="E156" s="4" t="n"/>
      <c r="G156" s="11" t="n"/>
      <c r="H156" s="9">
        <f>IF(A156="","",IFERROR(E156/D156,0))</f>
        <v/>
      </c>
      <c r="I156" s="3">
        <f>IF(A156="","",IF(D156&gt;0,"Yes","No spend"))</f>
        <v/>
      </c>
      <c r="J156" s="3">
        <f>IF(A156="","",IF(D156=0,"Check target/activation",IF(C156="Seed","P2 keep (seeding)",IF(H156&gt;=G156,"P2 hero - scale",IF(H156&gt;=G156*0.7,"P1 watch","P0 fix opening")))))</f>
        <v/>
      </c>
    </row>
    <row r="157">
      <c r="D157" s="4" t="n"/>
      <c r="E157" s="4" t="n"/>
      <c r="G157" s="11" t="n"/>
      <c r="H157" s="9">
        <f>IF(A157="","",IFERROR(E157/D157,0))</f>
        <v/>
      </c>
      <c r="I157" s="3">
        <f>IF(A157="","",IF(D157&gt;0,"Yes","No spend"))</f>
        <v/>
      </c>
      <c r="J157" s="3">
        <f>IF(A157="","",IF(D157=0,"Check target/activation",IF(C157="Seed","P2 keep (seeding)",IF(H157&gt;=G157,"P2 hero - scale",IF(H157&gt;=G157*0.7,"P1 watch","P0 fix opening")))))</f>
        <v/>
      </c>
    </row>
    <row r="158">
      <c r="D158" s="4" t="n"/>
      <c r="E158" s="4" t="n"/>
      <c r="G158" s="11" t="n"/>
      <c r="H158" s="9">
        <f>IF(A158="","",IFERROR(E158/D158,0))</f>
        <v/>
      </c>
      <c r="I158" s="3">
        <f>IF(A158="","",IF(D158&gt;0,"Yes","No spend"))</f>
        <v/>
      </c>
      <c r="J158" s="3">
        <f>IF(A158="","",IF(D158=0,"Check target/activation",IF(C158="Seed","P2 keep (seeding)",IF(H158&gt;=G158,"P2 hero - scale",IF(H158&gt;=G158*0.7,"P1 watch","P0 fix opening")))))</f>
        <v/>
      </c>
    </row>
    <row r="159">
      <c r="D159" s="4" t="n"/>
      <c r="E159" s="4" t="n"/>
      <c r="G159" s="11" t="n"/>
      <c r="H159" s="9">
        <f>IF(A159="","",IFERROR(E159/D159,0))</f>
        <v/>
      </c>
      <c r="I159" s="3">
        <f>IF(A159="","",IF(D159&gt;0,"Yes","No spend"))</f>
        <v/>
      </c>
      <c r="J159" s="3">
        <f>IF(A159="","",IF(D159=0,"Check target/activation",IF(C159="Seed","P2 keep (seeding)",IF(H159&gt;=G159,"P2 hero - scale",IF(H159&gt;=G159*0.7,"P1 watch","P0 fix opening")))))</f>
        <v/>
      </c>
    </row>
    <row r="160">
      <c r="D160" s="4" t="n"/>
      <c r="E160" s="4" t="n"/>
      <c r="G160" s="11" t="n"/>
      <c r="H160" s="9">
        <f>IF(A160="","",IFERROR(E160/D160,0))</f>
        <v/>
      </c>
      <c r="I160" s="3">
        <f>IF(A160="","",IF(D160&gt;0,"Yes","No spend"))</f>
        <v/>
      </c>
      <c r="J160" s="3">
        <f>IF(A160="","",IF(D160=0,"Check target/activation",IF(C160="Seed","P2 keep (seeding)",IF(H160&gt;=G160,"P2 hero - scale",IF(H160&gt;=G160*0.7,"P1 watch","P0 fix opening")))))</f>
        <v/>
      </c>
    </row>
    <row r="161">
      <c r="D161" s="4" t="n"/>
      <c r="E161" s="4" t="n"/>
      <c r="G161" s="11" t="n"/>
      <c r="H161" s="9">
        <f>IF(A161="","",IFERROR(E161/D161,0))</f>
        <v/>
      </c>
      <c r="I161" s="3">
        <f>IF(A161="","",IF(D161&gt;0,"Yes","No spend"))</f>
        <v/>
      </c>
      <c r="J161" s="3">
        <f>IF(A161="","",IF(D161=0,"Check target/activation",IF(C161="Seed","P2 keep (seeding)",IF(H161&gt;=G161,"P2 hero - scale",IF(H161&gt;=G161*0.7,"P1 watch","P0 fix opening")))))</f>
        <v/>
      </c>
    </row>
    <row r="162">
      <c r="D162" s="4" t="n"/>
      <c r="E162" s="4" t="n"/>
      <c r="G162" s="11" t="n"/>
      <c r="H162" s="9">
        <f>IF(A162="","",IFERROR(E162/D162,0))</f>
        <v/>
      </c>
      <c r="I162" s="3">
        <f>IF(A162="","",IF(D162&gt;0,"Yes","No spend"))</f>
        <v/>
      </c>
      <c r="J162" s="3">
        <f>IF(A162="","",IF(D162=0,"Check target/activation",IF(C162="Seed","P2 keep (seeding)",IF(H162&gt;=G162,"P2 hero - scale",IF(H162&gt;=G162*0.7,"P1 watch","P0 fix opening")))))</f>
        <v/>
      </c>
    </row>
    <row r="163">
      <c r="D163" s="4" t="n"/>
      <c r="E163" s="4" t="n"/>
      <c r="G163" s="11" t="n"/>
      <c r="H163" s="9">
        <f>IF(A163="","",IFERROR(E163/D163,0))</f>
        <v/>
      </c>
      <c r="I163" s="3">
        <f>IF(A163="","",IF(D163&gt;0,"Yes","No spend"))</f>
        <v/>
      </c>
      <c r="J163" s="3">
        <f>IF(A163="","",IF(D163=0,"Check target/activation",IF(C163="Seed","P2 keep (seeding)",IF(H163&gt;=G163,"P2 hero - scale",IF(H163&gt;=G163*0.7,"P1 watch","P0 fix opening")))))</f>
        <v/>
      </c>
    </row>
    <row r="164">
      <c r="D164" s="4" t="n"/>
      <c r="E164" s="4" t="n"/>
      <c r="G164" s="11" t="n"/>
      <c r="H164" s="9">
        <f>IF(A164="","",IFERROR(E164/D164,0))</f>
        <v/>
      </c>
      <c r="I164" s="3">
        <f>IF(A164="","",IF(D164&gt;0,"Yes","No spend"))</f>
        <v/>
      </c>
      <c r="J164" s="3">
        <f>IF(A164="","",IF(D164=0,"Check target/activation",IF(C164="Seed","P2 keep (seeding)",IF(H164&gt;=G164,"P2 hero - scale",IF(H164&gt;=G164*0.7,"P1 watch","P0 fix opening")))))</f>
        <v/>
      </c>
    </row>
    <row r="165">
      <c r="D165" s="4" t="n"/>
      <c r="E165" s="4" t="n"/>
      <c r="G165" s="11" t="n"/>
      <c r="H165" s="9">
        <f>IF(A165="","",IFERROR(E165/D165,0))</f>
        <v/>
      </c>
      <c r="I165" s="3">
        <f>IF(A165="","",IF(D165&gt;0,"Yes","No spend"))</f>
        <v/>
      </c>
      <c r="J165" s="3">
        <f>IF(A165="","",IF(D165=0,"Check target/activation",IF(C165="Seed","P2 keep (seeding)",IF(H165&gt;=G165,"P2 hero - scale",IF(H165&gt;=G165*0.7,"P1 watch","P0 fix opening")))))</f>
        <v/>
      </c>
    </row>
    <row r="166">
      <c r="D166" s="4" t="n"/>
      <c r="E166" s="4" t="n"/>
      <c r="G166" s="11" t="n"/>
      <c r="H166" s="9">
        <f>IF(A166="","",IFERROR(E166/D166,0))</f>
        <v/>
      </c>
      <c r="I166" s="3">
        <f>IF(A166="","",IF(D166&gt;0,"Yes","No spend"))</f>
        <v/>
      </c>
      <c r="J166" s="3">
        <f>IF(A166="","",IF(D166=0,"Check target/activation",IF(C166="Seed","P2 keep (seeding)",IF(H166&gt;=G166,"P2 hero - scale",IF(H166&gt;=G166*0.7,"P1 watch","P0 fix opening")))))</f>
        <v/>
      </c>
    </row>
    <row r="167">
      <c r="D167" s="4" t="n"/>
      <c r="E167" s="4" t="n"/>
      <c r="G167" s="11" t="n"/>
      <c r="H167" s="9">
        <f>IF(A167="","",IFERROR(E167/D167,0))</f>
        <v/>
      </c>
      <c r="I167" s="3">
        <f>IF(A167="","",IF(D167&gt;0,"Yes","No spend"))</f>
        <v/>
      </c>
      <c r="J167" s="3">
        <f>IF(A167="","",IF(D167=0,"Check target/activation",IF(C167="Seed","P2 keep (seeding)",IF(H167&gt;=G167,"P2 hero - scale",IF(H167&gt;=G167*0.7,"P1 watch","P0 fix opening")))))</f>
        <v/>
      </c>
    </row>
    <row r="168">
      <c r="D168" s="4" t="n"/>
      <c r="E168" s="4" t="n"/>
      <c r="G168" s="11" t="n"/>
      <c r="H168" s="9">
        <f>IF(A168="","",IFERROR(E168/D168,0))</f>
        <v/>
      </c>
      <c r="I168" s="3">
        <f>IF(A168="","",IF(D168&gt;0,"Yes","No spend"))</f>
        <v/>
      </c>
      <c r="J168" s="3">
        <f>IF(A168="","",IF(D168=0,"Check target/activation",IF(C168="Seed","P2 keep (seeding)",IF(H168&gt;=G168,"P2 hero - scale",IF(H168&gt;=G168*0.7,"P1 watch","P0 fix opening")))))</f>
        <v/>
      </c>
    </row>
    <row r="169">
      <c r="D169" s="4" t="n"/>
      <c r="E169" s="4" t="n"/>
      <c r="G169" s="11" t="n"/>
      <c r="H169" s="9">
        <f>IF(A169="","",IFERROR(E169/D169,0))</f>
        <v/>
      </c>
      <c r="I169" s="3">
        <f>IF(A169="","",IF(D169&gt;0,"Yes","No spend"))</f>
        <v/>
      </c>
      <c r="J169" s="3">
        <f>IF(A169="","",IF(D169=0,"Check target/activation",IF(C169="Seed","P2 keep (seeding)",IF(H169&gt;=G169,"P2 hero - scale",IF(H169&gt;=G169*0.7,"P1 watch","P0 fix opening")))))</f>
        <v/>
      </c>
    </row>
    <row r="170">
      <c r="D170" s="4" t="n"/>
      <c r="E170" s="4" t="n"/>
      <c r="G170" s="11" t="n"/>
      <c r="H170" s="9">
        <f>IF(A170="","",IFERROR(E170/D170,0))</f>
        <v/>
      </c>
      <c r="I170" s="3">
        <f>IF(A170="","",IF(D170&gt;0,"Yes","No spend"))</f>
        <v/>
      </c>
      <c r="J170" s="3">
        <f>IF(A170="","",IF(D170=0,"Check target/activation",IF(C170="Seed","P2 keep (seeding)",IF(H170&gt;=G170,"P2 hero - scale",IF(H170&gt;=G170*0.7,"P1 watch","P0 fix opening")))))</f>
        <v/>
      </c>
    </row>
    <row r="171">
      <c r="D171" s="4" t="n"/>
      <c r="E171" s="4" t="n"/>
      <c r="G171" s="11" t="n"/>
      <c r="H171" s="9">
        <f>IF(A171="","",IFERROR(E171/D171,0))</f>
        <v/>
      </c>
      <c r="I171" s="3">
        <f>IF(A171="","",IF(D171&gt;0,"Yes","No spend"))</f>
        <v/>
      </c>
      <c r="J171" s="3">
        <f>IF(A171="","",IF(D171=0,"Check target/activation",IF(C171="Seed","P2 keep (seeding)",IF(H171&gt;=G171,"P2 hero - scale",IF(H171&gt;=G171*0.7,"P1 watch","P0 fix opening")))))</f>
        <v/>
      </c>
    </row>
    <row r="172">
      <c r="D172" s="4" t="n"/>
      <c r="E172" s="4" t="n"/>
      <c r="G172" s="11" t="n"/>
      <c r="H172" s="9">
        <f>IF(A172="","",IFERROR(E172/D172,0))</f>
        <v/>
      </c>
      <c r="I172" s="3">
        <f>IF(A172="","",IF(D172&gt;0,"Yes","No spend"))</f>
        <v/>
      </c>
      <c r="J172" s="3">
        <f>IF(A172="","",IF(D172=0,"Check target/activation",IF(C172="Seed","P2 keep (seeding)",IF(H172&gt;=G172,"P2 hero - scale",IF(H172&gt;=G172*0.7,"P1 watch","P0 fix opening")))))</f>
        <v/>
      </c>
    </row>
    <row r="173">
      <c r="D173" s="4" t="n"/>
      <c r="E173" s="4" t="n"/>
      <c r="G173" s="11" t="n"/>
      <c r="H173" s="9">
        <f>IF(A173="","",IFERROR(E173/D173,0))</f>
        <v/>
      </c>
      <c r="I173" s="3">
        <f>IF(A173="","",IF(D173&gt;0,"Yes","No spend"))</f>
        <v/>
      </c>
      <c r="J173" s="3">
        <f>IF(A173="","",IF(D173=0,"Check target/activation",IF(C173="Seed","P2 keep (seeding)",IF(H173&gt;=G173,"P2 hero - scale",IF(H173&gt;=G173*0.7,"P1 watch","P0 fix opening")))))</f>
        <v/>
      </c>
    </row>
    <row r="174">
      <c r="D174" s="4" t="n"/>
      <c r="E174" s="4" t="n"/>
      <c r="G174" s="11" t="n"/>
      <c r="H174" s="9">
        <f>IF(A174="","",IFERROR(E174/D174,0))</f>
        <v/>
      </c>
      <c r="I174" s="3">
        <f>IF(A174="","",IF(D174&gt;0,"Yes","No spend"))</f>
        <v/>
      </c>
      <c r="J174" s="3">
        <f>IF(A174="","",IF(D174=0,"Check target/activation",IF(C174="Seed","P2 keep (seeding)",IF(H174&gt;=G174,"P2 hero - scale",IF(H174&gt;=G174*0.7,"P1 watch","P0 fix opening")))))</f>
        <v/>
      </c>
    </row>
    <row r="175">
      <c r="D175" s="4" t="n"/>
      <c r="E175" s="4" t="n"/>
      <c r="G175" s="11" t="n"/>
      <c r="H175" s="9">
        <f>IF(A175="","",IFERROR(E175/D175,0))</f>
        <v/>
      </c>
      <c r="I175" s="3">
        <f>IF(A175="","",IF(D175&gt;0,"Yes","No spend"))</f>
        <v/>
      </c>
      <c r="J175" s="3">
        <f>IF(A175="","",IF(D175=0,"Check target/activation",IF(C175="Seed","P2 keep (seeding)",IF(H175&gt;=G175,"P2 hero - scale",IF(H175&gt;=G175*0.7,"P1 watch","P0 fix opening")))))</f>
        <v/>
      </c>
    </row>
    <row r="176">
      <c r="D176" s="4" t="n"/>
      <c r="E176" s="4" t="n"/>
      <c r="G176" s="11" t="n"/>
      <c r="H176" s="9">
        <f>IF(A176="","",IFERROR(E176/D176,0))</f>
        <v/>
      </c>
      <c r="I176" s="3">
        <f>IF(A176="","",IF(D176&gt;0,"Yes","No spend"))</f>
        <v/>
      </c>
      <c r="J176" s="3">
        <f>IF(A176="","",IF(D176=0,"Check target/activation",IF(C176="Seed","P2 keep (seeding)",IF(H176&gt;=G176,"P2 hero - scale",IF(H176&gt;=G176*0.7,"P1 watch","P0 fix opening")))))</f>
        <v/>
      </c>
    </row>
    <row r="177">
      <c r="D177" s="4" t="n"/>
      <c r="E177" s="4" t="n"/>
      <c r="G177" s="11" t="n"/>
      <c r="H177" s="9">
        <f>IF(A177="","",IFERROR(E177/D177,0))</f>
        <v/>
      </c>
      <c r="I177" s="3">
        <f>IF(A177="","",IF(D177&gt;0,"Yes","No spend"))</f>
        <v/>
      </c>
      <c r="J177" s="3">
        <f>IF(A177="","",IF(D177=0,"Check target/activation",IF(C177="Seed","P2 keep (seeding)",IF(H177&gt;=G177,"P2 hero - scale",IF(H177&gt;=G177*0.7,"P1 watch","P0 fix opening")))))</f>
        <v/>
      </c>
    </row>
    <row r="178">
      <c r="D178" s="4" t="n"/>
      <c r="E178" s="4" t="n"/>
      <c r="G178" s="11" t="n"/>
      <c r="H178" s="9">
        <f>IF(A178="","",IFERROR(E178/D178,0))</f>
        <v/>
      </c>
      <c r="I178" s="3">
        <f>IF(A178="","",IF(D178&gt;0,"Yes","No spend"))</f>
        <v/>
      </c>
      <c r="J178" s="3">
        <f>IF(A178="","",IF(D178=0,"Check target/activation",IF(C178="Seed","P2 keep (seeding)",IF(H178&gt;=G178,"P2 hero - scale",IF(H178&gt;=G178*0.7,"P1 watch","P0 fix opening")))))</f>
        <v/>
      </c>
    </row>
    <row r="179">
      <c r="D179" s="4" t="n"/>
      <c r="E179" s="4" t="n"/>
      <c r="G179" s="11" t="n"/>
      <c r="H179" s="9">
        <f>IF(A179="","",IFERROR(E179/D179,0))</f>
        <v/>
      </c>
      <c r="I179" s="3">
        <f>IF(A179="","",IF(D179&gt;0,"Yes","No spend"))</f>
        <v/>
      </c>
      <c r="J179" s="3">
        <f>IF(A179="","",IF(D179=0,"Check target/activation",IF(C179="Seed","P2 keep (seeding)",IF(H179&gt;=G179,"P2 hero - scale",IF(H179&gt;=G179*0.7,"P1 watch","P0 fix opening")))))</f>
        <v/>
      </c>
    </row>
    <row r="180">
      <c r="D180" s="4" t="n"/>
      <c r="E180" s="4" t="n"/>
      <c r="G180" s="11" t="n"/>
      <c r="H180" s="9">
        <f>IF(A180="","",IFERROR(E180/D180,0))</f>
        <v/>
      </c>
      <c r="I180" s="3">
        <f>IF(A180="","",IF(D180&gt;0,"Yes","No spend"))</f>
        <v/>
      </c>
      <c r="J180" s="3">
        <f>IF(A180="","",IF(D180=0,"Check target/activation",IF(C180="Seed","P2 keep (seeding)",IF(H180&gt;=G180,"P2 hero - scale",IF(H180&gt;=G180*0.7,"P1 watch","P0 fix opening")))))</f>
        <v/>
      </c>
    </row>
    <row r="181">
      <c r="D181" s="4" t="n"/>
      <c r="E181" s="4" t="n"/>
      <c r="G181" s="11" t="n"/>
      <c r="H181" s="9">
        <f>IF(A181="","",IFERROR(E181/D181,0))</f>
        <v/>
      </c>
      <c r="I181" s="3">
        <f>IF(A181="","",IF(D181&gt;0,"Yes","No spend"))</f>
        <v/>
      </c>
      <c r="J181" s="3">
        <f>IF(A181="","",IF(D181=0,"Check target/activation",IF(C181="Seed","P2 keep (seeding)",IF(H181&gt;=G181,"P2 hero - scale",IF(H181&gt;=G181*0.7,"P1 watch","P0 fix opening")))))</f>
        <v/>
      </c>
    </row>
    <row r="182">
      <c r="D182" s="4" t="n"/>
      <c r="E182" s="4" t="n"/>
      <c r="G182" s="11" t="n"/>
      <c r="H182" s="9">
        <f>IF(A182="","",IFERROR(E182/D182,0))</f>
        <v/>
      </c>
      <c r="I182" s="3">
        <f>IF(A182="","",IF(D182&gt;0,"Yes","No spend"))</f>
        <v/>
      </c>
      <c r="J182" s="3">
        <f>IF(A182="","",IF(D182=0,"Check target/activation",IF(C182="Seed","P2 keep (seeding)",IF(H182&gt;=G182,"P2 hero - scale",IF(H182&gt;=G182*0.7,"P1 watch","P0 fix opening")))))</f>
        <v/>
      </c>
    </row>
    <row r="183">
      <c r="D183" s="4" t="n"/>
      <c r="E183" s="4" t="n"/>
      <c r="G183" s="11" t="n"/>
      <c r="H183" s="9">
        <f>IF(A183="","",IFERROR(E183/D183,0))</f>
        <v/>
      </c>
      <c r="I183" s="3">
        <f>IF(A183="","",IF(D183&gt;0,"Yes","No spend"))</f>
        <v/>
      </c>
      <c r="J183" s="3">
        <f>IF(A183="","",IF(D183=0,"Check target/activation",IF(C183="Seed","P2 keep (seeding)",IF(H183&gt;=G183,"P2 hero - scale",IF(H183&gt;=G183*0.7,"P1 watch","P0 fix opening")))))</f>
        <v/>
      </c>
    </row>
    <row r="184">
      <c r="D184" s="4" t="n"/>
      <c r="E184" s="4" t="n"/>
      <c r="G184" s="11" t="n"/>
      <c r="H184" s="9">
        <f>IF(A184="","",IFERROR(E184/D184,0))</f>
        <v/>
      </c>
      <c r="I184" s="3">
        <f>IF(A184="","",IF(D184&gt;0,"Yes","No spend"))</f>
        <v/>
      </c>
      <c r="J184" s="3">
        <f>IF(A184="","",IF(D184=0,"Check target/activation",IF(C184="Seed","P2 keep (seeding)",IF(H184&gt;=G184,"P2 hero - scale",IF(H184&gt;=G184*0.7,"P1 watch","P0 fix opening")))))</f>
        <v/>
      </c>
    </row>
    <row r="185">
      <c r="D185" s="4" t="n"/>
      <c r="E185" s="4" t="n"/>
      <c r="G185" s="11" t="n"/>
      <c r="H185" s="9">
        <f>IF(A185="","",IFERROR(E185/D185,0))</f>
        <v/>
      </c>
      <c r="I185" s="3">
        <f>IF(A185="","",IF(D185&gt;0,"Yes","No spend"))</f>
        <v/>
      </c>
      <c r="J185" s="3">
        <f>IF(A185="","",IF(D185=0,"Check target/activation",IF(C185="Seed","P2 keep (seeding)",IF(H185&gt;=G185,"P2 hero - scale",IF(H185&gt;=G185*0.7,"P1 watch","P0 fix opening")))))</f>
        <v/>
      </c>
    </row>
    <row r="186">
      <c r="D186" s="4" t="n"/>
      <c r="E186" s="4" t="n"/>
      <c r="G186" s="11" t="n"/>
      <c r="H186" s="9">
        <f>IF(A186="","",IFERROR(E186/D186,0))</f>
        <v/>
      </c>
      <c r="I186" s="3">
        <f>IF(A186="","",IF(D186&gt;0,"Yes","No spend"))</f>
        <v/>
      </c>
      <c r="J186" s="3">
        <f>IF(A186="","",IF(D186=0,"Check target/activation",IF(C186="Seed","P2 keep (seeding)",IF(H186&gt;=G186,"P2 hero - scale",IF(H186&gt;=G186*0.7,"P1 watch","P0 fix opening")))))</f>
        <v/>
      </c>
    </row>
    <row r="187">
      <c r="D187" s="4" t="n"/>
      <c r="E187" s="4" t="n"/>
      <c r="G187" s="11" t="n"/>
      <c r="H187" s="9">
        <f>IF(A187="","",IFERROR(E187/D187,0))</f>
        <v/>
      </c>
      <c r="I187" s="3">
        <f>IF(A187="","",IF(D187&gt;0,"Yes","No spend"))</f>
        <v/>
      </c>
      <c r="J187" s="3">
        <f>IF(A187="","",IF(D187=0,"Check target/activation",IF(C187="Seed","P2 keep (seeding)",IF(H187&gt;=G187,"P2 hero - scale",IF(H187&gt;=G187*0.7,"P1 watch","P0 fix opening")))))</f>
        <v/>
      </c>
    </row>
    <row r="188">
      <c r="D188" s="4" t="n"/>
      <c r="E188" s="4" t="n"/>
      <c r="G188" s="11" t="n"/>
      <c r="H188" s="9">
        <f>IF(A188="","",IFERROR(E188/D188,0))</f>
        <v/>
      </c>
      <c r="I188" s="3">
        <f>IF(A188="","",IF(D188&gt;0,"Yes","No spend"))</f>
        <v/>
      </c>
      <c r="J188" s="3">
        <f>IF(A188="","",IF(D188=0,"Check target/activation",IF(C188="Seed","P2 keep (seeding)",IF(H188&gt;=G188,"P2 hero - scale",IF(H188&gt;=G188*0.7,"P1 watch","P0 fix opening")))))</f>
        <v/>
      </c>
    </row>
    <row r="189">
      <c r="D189" s="4" t="n"/>
      <c r="E189" s="4" t="n"/>
      <c r="G189" s="11" t="n"/>
      <c r="H189" s="9">
        <f>IF(A189="","",IFERROR(E189/D189,0))</f>
        <v/>
      </c>
      <c r="I189" s="3">
        <f>IF(A189="","",IF(D189&gt;0,"Yes","No spend"))</f>
        <v/>
      </c>
      <c r="J189" s="3">
        <f>IF(A189="","",IF(D189=0,"Check target/activation",IF(C189="Seed","P2 keep (seeding)",IF(H189&gt;=G189,"P2 hero - scale",IF(H189&gt;=G189*0.7,"P1 watch","P0 fix opening")))))</f>
        <v/>
      </c>
    </row>
    <row r="190">
      <c r="D190" s="4" t="n"/>
      <c r="E190" s="4" t="n"/>
      <c r="G190" s="11" t="n"/>
      <c r="H190" s="9">
        <f>IF(A190="","",IFERROR(E190/D190,0))</f>
        <v/>
      </c>
      <c r="I190" s="3">
        <f>IF(A190="","",IF(D190&gt;0,"Yes","No spend"))</f>
        <v/>
      </c>
      <c r="J190" s="3">
        <f>IF(A190="","",IF(D190=0,"Check target/activation",IF(C190="Seed","P2 keep (seeding)",IF(H190&gt;=G190,"P2 hero - scale",IF(H190&gt;=G190*0.7,"P1 watch","P0 fix opening")))))</f>
        <v/>
      </c>
    </row>
    <row r="191">
      <c r="D191" s="4" t="n"/>
      <c r="E191" s="4" t="n"/>
      <c r="G191" s="11" t="n"/>
      <c r="H191" s="9">
        <f>IF(A191="","",IFERROR(E191/D191,0))</f>
        <v/>
      </c>
      <c r="I191" s="3">
        <f>IF(A191="","",IF(D191&gt;0,"Yes","No spend"))</f>
        <v/>
      </c>
      <c r="J191" s="3">
        <f>IF(A191="","",IF(D191=0,"Check target/activation",IF(C191="Seed","P2 keep (seeding)",IF(H191&gt;=G191,"P2 hero - scale",IF(H191&gt;=G191*0.7,"P1 watch","P0 fix opening")))))</f>
        <v/>
      </c>
    </row>
    <row r="192">
      <c r="D192" s="4" t="n"/>
      <c r="E192" s="4" t="n"/>
      <c r="G192" s="11" t="n"/>
      <c r="H192" s="9">
        <f>IF(A192="","",IFERROR(E192/D192,0))</f>
        <v/>
      </c>
      <c r="I192" s="3">
        <f>IF(A192="","",IF(D192&gt;0,"Yes","No spend"))</f>
        <v/>
      </c>
      <c r="J192" s="3">
        <f>IF(A192="","",IF(D192=0,"Check target/activation",IF(C192="Seed","P2 keep (seeding)",IF(H192&gt;=G192,"P2 hero - scale",IF(H192&gt;=G192*0.7,"P1 watch","P0 fix opening")))))</f>
        <v/>
      </c>
    </row>
    <row r="193">
      <c r="D193" s="4" t="n"/>
      <c r="E193" s="4" t="n"/>
      <c r="G193" s="11" t="n"/>
      <c r="H193" s="9">
        <f>IF(A193="","",IFERROR(E193/D193,0))</f>
        <v/>
      </c>
      <c r="I193" s="3">
        <f>IF(A193="","",IF(D193&gt;0,"Yes","No spend"))</f>
        <v/>
      </c>
      <c r="J193" s="3">
        <f>IF(A193="","",IF(D193=0,"Check target/activation",IF(C193="Seed","P2 keep (seeding)",IF(H193&gt;=G193,"P2 hero - scale",IF(H193&gt;=G193*0.7,"P1 watch","P0 fix opening")))))</f>
        <v/>
      </c>
    </row>
    <row r="194">
      <c r="D194" s="4" t="n"/>
      <c r="E194" s="4" t="n"/>
      <c r="G194" s="11" t="n"/>
      <c r="H194" s="9">
        <f>IF(A194="","",IFERROR(E194/D194,0))</f>
        <v/>
      </c>
      <c r="I194" s="3">
        <f>IF(A194="","",IF(D194&gt;0,"Yes","No spend"))</f>
        <v/>
      </c>
      <c r="J194" s="3">
        <f>IF(A194="","",IF(D194=0,"Check target/activation",IF(C194="Seed","P2 keep (seeding)",IF(H194&gt;=G194,"P2 hero - scale",IF(H194&gt;=G194*0.7,"P1 watch","P0 fix opening")))))</f>
        <v/>
      </c>
    </row>
    <row r="195">
      <c r="D195" s="4" t="n"/>
      <c r="E195" s="4" t="n"/>
      <c r="G195" s="11" t="n"/>
      <c r="H195" s="9">
        <f>IF(A195="","",IFERROR(E195/D195,0))</f>
        <v/>
      </c>
      <c r="I195" s="3">
        <f>IF(A195="","",IF(D195&gt;0,"Yes","No spend"))</f>
        <v/>
      </c>
      <c r="J195" s="3">
        <f>IF(A195="","",IF(D195=0,"Check target/activation",IF(C195="Seed","P2 keep (seeding)",IF(H195&gt;=G195,"P2 hero - scale",IF(H195&gt;=G195*0.7,"P1 watch","P0 fix opening")))))</f>
        <v/>
      </c>
    </row>
    <row r="196">
      <c r="D196" s="4" t="n"/>
      <c r="E196" s="4" t="n"/>
      <c r="G196" s="11" t="n"/>
      <c r="H196" s="9">
        <f>IF(A196="","",IFERROR(E196/D196,0))</f>
        <v/>
      </c>
      <c r="I196" s="3">
        <f>IF(A196="","",IF(D196&gt;0,"Yes","No spend"))</f>
        <v/>
      </c>
      <c r="J196" s="3">
        <f>IF(A196="","",IF(D196=0,"Check target/activation",IF(C196="Seed","P2 keep (seeding)",IF(H196&gt;=G196,"P2 hero - scale",IF(H196&gt;=G196*0.7,"P1 watch","P0 fix opening")))))</f>
        <v/>
      </c>
    </row>
    <row r="197">
      <c r="D197" s="4" t="n"/>
      <c r="E197" s="4" t="n"/>
      <c r="G197" s="11" t="n"/>
      <c r="H197" s="9">
        <f>IF(A197="","",IFERROR(E197/D197,0))</f>
        <v/>
      </c>
      <c r="I197" s="3">
        <f>IF(A197="","",IF(D197&gt;0,"Yes","No spend"))</f>
        <v/>
      </c>
      <c r="J197" s="3">
        <f>IF(A197="","",IF(D197=0,"Check target/activation",IF(C197="Seed","P2 keep (seeding)",IF(H197&gt;=G197,"P2 hero - scale",IF(H197&gt;=G197*0.7,"P1 watch","P0 fix opening")))))</f>
        <v/>
      </c>
    </row>
    <row r="198">
      <c r="D198" s="4" t="n"/>
      <c r="E198" s="4" t="n"/>
      <c r="G198" s="11" t="n"/>
      <c r="H198" s="9">
        <f>IF(A198="","",IFERROR(E198/D198,0))</f>
        <v/>
      </c>
      <c r="I198" s="3">
        <f>IF(A198="","",IF(D198&gt;0,"Yes","No spend"))</f>
        <v/>
      </c>
      <c r="J198" s="3">
        <f>IF(A198="","",IF(D198=0,"Check target/activation",IF(C198="Seed","P2 keep (seeding)",IF(H198&gt;=G198,"P2 hero - scale",IF(H198&gt;=G198*0.7,"P1 watch","P0 fix opening")))))</f>
        <v/>
      </c>
    </row>
    <row r="199">
      <c r="D199" s="4" t="n"/>
      <c r="E199" s="4" t="n"/>
      <c r="G199" s="11" t="n"/>
      <c r="H199" s="9">
        <f>IF(A199="","",IFERROR(E199/D199,0))</f>
        <v/>
      </c>
      <c r="I199" s="3">
        <f>IF(A199="","",IF(D199&gt;0,"Yes","No spend"))</f>
        <v/>
      </c>
      <c r="J199" s="3">
        <f>IF(A199="","",IF(D199=0,"Check target/activation",IF(C199="Seed","P2 keep (seeding)",IF(H199&gt;=G199,"P2 hero - scale",IF(H199&gt;=G199*0.7,"P1 watch","P0 fix opening")))))</f>
        <v/>
      </c>
    </row>
    <row r="200">
      <c r="D200" s="4" t="n"/>
      <c r="E200" s="4" t="n"/>
      <c r="G200" s="11" t="n"/>
      <c r="H200" s="9">
        <f>IF(A200="","",IFERROR(E200/D200,0))</f>
        <v/>
      </c>
      <c r="I200" s="3">
        <f>IF(A200="","",IF(D200&gt;0,"Yes","No spend"))</f>
        <v/>
      </c>
      <c r="J200" s="3">
        <f>IF(A200="","",IF(D200=0,"Check target/activation",IF(C200="Seed","P2 keep (seeding)",IF(H200&gt;=G200,"P2 hero - scale",IF(H200&gt;=G200*0.7,"P1 watch","P0 fix opening")))))</f>
        <v/>
      </c>
    </row>
    <row r="201">
      <c r="D201" s="4" t="n"/>
      <c r="E201" s="4" t="n"/>
      <c r="G201" s="11" t="n"/>
      <c r="H201" s="9">
        <f>IF(A201="","",IFERROR(E201/D201,0))</f>
        <v/>
      </c>
      <c r="I201" s="3">
        <f>IF(A201="","",IF(D201&gt;0,"Yes","No spend"))</f>
        <v/>
      </c>
      <c r="J201" s="3">
        <f>IF(A201="","",IF(D201=0,"Check target/activation",IF(C201="Seed","P2 keep (seeding)",IF(H201&gt;=G201,"P2 hero - scale",IF(H201&gt;=G201*0.7,"P1 watch","P0 fix opening")))))</f>
        <v/>
      </c>
    </row>
    <row r="203">
      <c r="A203" s="7" t="inlineStr">
        <is>
          <t>TOTAL</t>
        </is>
      </c>
      <c r="D203" s="10">
        <f>SUM(D2:D201)</f>
        <v/>
      </c>
      <c r="E203" s="10">
        <f>SUM(E2:E201)</f>
        <v/>
      </c>
      <c r="F203" s="7">
        <f>SUM(F2:F201)</f>
        <v/>
      </c>
    </row>
    <row r="205">
      <c r="A205" s="7" t="inlineStr">
        <is>
          <t>Blended ROAS</t>
        </is>
      </c>
      <c r="B205" s="11">
        <f>IFERROR(SUM(E2:E201)/SUM(D2:D201),0)</f>
        <v/>
      </c>
    </row>
    <row r="206">
      <c r="A206" s="7" t="inlineStr">
        <is>
          <t>Conversions toward ~50 learning target</t>
        </is>
      </c>
      <c r="B206" s="12">
        <f>IFERROR(SUM(F2:F201),0)</f>
        <v/>
      </c>
    </row>
  </sheetData>
  <dataValidations count="2">
    <dataValidation sqref="B2:B201" showDropDown="0" showInputMessage="0" showErrorMessage="0" allowBlank="1" type="list">
      <formula1>"0→1 validate,1→10 replicate,10→100 scale"</formula1>
    </dataValidation>
    <dataValidation sqref="C2:C201" showDropDown="0" showInputMessage="0" showErrorMessage="0" allowBlank="1" type="list">
      <formula1>"Seed,Harvest"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.14285714285715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25.71428571428572" customWidth="1" min="7" max="7"/>
    <col width="25.71428571428572" customWidth="1" min="8" max="8"/>
    <col width="15.71428571428571" customWidth="1" min="9" max="9"/>
    <col width="28.57142857142857" customWidth="1" min="10" max="10"/>
    <col width="15.71428571428571" customWidth="1" min="11" max="11"/>
    <col width="15.71428571428571" customWidth="1" min="12" max="12"/>
    <col width="28.57142857142857" customWidth="1" min="13" max="13"/>
  </cols>
  <sheetData>
    <row r="1" ht="48" customHeight="1">
      <c r="A1" s="1" t="inlineStr">
        <is>
          <t>ID</t>
        </is>
      </c>
      <c r="B1" s="1" t="inlineStr">
        <is>
          <t>Cause → effect statement</t>
        </is>
      </c>
      <c r="C1" s="1" t="inlineStr">
        <is>
          <t>Variable under test</t>
        </is>
      </c>
      <c r="D1" s="1" t="inlineStr">
        <is>
          <t>Held fixed</t>
        </is>
      </c>
      <c r="E1" s="1" t="inlineStr">
        <is>
          <t>Budget cap ($)</t>
        </is>
      </c>
      <c r="F1" s="1" t="inlineStr">
        <is>
          <t>Spent ($)</t>
        </is>
      </c>
      <c r="G1" s="1" t="inlineStr">
        <is>
          <t>Kill criterion</t>
        </is>
      </c>
      <c r="H1" s="1" t="inlineStr">
        <is>
          <t>Success criterion</t>
        </is>
      </c>
      <c r="I1" s="1" t="inlineStr">
        <is>
          <t>Independent signals</t>
        </is>
      </c>
      <c r="J1" s="1" t="inlineStr">
        <is>
          <t>Result (as observed)</t>
        </is>
      </c>
      <c r="K1" s="1" t="inlineStr">
        <is>
          <t>Decision</t>
        </is>
      </c>
      <c r="L1" s="2" t="inlineStr">
        <is>
          <t>Guardrail ƒ</t>
        </is>
      </c>
      <c r="M1" s="1" t="inlineStr">
        <is>
          <t>Learning → SOP change</t>
        </is>
      </c>
    </row>
    <row r="2">
      <c r="A2" t="inlineStr">
        <is>
          <t>H-001</t>
        </is>
      </c>
      <c r="B2" t="inlineStr">
        <is>
          <t>Leading with selling point B lifts 3s retention ≥40% for parents</t>
        </is>
      </c>
      <c r="C2" t="inlineStr">
        <is>
          <t>Selling point</t>
        </is>
      </c>
      <c r="D2" t="inlineStr">
        <is>
          <t>Offer, price, creator tier, post time</t>
        </is>
      </c>
      <c r="E2" s="4" t="n">
        <v>300</v>
      </c>
      <c r="F2" s="4" t="n">
        <v>120</v>
      </c>
      <c r="G2" t="inlineStr">
        <is>
          <t>&lt;25% after 6 videos</t>
        </is>
      </c>
      <c r="H2" t="inlineStr">
        <is>
          <t>≥40% and ≥5 orders</t>
        </is>
      </c>
      <c r="I2" t="n">
        <v>1</v>
      </c>
      <c r="K2" t="inlineStr">
        <is>
          <t>Open</t>
        </is>
      </c>
      <c r="L2" s="3">
        <f>IF(A2="","",IF(AND(K2="Scale",I2&lt;3),"Need ≥3 signals",IF(F2&gt;E2,"Over budget cap","OK")))</f>
        <v/>
      </c>
    </row>
    <row r="3">
      <c r="E3" s="4" t="n"/>
      <c r="F3" s="4" t="n"/>
      <c r="L3" s="3">
        <f>IF(A3="","",IF(AND(K3="Scale",I3&lt;3),"Need ≥3 signals",IF(F3&gt;E3,"Over budget cap","OK")))</f>
        <v/>
      </c>
    </row>
    <row r="4">
      <c r="E4" s="4" t="n"/>
      <c r="F4" s="4" t="n"/>
      <c r="L4" s="3">
        <f>IF(A4="","",IF(AND(K4="Scale",I4&lt;3),"Need ≥3 signals",IF(F4&gt;E4,"Over budget cap","OK")))</f>
        <v/>
      </c>
    </row>
    <row r="5">
      <c r="E5" s="4" t="n"/>
      <c r="F5" s="4" t="n"/>
      <c r="L5" s="3">
        <f>IF(A5="","",IF(AND(K5="Scale",I5&lt;3),"Need ≥3 signals",IF(F5&gt;E5,"Over budget cap","OK")))</f>
        <v/>
      </c>
    </row>
    <row r="6">
      <c r="E6" s="4" t="n"/>
      <c r="F6" s="4" t="n"/>
      <c r="L6" s="3">
        <f>IF(A6="","",IF(AND(K6="Scale",I6&lt;3),"Need ≥3 signals",IF(F6&gt;E6,"Over budget cap","OK")))</f>
        <v/>
      </c>
    </row>
    <row r="7">
      <c r="E7" s="4" t="n"/>
      <c r="F7" s="4" t="n"/>
      <c r="L7" s="3">
        <f>IF(A7="","",IF(AND(K7="Scale",I7&lt;3),"Need ≥3 signals",IF(F7&gt;E7,"Over budget cap","OK")))</f>
        <v/>
      </c>
    </row>
    <row r="8">
      <c r="E8" s="4" t="n"/>
      <c r="F8" s="4" t="n"/>
      <c r="L8" s="3">
        <f>IF(A8="","",IF(AND(K8="Scale",I8&lt;3),"Need ≥3 signals",IF(F8&gt;E8,"Over budget cap","OK")))</f>
        <v/>
      </c>
    </row>
    <row r="9">
      <c r="E9" s="4" t="n"/>
      <c r="F9" s="4" t="n"/>
      <c r="L9" s="3">
        <f>IF(A9="","",IF(AND(K9="Scale",I9&lt;3),"Need ≥3 signals",IF(F9&gt;E9,"Over budget cap","OK")))</f>
        <v/>
      </c>
    </row>
    <row r="10">
      <c r="E10" s="4" t="n"/>
      <c r="F10" s="4" t="n"/>
      <c r="L10" s="3">
        <f>IF(A10="","",IF(AND(K10="Scale",I10&lt;3),"Need ≥3 signals",IF(F10&gt;E10,"Over budget cap","OK")))</f>
        <v/>
      </c>
    </row>
    <row r="11">
      <c r="E11" s="4" t="n"/>
      <c r="F11" s="4" t="n"/>
      <c r="L11" s="3">
        <f>IF(A11="","",IF(AND(K11="Scale",I11&lt;3),"Need ≥3 signals",IF(F11&gt;E11,"Over budget cap","OK")))</f>
        <v/>
      </c>
    </row>
    <row r="12">
      <c r="E12" s="4" t="n"/>
      <c r="F12" s="4" t="n"/>
      <c r="L12" s="3">
        <f>IF(A12="","",IF(AND(K12="Scale",I12&lt;3),"Need ≥3 signals",IF(F12&gt;E12,"Over budget cap","OK")))</f>
        <v/>
      </c>
    </row>
    <row r="13">
      <c r="E13" s="4" t="n"/>
      <c r="F13" s="4" t="n"/>
      <c r="L13" s="3">
        <f>IF(A13="","",IF(AND(K13="Scale",I13&lt;3),"Need ≥3 signals",IF(F13&gt;E13,"Over budget cap","OK")))</f>
        <v/>
      </c>
    </row>
    <row r="14">
      <c r="E14" s="4" t="n"/>
      <c r="F14" s="4" t="n"/>
      <c r="L14" s="3">
        <f>IF(A14="","",IF(AND(K14="Scale",I14&lt;3),"Need ≥3 signals",IF(F14&gt;E14,"Over budget cap","OK")))</f>
        <v/>
      </c>
    </row>
    <row r="15">
      <c r="E15" s="4" t="n"/>
      <c r="F15" s="4" t="n"/>
      <c r="L15" s="3">
        <f>IF(A15="","",IF(AND(K15="Scale",I15&lt;3),"Need ≥3 signals",IF(F15&gt;E15,"Over budget cap","OK")))</f>
        <v/>
      </c>
    </row>
    <row r="16">
      <c r="E16" s="4" t="n"/>
      <c r="F16" s="4" t="n"/>
      <c r="L16" s="3">
        <f>IF(A16="","",IF(AND(K16="Scale",I16&lt;3),"Need ≥3 signals",IF(F16&gt;E16,"Over budget cap","OK")))</f>
        <v/>
      </c>
    </row>
    <row r="17">
      <c r="E17" s="4" t="n"/>
      <c r="F17" s="4" t="n"/>
      <c r="L17" s="3">
        <f>IF(A17="","",IF(AND(K17="Scale",I17&lt;3),"Need ≥3 signals",IF(F17&gt;E17,"Over budget cap","OK")))</f>
        <v/>
      </c>
    </row>
    <row r="18">
      <c r="E18" s="4" t="n"/>
      <c r="F18" s="4" t="n"/>
      <c r="L18" s="3">
        <f>IF(A18="","",IF(AND(K18="Scale",I18&lt;3),"Need ≥3 signals",IF(F18&gt;E18,"Over budget cap","OK")))</f>
        <v/>
      </c>
    </row>
    <row r="19">
      <c r="E19" s="4" t="n"/>
      <c r="F19" s="4" t="n"/>
      <c r="L19" s="3">
        <f>IF(A19="","",IF(AND(K19="Scale",I19&lt;3),"Need ≥3 signals",IF(F19&gt;E19,"Over budget cap","OK")))</f>
        <v/>
      </c>
    </row>
    <row r="20">
      <c r="E20" s="4" t="n"/>
      <c r="F20" s="4" t="n"/>
      <c r="L20" s="3">
        <f>IF(A20="","",IF(AND(K20="Scale",I20&lt;3),"Need ≥3 signals",IF(F20&gt;E20,"Over budget cap","OK")))</f>
        <v/>
      </c>
    </row>
    <row r="21">
      <c r="E21" s="4" t="n"/>
      <c r="F21" s="4" t="n"/>
      <c r="L21" s="3">
        <f>IF(A21="","",IF(AND(K21="Scale",I21&lt;3),"Need ≥3 signals",IF(F21&gt;E21,"Over budget cap","OK")))</f>
        <v/>
      </c>
    </row>
    <row r="22">
      <c r="E22" s="4" t="n"/>
      <c r="F22" s="4" t="n"/>
      <c r="L22" s="3">
        <f>IF(A22="","",IF(AND(K22="Scale",I22&lt;3),"Need ≥3 signals",IF(F22&gt;E22,"Over budget cap","OK")))</f>
        <v/>
      </c>
    </row>
    <row r="23">
      <c r="E23" s="4" t="n"/>
      <c r="F23" s="4" t="n"/>
      <c r="L23" s="3">
        <f>IF(A23="","",IF(AND(K23="Scale",I23&lt;3),"Need ≥3 signals",IF(F23&gt;E23,"Over budget cap","OK")))</f>
        <v/>
      </c>
    </row>
    <row r="24">
      <c r="E24" s="4" t="n"/>
      <c r="F24" s="4" t="n"/>
      <c r="L24" s="3">
        <f>IF(A24="","",IF(AND(K24="Scale",I24&lt;3),"Need ≥3 signals",IF(F24&gt;E24,"Over budget cap","OK")))</f>
        <v/>
      </c>
    </row>
    <row r="25">
      <c r="E25" s="4" t="n"/>
      <c r="F25" s="4" t="n"/>
      <c r="L25" s="3">
        <f>IF(A25="","",IF(AND(K25="Scale",I25&lt;3),"Need ≥3 signals",IF(F25&gt;E25,"Over budget cap","OK")))</f>
        <v/>
      </c>
    </row>
    <row r="26">
      <c r="E26" s="4" t="n"/>
      <c r="F26" s="4" t="n"/>
      <c r="L26" s="3">
        <f>IF(A26="","",IF(AND(K26="Scale",I26&lt;3),"Need ≥3 signals",IF(F26&gt;E26,"Over budget cap","OK")))</f>
        <v/>
      </c>
    </row>
    <row r="27">
      <c r="E27" s="4" t="n"/>
      <c r="F27" s="4" t="n"/>
      <c r="L27" s="3">
        <f>IF(A27="","",IF(AND(K27="Scale",I27&lt;3),"Need ≥3 signals",IF(F27&gt;E27,"Over budget cap","OK")))</f>
        <v/>
      </c>
    </row>
    <row r="28">
      <c r="E28" s="4" t="n"/>
      <c r="F28" s="4" t="n"/>
      <c r="L28" s="3">
        <f>IF(A28="","",IF(AND(K28="Scale",I28&lt;3),"Need ≥3 signals",IF(F28&gt;E28,"Over budget cap","OK")))</f>
        <v/>
      </c>
    </row>
    <row r="29">
      <c r="E29" s="4" t="n"/>
      <c r="F29" s="4" t="n"/>
      <c r="L29" s="3">
        <f>IF(A29="","",IF(AND(K29="Scale",I29&lt;3),"Need ≥3 signals",IF(F29&gt;E29,"Over budget cap","OK")))</f>
        <v/>
      </c>
    </row>
    <row r="30">
      <c r="E30" s="4" t="n"/>
      <c r="F30" s="4" t="n"/>
      <c r="L30" s="3">
        <f>IF(A30="","",IF(AND(K30="Scale",I30&lt;3),"Need ≥3 signals",IF(F30&gt;E30,"Over budget cap","OK")))</f>
        <v/>
      </c>
    </row>
    <row r="31">
      <c r="E31" s="4" t="n"/>
      <c r="F31" s="4" t="n"/>
      <c r="L31" s="3">
        <f>IF(A31="","",IF(AND(K31="Scale",I31&lt;3),"Need ≥3 signals",IF(F31&gt;E31,"Over budget cap","OK")))</f>
        <v/>
      </c>
    </row>
    <row r="32">
      <c r="E32" s="4" t="n"/>
      <c r="F32" s="4" t="n"/>
      <c r="L32" s="3">
        <f>IF(A32="","",IF(AND(K32="Scale",I32&lt;3),"Need ≥3 signals",IF(F32&gt;E32,"Over budget cap","OK")))</f>
        <v/>
      </c>
    </row>
    <row r="33">
      <c r="E33" s="4" t="n"/>
      <c r="F33" s="4" t="n"/>
      <c r="L33" s="3">
        <f>IF(A33="","",IF(AND(K33="Scale",I33&lt;3),"Need ≥3 signals",IF(F33&gt;E33,"Over budget cap","OK")))</f>
        <v/>
      </c>
    </row>
    <row r="34">
      <c r="E34" s="4" t="n"/>
      <c r="F34" s="4" t="n"/>
      <c r="L34" s="3">
        <f>IF(A34="","",IF(AND(K34="Scale",I34&lt;3),"Need ≥3 signals",IF(F34&gt;E34,"Over budget cap","OK")))</f>
        <v/>
      </c>
    </row>
    <row r="35">
      <c r="E35" s="4" t="n"/>
      <c r="F35" s="4" t="n"/>
      <c r="L35" s="3">
        <f>IF(A35="","",IF(AND(K35="Scale",I35&lt;3),"Need ≥3 signals",IF(F35&gt;E35,"Over budget cap","OK")))</f>
        <v/>
      </c>
    </row>
    <row r="36">
      <c r="E36" s="4" t="n"/>
      <c r="F36" s="4" t="n"/>
      <c r="L36" s="3">
        <f>IF(A36="","",IF(AND(K36="Scale",I36&lt;3),"Need ≥3 signals",IF(F36&gt;E36,"Over budget cap","OK")))</f>
        <v/>
      </c>
    </row>
    <row r="37">
      <c r="E37" s="4" t="n"/>
      <c r="F37" s="4" t="n"/>
      <c r="L37" s="3">
        <f>IF(A37="","",IF(AND(K37="Scale",I37&lt;3),"Need ≥3 signals",IF(F37&gt;E37,"Over budget cap","OK")))</f>
        <v/>
      </c>
    </row>
    <row r="38">
      <c r="E38" s="4" t="n"/>
      <c r="F38" s="4" t="n"/>
      <c r="L38" s="3">
        <f>IF(A38="","",IF(AND(K38="Scale",I38&lt;3),"Need ≥3 signals",IF(F38&gt;E38,"Over budget cap","OK")))</f>
        <v/>
      </c>
    </row>
    <row r="39">
      <c r="E39" s="4" t="n"/>
      <c r="F39" s="4" t="n"/>
      <c r="L39" s="3">
        <f>IF(A39="","",IF(AND(K39="Scale",I39&lt;3),"Need ≥3 signals",IF(F39&gt;E39,"Over budget cap","OK")))</f>
        <v/>
      </c>
    </row>
    <row r="40">
      <c r="E40" s="4" t="n"/>
      <c r="F40" s="4" t="n"/>
      <c r="L40" s="3">
        <f>IF(A40="","",IF(AND(K40="Scale",I40&lt;3),"Need ≥3 signals",IF(F40&gt;E40,"Over budget cap","OK")))</f>
        <v/>
      </c>
    </row>
    <row r="41">
      <c r="E41" s="4" t="n"/>
      <c r="F41" s="4" t="n"/>
      <c r="L41" s="3">
        <f>IF(A41="","",IF(AND(K41="Scale",I41&lt;3),"Need ≥3 signals",IF(F41&gt;E41,"Over budget cap","OK")))</f>
        <v/>
      </c>
    </row>
    <row r="42">
      <c r="E42" s="4" t="n"/>
      <c r="F42" s="4" t="n"/>
      <c r="L42" s="3">
        <f>IF(A42="","",IF(AND(K42="Scale",I42&lt;3),"Need ≥3 signals",IF(F42&gt;E42,"Over budget cap","OK")))</f>
        <v/>
      </c>
    </row>
    <row r="43">
      <c r="E43" s="4" t="n"/>
      <c r="F43" s="4" t="n"/>
      <c r="L43" s="3">
        <f>IF(A43="","",IF(AND(K43="Scale",I43&lt;3),"Need ≥3 signals",IF(F43&gt;E43,"Over budget cap","OK")))</f>
        <v/>
      </c>
    </row>
    <row r="44">
      <c r="E44" s="4" t="n"/>
      <c r="F44" s="4" t="n"/>
      <c r="L44" s="3">
        <f>IF(A44="","",IF(AND(K44="Scale",I44&lt;3),"Need ≥3 signals",IF(F44&gt;E44,"Over budget cap","OK")))</f>
        <v/>
      </c>
    </row>
    <row r="45">
      <c r="E45" s="4" t="n"/>
      <c r="F45" s="4" t="n"/>
      <c r="L45" s="3">
        <f>IF(A45="","",IF(AND(K45="Scale",I45&lt;3),"Need ≥3 signals",IF(F45&gt;E45,"Over budget cap","OK")))</f>
        <v/>
      </c>
    </row>
    <row r="46">
      <c r="E46" s="4" t="n"/>
      <c r="F46" s="4" t="n"/>
      <c r="L46" s="3">
        <f>IF(A46="","",IF(AND(K46="Scale",I46&lt;3),"Need ≥3 signals",IF(F46&gt;E46,"Over budget cap","OK")))</f>
        <v/>
      </c>
    </row>
    <row r="47">
      <c r="E47" s="4" t="n"/>
      <c r="F47" s="4" t="n"/>
      <c r="L47" s="3">
        <f>IF(A47="","",IF(AND(K47="Scale",I47&lt;3),"Need ≥3 signals",IF(F47&gt;E47,"Over budget cap","OK")))</f>
        <v/>
      </c>
    </row>
    <row r="48">
      <c r="E48" s="4" t="n"/>
      <c r="F48" s="4" t="n"/>
      <c r="L48" s="3">
        <f>IF(A48="","",IF(AND(K48="Scale",I48&lt;3),"Need ≥3 signals",IF(F48&gt;E48,"Over budget cap","OK")))</f>
        <v/>
      </c>
    </row>
    <row r="49">
      <c r="E49" s="4" t="n"/>
      <c r="F49" s="4" t="n"/>
      <c r="L49" s="3">
        <f>IF(A49="","",IF(AND(K49="Scale",I49&lt;3),"Need ≥3 signals",IF(F49&gt;E49,"Over budget cap","OK")))</f>
        <v/>
      </c>
    </row>
    <row r="50">
      <c r="E50" s="4" t="n"/>
      <c r="F50" s="4" t="n"/>
      <c r="L50" s="3">
        <f>IF(A50="","",IF(AND(K50="Scale",I50&lt;3),"Need ≥3 signals",IF(F50&gt;E50,"Over budget cap","OK")))</f>
        <v/>
      </c>
    </row>
    <row r="51">
      <c r="E51" s="4" t="n"/>
      <c r="F51" s="4" t="n"/>
      <c r="L51" s="3">
        <f>IF(A51="","",IF(AND(K51="Scale",I51&lt;3),"Need ≥3 signals",IF(F51&gt;E51,"Over budget cap","OK")))</f>
        <v/>
      </c>
    </row>
    <row r="52">
      <c r="E52" s="4" t="n"/>
      <c r="F52" s="4" t="n"/>
      <c r="L52" s="3">
        <f>IF(A52="","",IF(AND(K52="Scale",I52&lt;3),"Need ≥3 signals",IF(F52&gt;E52,"Over budget cap","OK")))</f>
        <v/>
      </c>
    </row>
    <row r="53">
      <c r="E53" s="4" t="n"/>
      <c r="F53" s="4" t="n"/>
      <c r="L53" s="3">
        <f>IF(A53="","",IF(AND(K53="Scale",I53&lt;3),"Need ≥3 signals",IF(F53&gt;E53,"Over budget cap","OK")))</f>
        <v/>
      </c>
    </row>
    <row r="54">
      <c r="E54" s="4" t="n"/>
      <c r="F54" s="4" t="n"/>
      <c r="L54" s="3">
        <f>IF(A54="","",IF(AND(K54="Scale",I54&lt;3),"Need ≥3 signals",IF(F54&gt;E54,"Over budget cap","OK")))</f>
        <v/>
      </c>
    </row>
    <row r="55">
      <c r="E55" s="4" t="n"/>
      <c r="F55" s="4" t="n"/>
      <c r="L55" s="3">
        <f>IF(A55="","",IF(AND(K55="Scale",I55&lt;3),"Need ≥3 signals",IF(F55&gt;E55,"Over budget cap","OK")))</f>
        <v/>
      </c>
    </row>
    <row r="56">
      <c r="E56" s="4" t="n"/>
      <c r="F56" s="4" t="n"/>
      <c r="L56" s="3">
        <f>IF(A56="","",IF(AND(K56="Scale",I56&lt;3),"Need ≥3 signals",IF(F56&gt;E56,"Over budget cap","OK")))</f>
        <v/>
      </c>
    </row>
    <row r="57">
      <c r="E57" s="4" t="n"/>
      <c r="F57" s="4" t="n"/>
      <c r="L57" s="3">
        <f>IF(A57="","",IF(AND(K57="Scale",I57&lt;3),"Need ≥3 signals",IF(F57&gt;E57,"Over budget cap","OK")))</f>
        <v/>
      </c>
    </row>
    <row r="58">
      <c r="E58" s="4" t="n"/>
      <c r="F58" s="4" t="n"/>
      <c r="L58" s="3">
        <f>IF(A58="","",IF(AND(K58="Scale",I58&lt;3),"Need ≥3 signals",IF(F58&gt;E58,"Over budget cap","OK")))</f>
        <v/>
      </c>
    </row>
    <row r="59">
      <c r="E59" s="4" t="n"/>
      <c r="F59" s="4" t="n"/>
      <c r="L59" s="3">
        <f>IF(A59="","",IF(AND(K59="Scale",I59&lt;3),"Need ≥3 signals",IF(F59&gt;E59,"Over budget cap","OK")))</f>
        <v/>
      </c>
    </row>
    <row r="60">
      <c r="E60" s="4" t="n"/>
      <c r="F60" s="4" t="n"/>
      <c r="L60" s="3">
        <f>IF(A60="","",IF(AND(K60="Scale",I60&lt;3),"Need ≥3 signals",IF(F60&gt;E60,"Over budget cap","OK")))</f>
        <v/>
      </c>
    </row>
    <row r="61">
      <c r="E61" s="4" t="n"/>
      <c r="F61" s="4" t="n"/>
      <c r="L61" s="3">
        <f>IF(A61="","",IF(AND(K61="Scale",I61&lt;3),"Need ≥3 signals",IF(F61&gt;E61,"Over budget cap","OK")))</f>
        <v/>
      </c>
    </row>
    <row r="62">
      <c r="E62" s="4" t="n"/>
      <c r="F62" s="4" t="n"/>
      <c r="L62" s="3">
        <f>IF(A62="","",IF(AND(K62="Scale",I62&lt;3),"Need ≥3 signals",IF(F62&gt;E62,"Over budget cap","OK")))</f>
        <v/>
      </c>
    </row>
    <row r="63">
      <c r="E63" s="4" t="n"/>
      <c r="F63" s="4" t="n"/>
      <c r="L63" s="3">
        <f>IF(A63="","",IF(AND(K63="Scale",I63&lt;3),"Need ≥3 signals",IF(F63&gt;E63,"Over budget cap","OK")))</f>
        <v/>
      </c>
    </row>
    <row r="64">
      <c r="E64" s="4" t="n"/>
      <c r="F64" s="4" t="n"/>
      <c r="L64" s="3">
        <f>IF(A64="","",IF(AND(K64="Scale",I64&lt;3),"Need ≥3 signals",IF(F64&gt;E64,"Over budget cap","OK")))</f>
        <v/>
      </c>
    </row>
    <row r="65">
      <c r="E65" s="4" t="n"/>
      <c r="F65" s="4" t="n"/>
      <c r="L65" s="3">
        <f>IF(A65="","",IF(AND(K65="Scale",I65&lt;3),"Need ≥3 signals",IF(F65&gt;E65,"Over budget cap","OK")))</f>
        <v/>
      </c>
    </row>
    <row r="66">
      <c r="E66" s="4" t="n"/>
      <c r="F66" s="4" t="n"/>
      <c r="L66" s="3">
        <f>IF(A66="","",IF(AND(K66="Scale",I66&lt;3),"Need ≥3 signals",IF(F66&gt;E66,"Over budget cap","OK")))</f>
        <v/>
      </c>
    </row>
    <row r="67">
      <c r="E67" s="4" t="n"/>
      <c r="F67" s="4" t="n"/>
      <c r="L67" s="3">
        <f>IF(A67="","",IF(AND(K67="Scale",I67&lt;3),"Need ≥3 signals",IF(F67&gt;E67,"Over budget cap","OK")))</f>
        <v/>
      </c>
    </row>
    <row r="68">
      <c r="E68" s="4" t="n"/>
      <c r="F68" s="4" t="n"/>
      <c r="L68" s="3">
        <f>IF(A68="","",IF(AND(K68="Scale",I68&lt;3),"Need ≥3 signals",IF(F68&gt;E68,"Over budget cap","OK")))</f>
        <v/>
      </c>
    </row>
    <row r="69">
      <c r="E69" s="4" t="n"/>
      <c r="F69" s="4" t="n"/>
      <c r="L69" s="3">
        <f>IF(A69="","",IF(AND(K69="Scale",I69&lt;3),"Need ≥3 signals",IF(F69&gt;E69,"Over budget cap","OK")))</f>
        <v/>
      </c>
    </row>
    <row r="70">
      <c r="E70" s="4" t="n"/>
      <c r="F70" s="4" t="n"/>
      <c r="L70" s="3">
        <f>IF(A70="","",IF(AND(K70="Scale",I70&lt;3),"Need ≥3 signals",IF(F70&gt;E70,"Over budget cap","OK")))</f>
        <v/>
      </c>
    </row>
    <row r="71">
      <c r="E71" s="4" t="n"/>
      <c r="F71" s="4" t="n"/>
      <c r="L71" s="3">
        <f>IF(A71="","",IF(AND(K71="Scale",I71&lt;3),"Need ≥3 signals",IF(F71&gt;E71,"Over budget cap","OK")))</f>
        <v/>
      </c>
    </row>
    <row r="72">
      <c r="E72" s="4" t="n"/>
      <c r="F72" s="4" t="n"/>
      <c r="L72" s="3">
        <f>IF(A72="","",IF(AND(K72="Scale",I72&lt;3),"Need ≥3 signals",IF(F72&gt;E72,"Over budget cap","OK")))</f>
        <v/>
      </c>
    </row>
    <row r="73">
      <c r="E73" s="4" t="n"/>
      <c r="F73" s="4" t="n"/>
      <c r="L73" s="3">
        <f>IF(A73="","",IF(AND(K73="Scale",I73&lt;3),"Need ≥3 signals",IF(F73&gt;E73,"Over budget cap","OK")))</f>
        <v/>
      </c>
    </row>
    <row r="74">
      <c r="E74" s="4" t="n"/>
      <c r="F74" s="4" t="n"/>
      <c r="L74" s="3">
        <f>IF(A74="","",IF(AND(K74="Scale",I74&lt;3),"Need ≥3 signals",IF(F74&gt;E74,"Over budget cap","OK")))</f>
        <v/>
      </c>
    </row>
    <row r="75">
      <c r="E75" s="4" t="n"/>
      <c r="F75" s="4" t="n"/>
      <c r="L75" s="3">
        <f>IF(A75="","",IF(AND(K75="Scale",I75&lt;3),"Need ≥3 signals",IF(F75&gt;E75,"Over budget cap","OK")))</f>
        <v/>
      </c>
    </row>
    <row r="76">
      <c r="E76" s="4" t="n"/>
      <c r="F76" s="4" t="n"/>
      <c r="L76" s="3">
        <f>IF(A76="","",IF(AND(K76="Scale",I76&lt;3),"Need ≥3 signals",IF(F76&gt;E76,"Over budget cap","OK")))</f>
        <v/>
      </c>
    </row>
    <row r="77">
      <c r="E77" s="4" t="n"/>
      <c r="F77" s="4" t="n"/>
      <c r="L77" s="3">
        <f>IF(A77="","",IF(AND(K77="Scale",I77&lt;3),"Need ≥3 signals",IF(F77&gt;E77,"Over budget cap","OK")))</f>
        <v/>
      </c>
    </row>
    <row r="78">
      <c r="E78" s="4" t="n"/>
      <c r="F78" s="4" t="n"/>
      <c r="L78" s="3">
        <f>IF(A78="","",IF(AND(K78="Scale",I78&lt;3),"Need ≥3 signals",IF(F78&gt;E78,"Over budget cap","OK")))</f>
        <v/>
      </c>
    </row>
    <row r="79">
      <c r="E79" s="4" t="n"/>
      <c r="F79" s="4" t="n"/>
      <c r="L79" s="3">
        <f>IF(A79="","",IF(AND(K79="Scale",I79&lt;3),"Need ≥3 signals",IF(F79&gt;E79,"Over budget cap","OK")))</f>
        <v/>
      </c>
    </row>
    <row r="80">
      <c r="E80" s="4" t="n"/>
      <c r="F80" s="4" t="n"/>
      <c r="L80" s="3">
        <f>IF(A80="","",IF(AND(K80="Scale",I80&lt;3),"Need ≥3 signals",IF(F80&gt;E80,"Over budget cap","OK")))</f>
        <v/>
      </c>
    </row>
    <row r="81">
      <c r="E81" s="4" t="n"/>
      <c r="F81" s="4" t="n"/>
      <c r="L81" s="3">
        <f>IF(A81="","",IF(AND(K81="Scale",I81&lt;3),"Need ≥3 signals",IF(F81&gt;E81,"Over budget cap","OK")))</f>
        <v/>
      </c>
    </row>
    <row r="82">
      <c r="E82" s="4" t="n"/>
      <c r="F82" s="4" t="n"/>
      <c r="L82" s="3">
        <f>IF(A82="","",IF(AND(K82="Scale",I82&lt;3),"Need ≥3 signals",IF(F82&gt;E82,"Over budget cap","OK")))</f>
        <v/>
      </c>
    </row>
    <row r="83">
      <c r="E83" s="4" t="n"/>
      <c r="F83" s="4" t="n"/>
      <c r="L83" s="3">
        <f>IF(A83="","",IF(AND(K83="Scale",I83&lt;3),"Need ≥3 signals",IF(F83&gt;E83,"Over budget cap","OK")))</f>
        <v/>
      </c>
    </row>
    <row r="84">
      <c r="E84" s="4" t="n"/>
      <c r="F84" s="4" t="n"/>
      <c r="L84" s="3">
        <f>IF(A84="","",IF(AND(K84="Scale",I84&lt;3),"Need ≥3 signals",IF(F84&gt;E84,"Over budget cap","OK")))</f>
        <v/>
      </c>
    </row>
    <row r="85">
      <c r="E85" s="4" t="n"/>
      <c r="F85" s="4" t="n"/>
      <c r="L85" s="3">
        <f>IF(A85="","",IF(AND(K85="Scale",I85&lt;3),"Need ≥3 signals",IF(F85&gt;E85,"Over budget cap","OK")))</f>
        <v/>
      </c>
    </row>
    <row r="86">
      <c r="E86" s="4" t="n"/>
      <c r="F86" s="4" t="n"/>
      <c r="L86" s="3">
        <f>IF(A86="","",IF(AND(K86="Scale",I86&lt;3),"Need ≥3 signals",IF(F86&gt;E86,"Over budget cap","OK")))</f>
        <v/>
      </c>
    </row>
    <row r="87">
      <c r="E87" s="4" t="n"/>
      <c r="F87" s="4" t="n"/>
      <c r="L87" s="3">
        <f>IF(A87="","",IF(AND(K87="Scale",I87&lt;3),"Need ≥3 signals",IF(F87&gt;E87,"Over budget cap","OK")))</f>
        <v/>
      </c>
    </row>
    <row r="88">
      <c r="E88" s="4" t="n"/>
      <c r="F88" s="4" t="n"/>
      <c r="L88" s="3">
        <f>IF(A88="","",IF(AND(K88="Scale",I88&lt;3),"Need ≥3 signals",IF(F88&gt;E88,"Over budget cap","OK")))</f>
        <v/>
      </c>
    </row>
    <row r="89">
      <c r="E89" s="4" t="n"/>
      <c r="F89" s="4" t="n"/>
      <c r="L89" s="3">
        <f>IF(A89="","",IF(AND(K89="Scale",I89&lt;3),"Need ≥3 signals",IF(F89&gt;E89,"Over budget cap","OK")))</f>
        <v/>
      </c>
    </row>
    <row r="90">
      <c r="E90" s="4" t="n"/>
      <c r="F90" s="4" t="n"/>
      <c r="L90" s="3">
        <f>IF(A90="","",IF(AND(K90="Scale",I90&lt;3),"Need ≥3 signals",IF(F90&gt;E90,"Over budget cap","OK")))</f>
        <v/>
      </c>
    </row>
    <row r="91">
      <c r="E91" s="4" t="n"/>
      <c r="F91" s="4" t="n"/>
      <c r="L91" s="3">
        <f>IF(A91="","",IF(AND(K91="Scale",I91&lt;3),"Need ≥3 signals",IF(F91&gt;E91,"Over budget cap","OK")))</f>
        <v/>
      </c>
    </row>
    <row r="92">
      <c r="E92" s="4" t="n"/>
      <c r="F92" s="4" t="n"/>
      <c r="L92" s="3">
        <f>IF(A92="","",IF(AND(K92="Scale",I92&lt;3),"Need ≥3 signals",IF(F92&gt;E92,"Over budget cap","OK")))</f>
        <v/>
      </c>
    </row>
    <row r="93">
      <c r="E93" s="4" t="n"/>
      <c r="F93" s="4" t="n"/>
      <c r="L93" s="3">
        <f>IF(A93="","",IF(AND(K93="Scale",I93&lt;3),"Need ≥3 signals",IF(F93&gt;E93,"Over budget cap","OK")))</f>
        <v/>
      </c>
    </row>
    <row r="94">
      <c r="E94" s="4" t="n"/>
      <c r="F94" s="4" t="n"/>
      <c r="L94" s="3">
        <f>IF(A94="","",IF(AND(K94="Scale",I94&lt;3),"Need ≥3 signals",IF(F94&gt;E94,"Over budget cap","OK")))</f>
        <v/>
      </c>
    </row>
    <row r="95">
      <c r="E95" s="4" t="n"/>
      <c r="F95" s="4" t="n"/>
      <c r="L95" s="3">
        <f>IF(A95="","",IF(AND(K95="Scale",I95&lt;3),"Need ≥3 signals",IF(F95&gt;E95,"Over budget cap","OK")))</f>
        <v/>
      </c>
    </row>
    <row r="96">
      <c r="E96" s="4" t="n"/>
      <c r="F96" s="4" t="n"/>
      <c r="L96" s="3">
        <f>IF(A96="","",IF(AND(K96="Scale",I96&lt;3),"Need ≥3 signals",IF(F96&gt;E96,"Over budget cap","OK")))</f>
        <v/>
      </c>
    </row>
    <row r="97">
      <c r="E97" s="4" t="n"/>
      <c r="F97" s="4" t="n"/>
      <c r="L97" s="3">
        <f>IF(A97="","",IF(AND(K97="Scale",I97&lt;3),"Need ≥3 signals",IF(F97&gt;E97,"Over budget cap","OK")))</f>
        <v/>
      </c>
    </row>
    <row r="98">
      <c r="E98" s="4" t="n"/>
      <c r="F98" s="4" t="n"/>
      <c r="L98" s="3">
        <f>IF(A98="","",IF(AND(K98="Scale",I98&lt;3),"Need ≥3 signals",IF(F98&gt;E98,"Over budget cap","OK")))</f>
        <v/>
      </c>
    </row>
    <row r="99">
      <c r="E99" s="4" t="n"/>
      <c r="F99" s="4" t="n"/>
      <c r="L99" s="3">
        <f>IF(A99="","",IF(AND(K99="Scale",I99&lt;3),"Need ≥3 signals",IF(F99&gt;E99,"Over budget cap","OK")))</f>
        <v/>
      </c>
    </row>
    <row r="100">
      <c r="E100" s="4" t="n"/>
      <c r="F100" s="4" t="n"/>
      <c r="L100" s="3">
        <f>IF(A100="","",IF(AND(K100="Scale",I100&lt;3),"Need ≥3 signals",IF(F100&gt;E100,"Over budget cap","OK")))</f>
        <v/>
      </c>
    </row>
    <row r="101">
      <c r="E101" s="4" t="n"/>
      <c r="F101" s="4" t="n"/>
      <c r="L101" s="3">
        <f>IF(A101="","",IF(AND(K101="Scale",I101&lt;3),"Need ≥3 signals",IF(F101&gt;E101,"Over budget cap","OK")))</f>
        <v/>
      </c>
    </row>
    <row r="102">
      <c r="E102" s="4" t="n"/>
      <c r="F102" s="4" t="n"/>
      <c r="L102" s="3">
        <f>IF(A102="","",IF(AND(K102="Scale",I102&lt;3),"Need ≥3 signals",IF(F102&gt;E102,"Over budget cap","OK")))</f>
        <v/>
      </c>
    </row>
    <row r="103">
      <c r="E103" s="4" t="n"/>
      <c r="F103" s="4" t="n"/>
      <c r="L103" s="3">
        <f>IF(A103="","",IF(AND(K103="Scale",I103&lt;3),"Need ≥3 signals",IF(F103&gt;E103,"Over budget cap","OK")))</f>
        <v/>
      </c>
    </row>
    <row r="104">
      <c r="E104" s="4" t="n"/>
      <c r="F104" s="4" t="n"/>
      <c r="L104" s="3">
        <f>IF(A104="","",IF(AND(K104="Scale",I104&lt;3),"Need ≥3 signals",IF(F104&gt;E104,"Over budget cap","OK")))</f>
        <v/>
      </c>
    </row>
    <row r="105">
      <c r="E105" s="4" t="n"/>
      <c r="F105" s="4" t="n"/>
      <c r="L105" s="3">
        <f>IF(A105="","",IF(AND(K105="Scale",I105&lt;3),"Need ≥3 signals",IF(F105&gt;E105,"Over budget cap","OK")))</f>
        <v/>
      </c>
    </row>
    <row r="106">
      <c r="E106" s="4" t="n"/>
      <c r="F106" s="4" t="n"/>
      <c r="L106" s="3">
        <f>IF(A106="","",IF(AND(K106="Scale",I106&lt;3),"Need ≥3 signals",IF(F106&gt;E106,"Over budget cap","OK")))</f>
        <v/>
      </c>
    </row>
    <row r="107">
      <c r="E107" s="4" t="n"/>
      <c r="F107" s="4" t="n"/>
      <c r="L107" s="3">
        <f>IF(A107="","",IF(AND(K107="Scale",I107&lt;3),"Need ≥3 signals",IF(F107&gt;E107,"Over budget cap","OK")))</f>
        <v/>
      </c>
    </row>
    <row r="108">
      <c r="E108" s="4" t="n"/>
      <c r="F108" s="4" t="n"/>
      <c r="L108" s="3">
        <f>IF(A108="","",IF(AND(K108="Scale",I108&lt;3),"Need ≥3 signals",IF(F108&gt;E108,"Over budget cap","OK")))</f>
        <v/>
      </c>
    </row>
    <row r="109">
      <c r="E109" s="4" t="n"/>
      <c r="F109" s="4" t="n"/>
      <c r="L109" s="3">
        <f>IF(A109="","",IF(AND(K109="Scale",I109&lt;3),"Need ≥3 signals",IF(F109&gt;E109,"Over budget cap","OK")))</f>
        <v/>
      </c>
    </row>
    <row r="110">
      <c r="E110" s="4" t="n"/>
      <c r="F110" s="4" t="n"/>
      <c r="L110" s="3">
        <f>IF(A110="","",IF(AND(K110="Scale",I110&lt;3),"Need ≥3 signals",IF(F110&gt;E110,"Over budget cap","OK")))</f>
        <v/>
      </c>
    </row>
    <row r="111">
      <c r="E111" s="4" t="n"/>
      <c r="F111" s="4" t="n"/>
      <c r="L111" s="3">
        <f>IF(A111="","",IF(AND(K111="Scale",I111&lt;3),"Need ≥3 signals",IF(F111&gt;E111,"Over budget cap","OK")))</f>
        <v/>
      </c>
    </row>
    <row r="112">
      <c r="E112" s="4" t="n"/>
      <c r="F112" s="4" t="n"/>
      <c r="L112" s="3">
        <f>IF(A112="","",IF(AND(K112="Scale",I112&lt;3),"Need ≥3 signals",IF(F112&gt;E112,"Over budget cap","OK")))</f>
        <v/>
      </c>
    </row>
    <row r="113">
      <c r="E113" s="4" t="n"/>
      <c r="F113" s="4" t="n"/>
      <c r="L113" s="3">
        <f>IF(A113="","",IF(AND(K113="Scale",I113&lt;3),"Need ≥3 signals",IF(F113&gt;E113,"Over budget cap","OK")))</f>
        <v/>
      </c>
    </row>
    <row r="114">
      <c r="E114" s="4" t="n"/>
      <c r="F114" s="4" t="n"/>
      <c r="L114" s="3">
        <f>IF(A114="","",IF(AND(K114="Scale",I114&lt;3),"Need ≥3 signals",IF(F114&gt;E114,"Over budget cap","OK")))</f>
        <v/>
      </c>
    </row>
    <row r="115">
      <c r="E115" s="4" t="n"/>
      <c r="F115" s="4" t="n"/>
      <c r="L115" s="3">
        <f>IF(A115="","",IF(AND(K115="Scale",I115&lt;3),"Need ≥3 signals",IF(F115&gt;E115,"Over budget cap","OK")))</f>
        <v/>
      </c>
    </row>
    <row r="116">
      <c r="E116" s="4" t="n"/>
      <c r="F116" s="4" t="n"/>
      <c r="L116" s="3">
        <f>IF(A116="","",IF(AND(K116="Scale",I116&lt;3),"Need ≥3 signals",IF(F116&gt;E116,"Over budget cap","OK")))</f>
        <v/>
      </c>
    </row>
    <row r="117">
      <c r="E117" s="4" t="n"/>
      <c r="F117" s="4" t="n"/>
      <c r="L117" s="3">
        <f>IF(A117="","",IF(AND(K117="Scale",I117&lt;3),"Need ≥3 signals",IF(F117&gt;E117,"Over budget cap","OK")))</f>
        <v/>
      </c>
    </row>
    <row r="118">
      <c r="E118" s="4" t="n"/>
      <c r="F118" s="4" t="n"/>
      <c r="L118" s="3">
        <f>IF(A118="","",IF(AND(K118="Scale",I118&lt;3),"Need ≥3 signals",IF(F118&gt;E118,"Over budget cap","OK")))</f>
        <v/>
      </c>
    </row>
    <row r="119">
      <c r="E119" s="4" t="n"/>
      <c r="F119" s="4" t="n"/>
      <c r="L119" s="3">
        <f>IF(A119="","",IF(AND(K119="Scale",I119&lt;3),"Need ≥3 signals",IF(F119&gt;E119,"Over budget cap","OK")))</f>
        <v/>
      </c>
    </row>
    <row r="120">
      <c r="E120" s="4" t="n"/>
      <c r="F120" s="4" t="n"/>
      <c r="L120" s="3">
        <f>IF(A120="","",IF(AND(K120="Scale",I120&lt;3),"Need ≥3 signals",IF(F120&gt;E120,"Over budget cap","OK")))</f>
        <v/>
      </c>
    </row>
    <row r="121">
      <c r="E121" s="4" t="n"/>
      <c r="F121" s="4" t="n"/>
      <c r="L121" s="3">
        <f>IF(A121="","",IF(AND(K121="Scale",I121&lt;3),"Need ≥3 signals",IF(F121&gt;E121,"Over budget cap","OK")))</f>
        <v/>
      </c>
    </row>
    <row r="122">
      <c r="E122" s="4" t="n"/>
      <c r="F122" s="4" t="n"/>
      <c r="L122" s="3">
        <f>IF(A122="","",IF(AND(K122="Scale",I122&lt;3),"Need ≥3 signals",IF(F122&gt;E122,"Over budget cap","OK")))</f>
        <v/>
      </c>
    </row>
    <row r="123">
      <c r="E123" s="4" t="n"/>
      <c r="F123" s="4" t="n"/>
      <c r="L123" s="3">
        <f>IF(A123="","",IF(AND(K123="Scale",I123&lt;3),"Need ≥3 signals",IF(F123&gt;E123,"Over budget cap","OK")))</f>
        <v/>
      </c>
    </row>
    <row r="124">
      <c r="E124" s="4" t="n"/>
      <c r="F124" s="4" t="n"/>
      <c r="L124" s="3">
        <f>IF(A124="","",IF(AND(K124="Scale",I124&lt;3),"Need ≥3 signals",IF(F124&gt;E124,"Over budget cap","OK")))</f>
        <v/>
      </c>
    </row>
    <row r="125">
      <c r="E125" s="4" t="n"/>
      <c r="F125" s="4" t="n"/>
      <c r="L125" s="3">
        <f>IF(A125="","",IF(AND(K125="Scale",I125&lt;3),"Need ≥3 signals",IF(F125&gt;E125,"Over budget cap","OK")))</f>
        <v/>
      </c>
    </row>
    <row r="126">
      <c r="E126" s="4" t="n"/>
      <c r="F126" s="4" t="n"/>
      <c r="L126" s="3">
        <f>IF(A126="","",IF(AND(K126="Scale",I126&lt;3),"Need ≥3 signals",IF(F126&gt;E126,"Over budget cap","OK")))</f>
        <v/>
      </c>
    </row>
    <row r="127">
      <c r="E127" s="4" t="n"/>
      <c r="F127" s="4" t="n"/>
      <c r="L127" s="3">
        <f>IF(A127="","",IF(AND(K127="Scale",I127&lt;3),"Need ≥3 signals",IF(F127&gt;E127,"Over budget cap","OK")))</f>
        <v/>
      </c>
    </row>
    <row r="128">
      <c r="E128" s="4" t="n"/>
      <c r="F128" s="4" t="n"/>
      <c r="L128" s="3">
        <f>IF(A128="","",IF(AND(K128="Scale",I128&lt;3),"Need ≥3 signals",IF(F128&gt;E128,"Over budget cap","OK")))</f>
        <v/>
      </c>
    </row>
    <row r="129">
      <c r="E129" s="4" t="n"/>
      <c r="F129" s="4" t="n"/>
      <c r="L129" s="3">
        <f>IF(A129="","",IF(AND(K129="Scale",I129&lt;3),"Need ≥3 signals",IF(F129&gt;E129,"Over budget cap","OK")))</f>
        <v/>
      </c>
    </row>
    <row r="130">
      <c r="E130" s="4" t="n"/>
      <c r="F130" s="4" t="n"/>
      <c r="L130" s="3">
        <f>IF(A130="","",IF(AND(K130="Scale",I130&lt;3),"Need ≥3 signals",IF(F130&gt;E130,"Over budget cap","OK")))</f>
        <v/>
      </c>
    </row>
    <row r="131">
      <c r="E131" s="4" t="n"/>
      <c r="F131" s="4" t="n"/>
      <c r="L131" s="3">
        <f>IF(A131="","",IF(AND(K131="Scale",I131&lt;3),"Need ≥3 signals",IF(F131&gt;E131,"Over budget cap","OK")))</f>
        <v/>
      </c>
    </row>
    <row r="132">
      <c r="E132" s="4" t="n"/>
      <c r="F132" s="4" t="n"/>
      <c r="L132" s="3">
        <f>IF(A132="","",IF(AND(K132="Scale",I132&lt;3),"Need ≥3 signals",IF(F132&gt;E132,"Over budget cap","OK")))</f>
        <v/>
      </c>
    </row>
    <row r="133">
      <c r="E133" s="4" t="n"/>
      <c r="F133" s="4" t="n"/>
      <c r="L133" s="3">
        <f>IF(A133="","",IF(AND(K133="Scale",I133&lt;3),"Need ≥3 signals",IF(F133&gt;E133,"Over budget cap","OK")))</f>
        <v/>
      </c>
    </row>
    <row r="134">
      <c r="E134" s="4" t="n"/>
      <c r="F134" s="4" t="n"/>
      <c r="L134" s="3">
        <f>IF(A134="","",IF(AND(K134="Scale",I134&lt;3),"Need ≥3 signals",IF(F134&gt;E134,"Over budget cap","OK")))</f>
        <v/>
      </c>
    </row>
    <row r="135">
      <c r="E135" s="4" t="n"/>
      <c r="F135" s="4" t="n"/>
      <c r="L135" s="3">
        <f>IF(A135="","",IF(AND(K135="Scale",I135&lt;3),"Need ≥3 signals",IF(F135&gt;E135,"Over budget cap","OK")))</f>
        <v/>
      </c>
    </row>
    <row r="136">
      <c r="E136" s="4" t="n"/>
      <c r="F136" s="4" t="n"/>
      <c r="L136" s="3">
        <f>IF(A136="","",IF(AND(K136="Scale",I136&lt;3),"Need ≥3 signals",IF(F136&gt;E136,"Over budget cap","OK")))</f>
        <v/>
      </c>
    </row>
    <row r="137">
      <c r="E137" s="4" t="n"/>
      <c r="F137" s="4" t="n"/>
      <c r="L137" s="3">
        <f>IF(A137="","",IF(AND(K137="Scale",I137&lt;3),"Need ≥3 signals",IF(F137&gt;E137,"Over budget cap","OK")))</f>
        <v/>
      </c>
    </row>
    <row r="138">
      <c r="E138" s="4" t="n"/>
      <c r="F138" s="4" t="n"/>
      <c r="L138" s="3">
        <f>IF(A138="","",IF(AND(K138="Scale",I138&lt;3),"Need ≥3 signals",IF(F138&gt;E138,"Over budget cap","OK")))</f>
        <v/>
      </c>
    </row>
    <row r="139">
      <c r="E139" s="4" t="n"/>
      <c r="F139" s="4" t="n"/>
      <c r="L139" s="3">
        <f>IF(A139="","",IF(AND(K139="Scale",I139&lt;3),"Need ≥3 signals",IF(F139&gt;E139,"Over budget cap","OK")))</f>
        <v/>
      </c>
    </row>
    <row r="140">
      <c r="E140" s="4" t="n"/>
      <c r="F140" s="4" t="n"/>
      <c r="L140" s="3">
        <f>IF(A140="","",IF(AND(K140="Scale",I140&lt;3),"Need ≥3 signals",IF(F140&gt;E140,"Over budget cap","OK")))</f>
        <v/>
      </c>
    </row>
    <row r="141">
      <c r="E141" s="4" t="n"/>
      <c r="F141" s="4" t="n"/>
      <c r="L141" s="3">
        <f>IF(A141="","",IF(AND(K141="Scale",I141&lt;3),"Need ≥3 signals",IF(F141&gt;E141,"Over budget cap","OK")))</f>
        <v/>
      </c>
    </row>
    <row r="142">
      <c r="E142" s="4" t="n"/>
      <c r="F142" s="4" t="n"/>
      <c r="L142" s="3">
        <f>IF(A142="","",IF(AND(K142="Scale",I142&lt;3),"Need ≥3 signals",IF(F142&gt;E142,"Over budget cap","OK")))</f>
        <v/>
      </c>
    </row>
    <row r="143">
      <c r="E143" s="4" t="n"/>
      <c r="F143" s="4" t="n"/>
      <c r="L143" s="3">
        <f>IF(A143="","",IF(AND(K143="Scale",I143&lt;3),"Need ≥3 signals",IF(F143&gt;E143,"Over budget cap","OK")))</f>
        <v/>
      </c>
    </row>
    <row r="144">
      <c r="E144" s="4" t="n"/>
      <c r="F144" s="4" t="n"/>
      <c r="L144" s="3">
        <f>IF(A144="","",IF(AND(K144="Scale",I144&lt;3),"Need ≥3 signals",IF(F144&gt;E144,"Over budget cap","OK")))</f>
        <v/>
      </c>
    </row>
    <row r="145">
      <c r="E145" s="4" t="n"/>
      <c r="F145" s="4" t="n"/>
      <c r="L145" s="3">
        <f>IF(A145="","",IF(AND(K145="Scale",I145&lt;3),"Need ≥3 signals",IF(F145&gt;E145,"Over budget cap","OK")))</f>
        <v/>
      </c>
    </row>
    <row r="146">
      <c r="E146" s="4" t="n"/>
      <c r="F146" s="4" t="n"/>
      <c r="L146" s="3">
        <f>IF(A146="","",IF(AND(K146="Scale",I146&lt;3),"Need ≥3 signals",IF(F146&gt;E146,"Over budget cap","OK")))</f>
        <v/>
      </c>
    </row>
    <row r="147">
      <c r="E147" s="4" t="n"/>
      <c r="F147" s="4" t="n"/>
      <c r="L147" s="3">
        <f>IF(A147="","",IF(AND(K147="Scale",I147&lt;3),"Need ≥3 signals",IF(F147&gt;E147,"Over budget cap","OK")))</f>
        <v/>
      </c>
    </row>
    <row r="148">
      <c r="E148" s="4" t="n"/>
      <c r="F148" s="4" t="n"/>
      <c r="L148" s="3">
        <f>IF(A148="","",IF(AND(K148="Scale",I148&lt;3),"Need ≥3 signals",IF(F148&gt;E148,"Over budget cap","OK")))</f>
        <v/>
      </c>
    </row>
    <row r="149">
      <c r="E149" s="4" t="n"/>
      <c r="F149" s="4" t="n"/>
      <c r="L149" s="3">
        <f>IF(A149="","",IF(AND(K149="Scale",I149&lt;3),"Need ≥3 signals",IF(F149&gt;E149,"Over budget cap","OK")))</f>
        <v/>
      </c>
    </row>
    <row r="150">
      <c r="E150" s="4" t="n"/>
      <c r="F150" s="4" t="n"/>
      <c r="L150" s="3">
        <f>IF(A150="","",IF(AND(K150="Scale",I150&lt;3),"Need ≥3 signals",IF(F150&gt;E150,"Over budget cap","OK")))</f>
        <v/>
      </c>
    </row>
    <row r="151">
      <c r="E151" s="4" t="n"/>
      <c r="F151" s="4" t="n"/>
      <c r="L151" s="3">
        <f>IF(A151="","",IF(AND(K151="Scale",I151&lt;3),"Need ≥3 signals",IF(F151&gt;E151,"Over budget cap","OK")))</f>
        <v/>
      </c>
    </row>
    <row r="152">
      <c r="E152" s="4" t="n"/>
      <c r="F152" s="4" t="n"/>
      <c r="L152" s="3">
        <f>IF(A152="","",IF(AND(K152="Scale",I152&lt;3),"Need ≥3 signals",IF(F152&gt;E152,"Over budget cap","OK")))</f>
        <v/>
      </c>
    </row>
    <row r="153">
      <c r="E153" s="4" t="n"/>
      <c r="F153" s="4" t="n"/>
      <c r="L153" s="3">
        <f>IF(A153="","",IF(AND(K153="Scale",I153&lt;3),"Need ≥3 signals",IF(F153&gt;E153,"Over budget cap","OK")))</f>
        <v/>
      </c>
    </row>
    <row r="154">
      <c r="E154" s="4" t="n"/>
      <c r="F154" s="4" t="n"/>
      <c r="L154" s="3">
        <f>IF(A154="","",IF(AND(K154="Scale",I154&lt;3),"Need ≥3 signals",IF(F154&gt;E154,"Over budget cap","OK")))</f>
        <v/>
      </c>
    </row>
    <row r="155">
      <c r="E155" s="4" t="n"/>
      <c r="F155" s="4" t="n"/>
      <c r="L155" s="3">
        <f>IF(A155="","",IF(AND(K155="Scale",I155&lt;3),"Need ≥3 signals",IF(F155&gt;E155,"Over budget cap","OK")))</f>
        <v/>
      </c>
    </row>
    <row r="156">
      <c r="E156" s="4" t="n"/>
      <c r="F156" s="4" t="n"/>
      <c r="L156" s="3">
        <f>IF(A156="","",IF(AND(K156="Scale",I156&lt;3),"Need ≥3 signals",IF(F156&gt;E156,"Over budget cap","OK")))</f>
        <v/>
      </c>
    </row>
    <row r="157">
      <c r="E157" s="4" t="n"/>
      <c r="F157" s="4" t="n"/>
      <c r="L157" s="3">
        <f>IF(A157="","",IF(AND(K157="Scale",I157&lt;3),"Need ≥3 signals",IF(F157&gt;E157,"Over budget cap","OK")))</f>
        <v/>
      </c>
    </row>
    <row r="158">
      <c r="E158" s="4" t="n"/>
      <c r="F158" s="4" t="n"/>
      <c r="L158" s="3">
        <f>IF(A158="","",IF(AND(K158="Scale",I158&lt;3),"Need ≥3 signals",IF(F158&gt;E158,"Over budget cap","OK")))</f>
        <v/>
      </c>
    </row>
    <row r="159">
      <c r="E159" s="4" t="n"/>
      <c r="F159" s="4" t="n"/>
      <c r="L159" s="3">
        <f>IF(A159="","",IF(AND(K159="Scale",I159&lt;3),"Need ≥3 signals",IF(F159&gt;E159,"Over budget cap","OK")))</f>
        <v/>
      </c>
    </row>
    <row r="160">
      <c r="E160" s="4" t="n"/>
      <c r="F160" s="4" t="n"/>
      <c r="L160" s="3">
        <f>IF(A160="","",IF(AND(K160="Scale",I160&lt;3),"Need ≥3 signals",IF(F160&gt;E160,"Over budget cap","OK")))</f>
        <v/>
      </c>
    </row>
    <row r="161">
      <c r="E161" s="4" t="n"/>
      <c r="F161" s="4" t="n"/>
      <c r="L161" s="3">
        <f>IF(A161="","",IF(AND(K161="Scale",I161&lt;3),"Need ≥3 signals",IF(F161&gt;E161,"Over budget cap","OK")))</f>
        <v/>
      </c>
    </row>
    <row r="162">
      <c r="E162" s="4" t="n"/>
      <c r="F162" s="4" t="n"/>
      <c r="L162" s="3">
        <f>IF(A162="","",IF(AND(K162="Scale",I162&lt;3),"Need ≥3 signals",IF(F162&gt;E162,"Over budget cap","OK")))</f>
        <v/>
      </c>
    </row>
    <row r="163">
      <c r="E163" s="4" t="n"/>
      <c r="F163" s="4" t="n"/>
      <c r="L163" s="3">
        <f>IF(A163="","",IF(AND(K163="Scale",I163&lt;3),"Need ≥3 signals",IF(F163&gt;E163,"Over budget cap","OK")))</f>
        <v/>
      </c>
    </row>
    <row r="164">
      <c r="E164" s="4" t="n"/>
      <c r="F164" s="4" t="n"/>
      <c r="L164" s="3">
        <f>IF(A164="","",IF(AND(K164="Scale",I164&lt;3),"Need ≥3 signals",IF(F164&gt;E164,"Over budget cap","OK")))</f>
        <v/>
      </c>
    </row>
    <row r="165">
      <c r="E165" s="4" t="n"/>
      <c r="F165" s="4" t="n"/>
      <c r="L165" s="3">
        <f>IF(A165="","",IF(AND(K165="Scale",I165&lt;3),"Need ≥3 signals",IF(F165&gt;E165,"Over budget cap","OK")))</f>
        <v/>
      </c>
    </row>
    <row r="166">
      <c r="E166" s="4" t="n"/>
      <c r="F166" s="4" t="n"/>
      <c r="L166" s="3">
        <f>IF(A166="","",IF(AND(K166="Scale",I166&lt;3),"Need ≥3 signals",IF(F166&gt;E166,"Over budget cap","OK")))</f>
        <v/>
      </c>
    </row>
    <row r="167">
      <c r="E167" s="4" t="n"/>
      <c r="F167" s="4" t="n"/>
      <c r="L167" s="3">
        <f>IF(A167="","",IF(AND(K167="Scale",I167&lt;3),"Need ≥3 signals",IF(F167&gt;E167,"Over budget cap","OK")))</f>
        <v/>
      </c>
    </row>
    <row r="168">
      <c r="E168" s="4" t="n"/>
      <c r="F168" s="4" t="n"/>
      <c r="L168" s="3">
        <f>IF(A168="","",IF(AND(K168="Scale",I168&lt;3),"Need ≥3 signals",IF(F168&gt;E168,"Over budget cap","OK")))</f>
        <v/>
      </c>
    </row>
    <row r="169">
      <c r="E169" s="4" t="n"/>
      <c r="F169" s="4" t="n"/>
      <c r="L169" s="3">
        <f>IF(A169="","",IF(AND(K169="Scale",I169&lt;3),"Need ≥3 signals",IF(F169&gt;E169,"Over budget cap","OK")))</f>
        <v/>
      </c>
    </row>
    <row r="170">
      <c r="E170" s="4" t="n"/>
      <c r="F170" s="4" t="n"/>
      <c r="L170" s="3">
        <f>IF(A170="","",IF(AND(K170="Scale",I170&lt;3),"Need ≥3 signals",IF(F170&gt;E170,"Over budget cap","OK")))</f>
        <v/>
      </c>
    </row>
    <row r="171">
      <c r="E171" s="4" t="n"/>
      <c r="F171" s="4" t="n"/>
      <c r="L171" s="3">
        <f>IF(A171="","",IF(AND(K171="Scale",I171&lt;3),"Need ≥3 signals",IF(F171&gt;E171,"Over budget cap","OK")))</f>
        <v/>
      </c>
    </row>
    <row r="172">
      <c r="E172" s="4" t="n"/>
      <c r="F172" s="4" t="n"/>
      <c r="L172" s="3">
        <f>IF(A172="","",IF(AND(K172="Scale",I172&lt;3),"Need ≥3 signals",IF(F172&gt;E172,"Over budget cap","OK")))</f>
        <v/>
      </c>
    </row>
    <row r="173">
      <c r="E173" s="4" t="n"/>
      <c r="F173" s="4" t="n"/>
      <c r="L173" s="3">
        <f>IF(A173="","",IF(AND(K173="Scale",I173&lt;3),"Need ≥3 signals",IF(F173&gt;E173,"Over budget cap","OK")))</f>
        <v/>
      </c>
    </row>
    <row r="174">
      <c r="E174" s="4" t="n"/>
      <c r="F174" s="4" t="n"/>
      <c r="L174" s="3">
        <f>IF(A174="","",IF(AND(K174="Scale",I174&lt;3),"Need ≥3 signals",IF(F174&gt;E174,"Over budget cap","OK")))</f>
        <v/>
      </c>
    </row>
    <row r="175">
      <c r="E175" s="4" t="n"/>
      <c r="F175" s="4" t="n"/>
      <c r="L175" s="3">
        <f>IF(A175="","",IF(AND(K175="Scale",I175&lt;3),"Need ≥3 signals",IF(F175&gt;E175,"Over budget cap","OK")))</f>
        <v/>
      </c>
    </row>
    <row r="176">
      <c r="E176" s="4" t="n"/>
      <c r="F176" s="4" t="n"/>
      <c r="L176" s="3">
        <f>IF(A176="","",IF(AND(K176="Scale",I176&lt;3),"Need ≥3 signals",IF(F176&gt;E176,"Over budget cap","OK")))</f>
        <v/>
      </c>
    </row>
    <row r="177">
      <c r="E177" s="4" t="n"/>
      <c r="F177" s="4" t="n"/>
      <c r="L177" s="3">
        <f>IF(A177="","",IF(AND(K177="Scale",I177&lt;3),"Need ≥3 signals",IF(F177&gt;E177,"Over budget cap","OK")))</f>
        <v/>
      </c>
    </row>
    <row r="178">
      <c r="E178" s="4" t="n"/>
      <c r="F178" s="4" t="n"/>
      <c r="L178" s="3">
        <f>IF(A178="","",IF(AND(K178="Scale",I178&lt;3),"Need ≥3 signals",IF(F178&gt;E178,"Over budget cap","OK")))</f>
        <v/>
      </c>
    </row>
    <row r="179">
      <c r="E179" s="4" t="n"/>
      <c r="F179" s="4" t="n"/>
      <c r="L179" s="3">
        <f>IF(A179="","",IF(AND(K179="Scale",I179&lt;3),"Need ≥3 signals",IF(F179&gt;E179,"Over budget cap","OK")))</f>
        <v/>
      </c>
    </row>
    <row r="180">
      <c r="E180" s="4" t="n"/>
      <c r="F180" s="4" t="n"/>
      <c r="L180" s="3">
        <f>IF(A180="","",IF(AND(K180="Scale",I180&lt;3),"Need ≥3 signals",IF(F180&gt;E180,"Over budget cap","OK")))</f>
        <v/>
      </c>
    </row>
    <row r="181">
      <c r="E181" s="4" t="n"/>
      <c r="F181" s="4" t="n"/>
      <c r="L181" s="3">
        <f>IF(A181="","",IF(AND(K181="Scale",I181&lt;3),"Need ≥3 signals",IF(F181&gt;E181,"Over budget cap","OK")))</f>
        <v/>
      </c>
    </row>
    <row r="182">
      <c r="E182" s="4" t="n"/>
      <c r="F182" s="4" t="n"/>
      <c r="L182" s="3">
        <f>IF(A182="","",IF(AND(K182="Scale",I182&lt;3),"Need ≥3 signals",IF(F182&gt;E182,"Over budget cap","OK")))</f>
        <v/>
      </c>
    </row>
    <row r="183">
      <c r="E183" s="4" t="n"/>
      <c r="F183" s="4" t="n"/>
      <c r="L183" s="3">
        <f>IF(A183="","",IF(AND(K183="Scale",I183&lt;3),"Need ≥3 signals",IF(F183&gt;E183,"Over budget cap","OK")))</f>
        <v/>
      </c>
    </row>
    <row r="184">
      <c r="E184" s="4" t="n"/>
      <c r="F184" s="4" t="n"/>
      <c r="L184" s="3">
        <f>IF(A184="","",IF(AND(K184="Scale",I184&lt;3),"Need ≥3 signals",IF(F184&gt;E184,"Over budget cap","OK")))</f>
        <v/>
      </c>
    </row>
    <row r="185">
      <c r="E185" s="4" t="n"/>
      <c r="F185" s="4" t="n"/>
      <c r="L185" s="3">
        <f>IF(A185="","",IF(AND(K185="Scale",I185&lt;3),"Need ≥3 signals",IF(F185&gt;E185,"Over budget cap","OK")))</f>
        <v/>
      </c>
    </row>
    <row r="186">
      <c r="E186" s="4" t="n"/>
      <c r="F186" s="4" t="n"/>
      <c r="L186" s="3">
        <f>IF(A186="","",IF(AND(K186="Scale",I186&lt;3),"Need ≥3 signals",IF(F186&gt;E186,"Over budget cap","OK")))</f>
        <v/>
      </c>
    </row>
    <row r="187">
      <c r="E187" s="4" t="n"/>
      <c r="F187" s="4" t="n"/>
      <c r="L187" s="3">
        <f>IF(A187="","",IF(AND(K187="Scale",I187&lt;3),"Need ≥3 signals",IF(F187&gt;E187,"Over budget cap","OK")))</f>
        <v/>
      </c>
    </row>
    <row r="188">
      <c r="E188" s="4" t="n"/>
      <c r="F188" s="4" t="n"/>
      <c r="L188" s="3">
        <f>IF(A188="","",IF(AND(K188="Scale",I188&lt;3),"Need ≥3 signals",IF(F188&gt;E188,"Over budget cap","OK")))</f>
        <v/>
      </c>
    </row>
    <row r="189">
      <c r="E189" s="4" t="n"/>
      <c r="F189" s="4" t="n"/>
      <c r="L189" s="3">
        <f>IF(A189="","",IF(AND(K189="Scale",I189&lt;3),"Need ≥3 signals",IF(F189&gt;E189,"Over budget cap","OK")))</f>
        <v/>
      </c>
    </row>
    <row r="190">
      <c r="E190" s="4" t="n"/>
      <c r="F190" s="4" t="n"/>
      <c r="L190" s="3">
        <f>IF(A190="","",IF(AND(K190="Scale",I190&lt;3),"Need ≥3 signals",IF(F190&gt;E190,"Over budget cap","OK")))</f>
        <v/>
      </c>
    </row>
    <row r="191">
      <c r="E191" s="4" t="n"/>
      <c r="F191" s="4" t="n"/>
      <c r="L191" s="3">
        <f>IF(A191="","",IF(AND(K191="Scale",I191&lt;3),"Need ≥3 signals",IF(F191&gt;E191,"Over budget cap","OK")))</f>
        <v/>
      </c>
    </row>
    <row r="192">
      <c r="E192" s="4" t="n"/>
      <c r="F192" s="4" t="n"/>
      <c r="L192" s="3">
        <f>IF(A192="","",IF(AND(K192="Scale",I192&lt;3),"Need ≥3 signals",IF(F192&gt;E192,"Over budget cap","OK")))</f>
        <v/>
      </c>
    </row>
    <row r="193">
      <c r="E193" s="4" t="n"/>
      <c r="F193" s="4" t="n"/>
      <c r="L193" s="3">
        <f>IF(A193="","",IF(AND(K193="Scale",I193&lt;3),"Need ≥3 signals",IF(F193&gt;E193,"Over budget cap","OK")))</f>
        <v/>
      </c>
    </row>
    <row r="194">
      <c r="E194" s="4" t="n"/>
      <c r="F194" s="4" t="n"/>
      <c r="L194" s="3">
        <f>IF(A194="","",IF(AND(K194="Scale",I194&lt;3),"Need ≥3 signals",IF(F194&gt;E194,"Over budget cap","OK")))</f>
        <v/>
      </c>
    </row>
    <row r="195">
      <c r="E195" s="4" t="n"/>
      <c r="F195" s="4" t="n"/>
      <c r="L195" s="3">
        <f>IF(A195="","",IF(AND(K195="Scale",I195&lt;3),"Need ≥3 signals",IF(F195&gt;E195,"Over budget cap","OK")))</f>
        <v/>
      </c>
    </row>
    <row r="196">
      <c r="E196" s="4" t="n"/>
      <c r="F196" s="4" t="n"/>
      <c r="L196" s="3">
        <f>IF(A196="","",IF(AND(K196="Scale",I196&lt;3),"Need ≥3 signals",IF(F196&gt;E196,"Over budget cap","OK")))</f>
        <v/>
      </c>
    </row>
    <row r="197">
      <c r="E197" s="4" t="n"/>
      <c r="F197" s="4" t="n"/>
      <c r="L197" s="3">
        <f>IF(A197="","",IF(AND(K197="Scale",I197&lt;3),"Need ≥3 signals",IF(F197&gt;E197,"Over budget cap","OK")))</f>
        <v/>
      </c>
    </row>
    <row r="198">
      <c r="E198" s="4" t="n"/>
      <c r="F198" s="4" t="n"/>
      <c r="L198" s="3">
        <f>IF(A198="","",IF(AND(K198="Scale",I198&lt;3),"Need ≥3 signals",IF(F198&gt;E198,"Over budget cap","OK")))</f>
        <v/>
      </c>
    </row>
    <row r="199">
      <c r="E199" s="4" t="n"/>
      <c r="F199" s="4" t="n"/>
      <c r="L199" s="3">
        <f>IF(A199="","",IF(AND(K199="Scale",I199&lt;3),"Need ≥3 signals",IF(F199&gt;E199,"Over budget cap","OK")))</f>
        <v/>
      </c>
    </row>
    <row r="200">
      <c r="E200" s="4" t="n"/>
      <c r="F200" s="4" t="n"/>
      <c r="L200" s="3">
        <f>IF(A200="","",IF(AND(K200="Scale",I200&lt;3),"Need ≥3 signals",IF(F200&gt;E200,"Over budget cap","OK")))</f>
        <v/>
      </c>
    </row>
    <row r="201">
      <c r="E201" s="4" t="n"/>
      <c r="F201" s="4" t="n"/>
      <c r="L201" s="3">
        <f>IF(A201="","",IF(AND(K201="Scale",I201&lt;3),"Need ≥3 signals",IF(F201&gt;E201,"Over budget cap","OK")))</f>
        <v/>
      </c>
    </row>
  </sheetData>
  <dataValidations count="1">
    <dataValidation sqref="K2:K201" showDropDown="0" showInputMessage="0" showErrorMessage="0" allowBlank="1" type="list">
      <formula1>"Open,Keep,Kill,Scale,Retest"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.28571428571428" customWidth="1" min="2" max="2"/>
    <col width="15.71428571428571" customWidth="1" min="3" max="3"/>
    <col width="15.71428571428571" customWidth="1" min="4" max="4"/>
    <col width="34.28571428571428" customWidth="1" min="5" max="5"/>
  </cols>
  <sheetData>
    <row r="1" ht="48" customHeight="1">
      <c r="A1" s="1" t="inlineStr">
        <is>
          <t>Day</t>
        </is>
      </c>
      <c r="B1" s="1" t="inlineStr">
        <is>
          <t>Milestone</t>
        </is>
      </c>
      <c r="C1" s="1" t="inlineStr">
        <is>
          <t>Owner / agent</t>
        </is>
      </c>
      <c r="D1" s="1" t="inlineStr">
        <is>
          <t>Done (1/0)</t>
        </is>
      </c>
      <c r="E1" s="1" t="inlineStr">
        <is>
          <t>Evidence / numbers</t>
        </is>
      </c>
    </row>
    <row r="2">
      <c r="A2" t="inlineStr">
        <is>
          <t>1-3</t>
        </is>
      </c>
      <c r="B2" t="inlineStr">
        <is>
          <t>Launch plan approved; small batch in place; 20+ reference hooks; creator wave 1 out</t>
        </is>
      </c>
    </row>
    <row r="3">
      <c r="A3" t="inlineStr">
        <is>
          <t>4-10</t>
        </is>
      </c>
      <c r="B3" t="inlineStr">
        <is>
          <t>Selling points 1-2 tested via own content + creators; daily stand-ups</t>
        </is>
      </c>
    </row>
    <row r="4">
      <c r="A4" t="inlineStr">
        <is>
          <t>11-17</t>
        </is>
      </c>
      <c r="B4" t="inlineStr">
        <is>
          <t>Selling points 3-4; paid 0→1 tests aiming ~50 conversions</t>
        </is>
      </c>
    </row>
    <row r="5">
      <c r="A5" t="inlineStr">
        <is>
          <t>18-24</t>
        </is>
      </c>
      <c r="B5" t="inlineStr">
        <is>
          <t>Double down on leading point; remake heroes; creator wave 2</t>
        </is>
      </c>
    </row>
    <row r="6">
      <c r="A6" t="inlineStr">
        <is>
          <t>25-30</t>
        </is>
      </c>
      <c r="B6" t="inlineStr">
        <is>
          <t>Read-out: engagement · creator feedback · conversion → scale / iterate / stop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3">
      <c r="A203" s="7" t="inlineStr">
        <is>
          <t>TOTAL</t>
        </is>
      </c>
      <c r="D203" s="7">
        <f>SUM(D2:D201)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45.71428571428572" customWidth="1" min="2" max="2"/>
    <col width="37.14285714285715" customWidth="1" min="3" max="3"/>
    <col width="15.71428571428571" customWidth="1" min="4" max="4"/>
    <col width="15.71428571428571" customWidth="1" min="5" max="5"/>
    <col width="15.71428571428571" customWidth="1" min="6" max="6"/>
  </cols>
  <sheetData>
    <row r="1" ht="48" customHeight="1">
      <c r="A1" s="1" t="inlineStr">
        <is>
          <t>Section</t>
        </is>
      </c>
      <c r="B1" s="1" t="inlineStr">
        <is>
          <t>Plan</t>
        </is>
      </c>
      <c r="C1" s="1" t="inlineStr">
        <is>
          <t>Why (evidence)</t>
        </is>
      </c>
      <c r="D1" s="1" t="inlineStr">
        <is>
          <t>Budget ($)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Market insight</t>
        </is>
      </c>
      <c r="D2" s="4" t="n"/>
    </row>
    <row r="3">
      <c r="A3" t="inlineStr">
        <is>
          <t>Offer &amp; differentiator</t>
        </is>
      </c>
      <c r="D3" s="4" t="n"/>
    </row>
    <row r="4">
      <c r="A4" t="inlineStr">
        <is>
          <t>Inventory (small batch)</t>
        </is>
      </c>
      <c r="D4" s="4" t="n"/>
    </row>
    <row r="5">
      <c r="A5" t="inlineStr">
        <is>
          <t>People &amp; agents</t>
        </is>
      </c>
      <c r="D5" s="4" t="n"/>
    </row>
    <row r="6">
      <c r="A6" t="inlineStr">
        <is>
          <t>Sales strategy (creators / content / paid)</t>
        </is>
      </c>
      <c r="D6" s="4" t="n"/>
    </row>
    <row r="7">
      <c r="A7" t="inlineStr">
        <is>
          <t>Financial budget</t>
        </is>
      </c>
      <c r="D7" s="4" t="n"/>
    </row>
    <row r="8">
      <c r="A8" t="inlineStr">
        <is>
          <t>External support</t>
        </is>
      </c>
      <c r="D8" s="4" t="n"/>
    </row>
    <row r="9">
      <c r="A9" t="inlineStr">
        <is>
          <t>Plan B (main selling point fails)</t>
        </is>
      </c>
      <c r="D9" s="4" t="n"/>
    </row>
    <row r="10">
      <c r="A10" t="inlineStr">
        <is>
          <t>Plan C (offer fails here)</t>
        </is>
      </c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  <row r="200">
      <c r="D200" s="4" t="n"/>
    </row>
    <row r="201">
      <c r="D201" s="4" t="n"/>
    </row>
    <row r="203">
      <c r="A203" s="7" t="inlineStr">
        <is>
          <t>TOTAL</t>
        </is>
      </c>
      <c r="D203" s="10">
        <f>SUM(D2:D201)</f>
        <v/>
      </c>
    </row>
  </sheetData>
  <dataValidations count="1">
    <dataValidation sqref="F2:F201" showDropDown="0" showInputMessage="0" showErrorMessage="0" allowBlank="1" type="list">
      <formula1>"Draft,Ready,Approved"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71428571428571" customWidth="1" min="1" max="1"/>
    <col width="15.71428571428571" customWidth="1" min="2" max="2"/>
    <col width="28.57142857142857" customWidth="1" min="3" max="3"/>
    <col width="22.85714285714286" customWidth="1" min="4" max="4"/>
    <col width="28.57142857142857" customWidth="1" min="5" max="5"/>
    <col width="28.57142857142857" customWidth="1" min="6" max="6"/>
    <col width="28.57142857142857" customWidth="1" min="7" max="7"/>
    <col width="25.71428571428572" customWidth="1" min="8" max="8"/>
  </cols>
  <sheetData>
    <row r="1" ht="48" customHeight="1">
      <c r="A1" s="1" t="inlineStr">
        <is>
          <t>Week of</t>
        </is>
      </c>
      <c r="B1" s="1" t="inlineStr">
        <is>
          <t>Area</t>
        </is>
      </c>
      <c r="C1" s="1" t="inlineStr">
        <is>
          <t>What we believed</t>
        </is>
      </c>
      <c r="D1" s="1" t="inlineStr">
        <is>
          <t>What we tested (ledger IDs)</t>
        </is>
      </c>
      <c r="E1" s="1" t="inlineStr">
        <is>
          <t>What happened (numbers)</t>
        </is>
      </c>
      <c r="F1" s="1" t="inlineStr">
        <is>
          <t>Learning</t>
        </is>
      </c>
      <c r="G1" s="1" t="inlineStr">
        <is>
          <t>SOP / agent prompt change</t>
        </is>
      </c>
      <c r="H1" s="1" t="inlineStr">
        <is>
          <t>Next week</t>
        </is>
      </c>
    </row>
    <row r="2">
      <c r="A2" t="inlineStr">
        <is>
          <t>2026-11-06</t>
        </is>
      </c>
      <c r="B2" t="inlineStr">
        <is>
          <t>Creators</t>
        </is>
      </c>
      <c r="C2" t="inlineStr">
        <is>
          <t>Parents segment replies more</t>
        </is>
      </c>
      <c r="D2" t="inlineStr">
        <is>
          <t>H-004</t>
        </is>
      </c>
      <c r="E2" t="inlineStr">
        <is>
          <t>Reply 18% vs 9% general</t>
        </is>
      </c>
      <c r="F2" t="inlineStr">
        <is>
          <t>Lead with child-safety pain</t>
        </is>
      </c>
      <c r="G2" t="inlineStr">
        <is>
          <t>Update outreach P-A first line</t>
        </is>
      </c>
      <c r="H2" t="inlineStr">
        <is>
          <t>Wave 2: 20 parent creators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dataValidations count="1">
    <dataValidation sqref="B2:B201" showDropDown="0" showInputMessage="0" showErrorMessage="0" allowBlank="1" type="list">
      <formula1>"Offer,Creators,Content,Paid,Team/AI,Channel"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5.71428571428571" customWidth="1" min="2" max="2"/>
    <col width="22.85714285714286" customWidth="1" min="3" max="3"/>
    <col width="25.71428571428572" customWidth="1" min="4" max="4"/>
    <col width="15.71428571428571" customWidth="1" min="5" max="5"/>
    <col width="15.71428571428571" customWidth="1" min="6" max="6"/>
    <col width="15.71428571428571" customWidth="1" min="7" max="7"/>
    <col width="28.57142857142857" customWidth="1" min="8" max="8"/>
  </cols>
  <sheetData>
    <row r="1" ht="48" customHeight="1">
      <c r="A1" s="1" t="inlineStr">
        <is>
          <t>Role</t>
        </is>
      </c>
      <c r="B1" s="1" t="inlineStr">
        <is>
          <t>Agent / human</t>
        </is>
      </c>
      <c r="C1" s="1" t="inlineStr">
        <is>
          <t>SOP link</t>
        </is>
      </c>
      <c r="D1" s="1" t="inlineStr">
        <is>
          <t>Outcome KPI</t>
        </is>
      </c>
      <c r="E1" s="1" t="inlineStr">
        <is>
          <t>Target</t>
        </is>
      </c>
      <c r="F1" s="1" t="inlineStr">
        <is>
          <t>Actual</t>
        </is>
      </c>
      <c r="G1" s="2" t="inlineStr">
        <is>
          <t>Attainment ƒ</t>
        </is>
      </c>
      <c r="H1" s="1" t="inlineStr">
        <is>
          <t>Needs human approval for</t>
        </is>
      </c>
    </row>
    <row r="2">
      <c r="A2" t="inlineStr">
        <is>
          <t>Creator partnerships</t>
        </is>
      </c>
      <c r="B2" t="inlineStr">
        <is>
          <t>Human + agent</t>
        </is>
      </c>
      <c r="D2" t="inlineStr">
        <is>
          <t>Content return rate %</t>
        </is>
      </c>
      <c r="E2" t="n">
        <v>90</v>
      </c>
      <c r="F2" t="n">
        <v>82</v>
      </c>
      <c r="G2" s="6">
        <f>IF(A2="","",IFERROR(F2/E2,0))</f>
        <v/>
      </c>
      <c r="H2" t="inlineStr">
        <is>
          <t>Messages sent under owner name; sample budget</t>
        </is>
      </c>
    </row>
    <row r="3">
      <c r="A3" t="inlineStr">
        <is>
          <t>Paid media</t>
        </is>
      </c>
      <c r="B3" t="inlineStr">
        <is>
          <t>Agent</t>
        </is>
      </c>
      <c r="D3" t="inlineStr">
        <is>
          <t>Blended ROAS</t>
        </is>
      </c>
      <c r="E3" t="n">
        <v>2.6</v>
      </c>
      <c r="F3" t="n">
        <v>2.2</v>
      </c>
      <c r="G3" s="6">
        <f>IF(A3="","",IFERROR(F3/E3,0))</f>
        <v/>
      </c>
      <c r="H3" t="inlineStr">
        <is>
          <t>Budget increases &gt; cap</t>
        </is>
      </c>
    </row>
    <row r="4">
      <c r="G4" s="6">
        <f>IF(A4="","",IFERROR(F4/E4,0))</f>
        <v/>
      </c>
    </row>
    <row r="5">
      <c r="G5" s="6">
        <f>IF(A5="","",IFERROR(F5/E5,0))</f>
        <v/>
      </c>
    </row>
    <row r="6">
      <c r="G6" s="6">
        <f>IF(A6="","",IFERROR(F6/E6,0))</f>
        <v/>
      </c>
    </row>
    <row r="7">
      <c r="G7" s="6">
        <f>IF(A7="","",IFERROR(F7/E7,0))</f>
        <v/>
      </c>
    </row>
    <row r="8">
      <c r="G8" s="6">
        <f>IF(A8="","",IFERROR(F8/E8,0))</f>
        <v/>
      </c>
    </row>
    <row r="9">
      <c r="G9" s="6">
        <f>IF(A9="","",IFERROR(F9/E9,0))</f>
        <v/>
      </c>
    </row>
    <row r="10">
      <c r="G10" s="6">
        <f>IF(A10="","",IFERROR(F10/E10,0))</f>
        <v/>
      </c>
    </row>
    <row r="11">
      <c r="G11" s="6">
        <f>IF(A11="","",IFERROR(F11/E11,0))</f>
        <v/>
      </c>
    </row>
    <row r="12">
      <c r="G12" s="6">
        <f>IF(A12="","",IFERROR(F12/E12,0))</f>
        <v/>
      </c>
    </row>
    <row r="13">
      <c r="G13" s="6">
        <f>IF(A13="","",IFERROR(F13/E13,0))</f>
        <v/>
      </c>
    </row>
    <row r="14">
      <c r="G14" s="6">
        <f>IF(A14="","",IFERROR(F14/E14,0))</f>
        <v/>
      </c>
    </row>
    <row r="15">
      <c r="G15" s="6">
        <f>IF(A15="","",IFERROR(F15/E15,0))</f>
        <v/>
      </c>
    </row>
    <row r="16">
      <c r="G16" s="6">
        <f>IF(A16="","",IFERROR(F16/E16,0))</f>
        <v/>
      </c>
    </row>
    <row r="17">
      <c r="G17" s="6">
        <f>IF(A17="","",IFERROR(F17/E17,0))</f>
        <v/>
      </c>
    </row>
    <row r="18">
      <c r="G18" s="6">
        <f>IF(A18="","",IFERROR(F18/E18,0))</f>
        <v/>
      </c>
    </row>
    <row r="19">
      <c r="G19" s="6">
        <f>IF(A19="","",IFERROR(F19/E19,0))</f>
        <v/>
      </c>
    </row>
    <row r="20">
      <c r="G20" s="6">
        <f>IF(A20="","",IFERROR(F20/E20,0))</f>
        <v/>
      </c>
    </row>
    <row r="21">
      <c r="G21" s="6">
        <f>IF(A21="","",IFERROR(F21/E21,0))</f>
        <v/>
      </c>
    </row>
    <row r="22">
      <c r="G22" s="6">
        <f>IF(A22="","",IFERROR(F22/E22,0))</f>
        <v/>
      </c>
    </row>
    <row r="23">
      <c r="G23" s="6">
        <f>IF(A23="","",IFERROR(F23/E23,0))</f>
        <v/>
      </c>
    </row>
    <row r="24">
      <c r="G24" s="6">
        <f>IF(A24="","",IFERROR(F24/E24,0))</f>
        <v/>
      </c>
    </row>
    <row r="25">
      <c r="G25" s="6">
        <f>IF(A25="","",IFERROR(F25/E25,0))</f>
        <v/>
      </c>
    </row>
    <row r="26">
      <c r="G26" s="6">
        <f>IF(A26="","",IFERROR(F26/E26,0))</f>
        <v/>
      </c>
    </row>
    <row r="27">
      <c r="G27" s="6">
        <f>IF(A27="","",IFERROR(F27/E27,0))</f>
        <v/>
      </c>
    </row>
    <row r="28">
      <c r="G28" s="6">
        <f>IF(A28="","",IFERROR(F28/E28,0))</f>
        <v/>
      </c>
    </row>
    <row r="29">
      <c r="G29" s="6">
        <f>IF(A29="","",IFERROR(F29/E29,0))</f>
        <v/>
      </c>
    </row>
    <row r="30">
      <c r="G30" s="6">
        <f>IF(A30="","",IFERROR(F30/E30,0))</f>
        <v/>
      </c>
    </row>
    <row r="31">
      <c r="G31" s="6">
        <f>IF(A31="","",IFERROR(F31/E31,0))</f>
        <v/>
      </c>
    </row>
    <row r="32">
      <c r="G32" s="6">
        <f>IF(A32="","",IFERROR(F32/E32,0))</f>
        <v/>
      </c>
    </row>
    <row r="33">
      <c r="G33" s="6">
        <f>IF(A33="","",IFERROR(F33/E33,0))</f>
        <v/>
      </c>
    </row>
    <row r="34">
      <c r="G34" s="6">
        <f>IF(A34="","",IFERROR(F34/E34,0))</f>
        <v/>
      </c>
    </row>
    <row r="35">
      <c r="G35" s="6">
        <f>IF(A35="","",IFERROR(F35/E35,0))</f>
        <v/>
      </c>
    </row>
    <row r="36">
      <c r="G36" s="6">
        <f>IF(A36="","",IFERROR(F36/E36,0))</f>
        <v/>
      </c>
    </row>
    <row r="37">
      <c r="G37" s="6">
        <f>IF(A37="","",IFERROR(F37/E37,0))</f>
        <v/>
      </c>
    </row>
    <row r="38">
      <c r="G38" s="6">
        <f>IF(A38="","",IFERROR(F38/E38,0))</f>
        <v/>
      </c>
    </row>
    <row r="39">
      <c r="G39" s="6">
        <f>IF(A39="","",IFERROR(F39/E39,0))</f>
        <v/>
      </c>
    </row>
    <row r="40">
      <c r="G40" s="6">
        <f>IF(A40="","",IFERROR(F40/E40,0))</f>
        <v/>
      </c>
    </row>
    <row r="41">
      <c r="G41" s="6">
        <f>IF(A41="","",IFERROR(F41/E41,0))</f>
        <v/>
      </c>
    </row>
    <row r="42">
      <c r="G42" s="6">
        <f>IF(A42="","",IFERROR(F42/E42,0))</f>
        <v/>
      </c>
    </row>
    <row r="43">
      <c r="G43" s="6">
        <f>IF(A43="","",IFERROR(F43/E43,0))</f>
        <v/>
      </c>
    </row>
    <row r="44">
      <c r="G44" s="6">
        <f>IF(A44="","",IFERROR(F44/E44,0))</f>
        <v/>
      </c>
    </row>
    <row r="45">
      <c r="G45" s="6">
        <f>IF(A45="","",IFERROR(F45/E45,0))</f>
        <v/>
      </c>
    </row>
    <row r="46">
      <c r="G46" s="6">
        <f>IF(A46="","",IFERROR(F46/E46,0))</f>
        <v/>
      </c>
    </row>
    <row r="47">
      <c r="G47" s="6">
        <f>IF(A47="","",IFERROR(F47/E47,0))</f>
        <v/>
      </c>
    </row>
    <row r="48">
      <c r="G48" s="6">
        <f>IF(A48="","",IFERROR(F48/E48,0))</f>
        <v/>
      </c>
    </row>
    <row r="49">
      <c r="G49" s="6">
        <f>IF(A49="","",IFERROR(F49/E49,0))</f>
        <v/>
      </c>
    </row>
    <row r="50">
      <c r="G50" s="6">
        <f>IF(A50="","",IFERROR(F50/E50,0))</f>
        <v/>
      </c>
    </row>
    <row r="51">
      <c r="G51" s="6">
        <f>IF(A51="","",IFERROR(F51/E51,0))</f>
        <v/>
      </c>
    </row>
    <row r="52">
      <c r="G52" s="6">
        <f>IF(A52="","",IFERROR(F52/E52,0))</f>
        <v/>
      </c>
    </row>
    <row r="53">
      <c r="G53" s="6">
        <f>IF(A53="","",IFERROR(F53/E53,0))</f>
        <v/>
      </c>
    </row>
    <row r="54">
      <c r="G54" s="6">
        <f>IF(A54="","",IFERROR(F54/E54,0))</f>
        <v/>
      </c>
    </row>
    <row r="55">
      <c r="G55" s="6">
        <f>IF(A55="","",IFERROR(F55/E55,0))</f>
        <v/>
      </c>
    </row>
    <row r="56">
      <c r="G56" s="6">
        <f>IF(A56="","",IFERROR(F56/E56,0))</f>
        <v/>
      </c>
    </row>
    <row r="57">
      <c r="G57" s="6">
        <f>IF(A57="","",IFERROR(F57/E57,0))</f>
        <v/>
      </c>
    </row>
    <row r="58">
      <c r="G58" s="6">
        <f>IF(A58="","",IFERROR(F58/E58,0))</f>
        <v/>
      </c>
    </row>
    <row r="59">
      <c r="G59" s="6">
        <f>IF(A59="","",IFERROR(F59/E59,0))</f>
        <v/>
      </c>
    </row>
    <row r="60">
      <c r="G60" s="6">
        <f>IF(A60="","",IFERROR(F60/E60,0))</f>
        <v/>
      </c>
    </row>
    <row r="61">
      <c r="G61" s="6">
        <f>IF(A61="","",IFERROR(F61/E61,0))</f>
        <v/>
      </c>
    </row>
    <row r="62">
      <c r="G62" s="6">
        <f>IF(A62="","",IFERROR(F62/E62,0))</f>
        <v/>
      </c>
    </row>
    <row r="63">
      <c r="G63" s="6">
        <f>IF(A63="","",IFERROR(F63/E63,0))</f>
        <v/>
      </c>
    </row>
    <row r="64">
      <c r="G64" s="6">
        <f>IF(A64="","",IFERROR(F64/E64,0))</f>
        <v/>
      </c>
    </row>
    <row r="65">
      <c r="G65" s="6">
        <f>IF(A65="","",IFERROR(F65/E65,0))</f>
        <v/>
      </c>
    </row>
    <row r="66">
      <c r="G66" s="6">
        <f>IF(A66="","",IFERROR(F66/E66,0))</f>
        <v/>
      </c>
    </row>
    <row r="67">
      <c r="G67" s="6">
        <f>IF(A67="","",IFERROR(F67/E67,0))</f>
        <v/>
      </c>
    </row>
    <row r="68">
      <c r="G68" s="6">
        <f>IF(A68="","",IFERROR(F68/E68,0))</f>
        <v/>
      </c>
    </row>
    <row r="69">
      <c r="G69" s="6">
        <f>IF(A69="","",IFERROR(F69/E69,0))</f>
        <v/>
      </c>
    </row>
    <row r="70">
      <c r="G70" s="6">
        <f>IF(A70="","",IFERROR(F70/E70,0))</f>
        <v/>
      </c>
    </row>
    <row r="71">
      <c r="G71" s="6">
        <f>IF(A71="","",IFERROR(F71/E71,0))</f>
        <v/>
      </c>
    </row>
    <row r="72">
      <c r="G72" s="6">
        <f>IF(A72="","",IFERROR(F72/E72,0))</f>
        <v/>
      </c>
    </row>
    <row r="73">
      <c r="G73" s="6">
        <f>IF(A73="","",IFERROR(F73/E73,0))</f>
        <v/>
      </c>
    </row>
    <row r="74">
      <c r="G74" s="6">
        <f>IF(A74="","",IFERROR(F74/E74,0))</f>
        <v/>
      </c>
    </row>
    <row r="75">
      <c r="G75" s="6">
        <f>IF(A75="","",IFERROR(F75/E75,0))</f>
        <v/>
      </c>
    </row>
    <row r="76">
      <c r="G76" s="6">
        <f>IF(A76="","",IFERROR(F76/E76,0))</f>
        <v/>
      </c>
    </row>
    <row r="77">
      <c r="G77" s="6">
        <f>IF(A77="","",IFERROR(F77/E77,0))</f>
        <v/>
      </c>
    </row>
    <row r="78">
      <c r="G78" s="6">
        <f>IF(A78="","",IFERROR(F78/E78,0))</f>
        <v/>
      </c>
    </row>
    <row r="79">
      <c r="G79" s="6">
        <f>IF(A79="","",IFERROR(F79/E79,0))</f>
        <v/>
      </c>
    </row>
    <row r="80">
      <c r="G80" s="6">
        <f>IF(A80="","",IFERROR(F80/E80,0))</f>
        <v/>
      </c>
    </row>
    <row r="81">
      <c r="G81" s="6">
        <f>IF(A81="","",IFERROR(F81/E81,0))</f>
        <v/>
      </c>
    </row>
    <row r="82">
      <c r="G82" s="6">
        <f>IF(A82="","",IFERROR(F82/E82,0))</f>
        <v/>
      </c>
    </row>
    <row r="83">
      <c r="G83" s="6">
        <f>IF(A83="","",IFERROR(F83/E83,0))</f>
        <v/>
      </c>
    </row>
    <row r="84">
      <c r="G84" s="6">
        <f>IF(A84="","",IFERROR(F84/E84,0))</f>
        <v/>
      </c>
    </row>
    <row r="85">
      <c r="G85" s="6">
        <f>IF(A85="","",IFERROR(F85/E85,0))</f>
        <v/>
      </c>
    </row>
    <row r="86">
      <c r="G86" s="6">
        <f>IF(A86="","",IFERROR(F86/E86,0))</f>
        <v/>
      </c>
    </row>
    <row r="87">
      <c r="G87" s="6">
        <f>IF(A87="","",IFERROR(F87/E87,0))</f>
        <v/>
      </c>
    </row>
    <row r="88">
      <c r="G88" s="6">
        <f>IF(A88="","",IFERROR(F88/E88,0))</f>
        <v/>
      </c>
    </row>
    <row r="89">
      <c r="G89" s="6">
        <f>IF(A89="","",IFERROR(F89/E89,0))</f>
        <v/>
      </c>
    </row>
    <row r="90">
      <c r="G90" s="6">
        <f>IF(A90="","",IFERROR(F90/E90,0))</f>
        <v/>
      </c>
    </row>
    <row r="91">
      <c r="G91" s="6">
        <f>IF(A91="","",IFERROR(F91/E91,0))</f>
        <v/>
      </c>
    </row>
    <row r="92">
      <c r="G92" s="6">
        <f>IF(A92="","",IFERROR(F92/E92,0))</f>
        <v/>
      </c>
    </row>
    <row r="93">
      <c r="G93" s="6">
        <f>IF(A93="","",IFERROR(F93/E93,0))</f>
        <v/>
      </c>
    </row>
    <row r="94">
      <c r="G94" s="6">
        <f>IF(A94="","",IFERROR(F94/E94,0))</f>
        <v/>
      </c>
    </row>
    <row r="95">
      <c r="G95" s="6">
        <f>IF(A95="","",IFERROR(F95/E95,0))</f>
        <v/>
      </c>
    </row>
    <row r="96">
      <c r="G96" s="6">
        <f>IF(A96="","",IFERROR(F96/E96,0))</f>
        <v/>
      </c>
    </row>
    <row r="97">
      <c r="G97" s="6">
        <f>IF(A97="","",IFERROR(F97/E97,0))</f>
        <v/>
      </c>
    </row>
    <row r="98">
      <c r="G98" s="6">
        <f>IF(A98="","",IFERROR(F98/E98,0))</f>
        <v/>
      </c>
    </row>
    <row r="99">
      <c r="G99" s="6">
        <f>IF(A99="","",IFERROR(F99/E99,0))</f>
        <v/>
      </c>
    </row>
    <row r="100">
      <c r="G100" s="6">
        <f>IF(A100="","",IFERROR(F100/E100,0))</f>
        <v/>
      </c>
    </row>
    <row r="101">
      <c r="G101" s="6">
        <f>IF(A101="","",IFERROR(F101/E101,0))</f>
        <v/>
      </c>
    </row>
    <row r="102">
      <c r="G102" s="6">
        <f>IF(A102="","",IFERROR(F102/E102,0))</f>
        <v/>
      </c>
    </row>
    <row r="103">
      <c r="G103" s="6">
        <f>IF(A103="","",IFERROR(F103/E103,0))</f>
        <v/>
      </c>
    </row>
    <row r="104">
      <c r="G104" s="6">
        <f>IF(A104="","",IFERROR(F104/E104,0))</f>
        <v/>
      </c>
    </row>
    <row r="105">
      <c r="G105" s="6">
        <f>IF(A105="","",IFERROR(F105/E105,0))</f>
        <v/>
      </c>
    </row>
    <row r="106">
      <c r="G106" s="6">
        <f>IF(A106="","",IFERROR(F106/E106,0))</f>
        <v/>
      </c>
    </row>
    <row r="107">
      <c r="G107" s="6">
        <f>IF(A107="","",IFERROR(F107/E107,0))</f>
        <v/>
      </c>
    </row>
    <row r="108">
      <c r="G108" s="6">
        <f>IF(A108="","",IFERROR(F108/E108,0))</f>
        <v/>
      </c>
    </row>
    <row r="109">
      <c r="G109" s="6">
        <f>IF(A109="","",IFERROR(F109/E109,0))</f>
        <v/>
      </c>
    </row>
    <row r="110">
      <c r="G110" s="6">
        <f>IF(A110="","",IFERROR(F110/E110,0))</f>
        <v/>
      </c>
    </row>
    <row r="111">
      <c r="G111" s="6">
        <f>IF(A111="","",IFERROR(F111/E111,0))</f>
        <v/>
      </c>
    </row>
    <row r="112">
      <c r="G112" s="6">
        <f>IF(A112="","",IFERROR(F112/E112,0))</f>
        <v/>
      </c>
    </row>
    <row r="113">
      <c r="G113" s="6">
        <f>IF(A113="","",IFERROR(F113/E113,0))</f>
        <v/>
      </c>
    </row>
    <row r="114">
      <c r="G114" s="6">
        <f>IF(A114="","",IFERROR(F114/E114,0))</f>
        <v/>
      </c>
    </row>
    <row r="115">
      <c r="G115" s="6">
        <f>IF(A115="","",IFERROR(F115/E115,0))</f>
        <v/>
      </c>
    </row>
    <row r="116">
      <c r="G116" s="6">
        <f>IF(A116="","",IFERROR(F116/E116,0))</f>
        <v/>
      </c>
    </row>
    <row r="117">
      <c r="G117" s="6">
        <f>IF(A117="","",IFERROR(F117/E117,0))</f>
        <v/>
      </c>
    </row>
    <row r="118">
      <c r="G118" s="6">
        <f>IF(A118="","",IFERROR(F118/E118,0))</f>
        <v/>
      </c>
    </row>
    <row r="119">
      <c r="G119" s="6">
        <f>IF(A119="","",IFERROR(F119/E119,0))</f>
        <v/>
      </c>
    </row>
    <row r="120">
      <c r="G120" s="6">
        <f>IF(A120="","",IFERROR(F120/E120,0))</f>
        <v/>
      </c>
    </row>
    <row r="121">
      <c r="G121" s="6">
        <f>IF(A121="","",IFERROR(F121/E121,0))</f>
        <v/>
      </c>
    </row>
    <row r="122">
      <c r="G122" s="6">
        <f>IF(A122="","",IFERROR(F122/E122,0))</f>
        <v/>
      </c>
    </row>
    <row r="123">
      <c r="G123" s="6">
        <f>IF(A123="","",IFERROR(F123/E123,0))</f>
        <v/>
      </c>
    </row>
    <row r="124">
      <c r="G124" s="6">
        <f>IF(A124="","",IFERROR(F124/E124,0))</f>
        <v/>
      </c>
    </row>
    <row r="125">
      <c r="G125" s="6">
        <f>IF(A125="","",IFERROR(F125/E125,0))</f>
        <v/>
      </c>
    </row>
    <row r="126">
      <c r="G126" s="6">
        <f>IF(A126="","",IFERROR(F126/E126,0))</f>
        <v/>
      </c>
    </row>
    <row r="127">
      <c r="G127" s="6">
        <f>IF(A127="","",IFERROR(F127/E127,0))</f>
        <v/>
      </c>
    </row>
    <row r="128">
      <c r="G128" s="6">
        <f>IF(A128="","",IFERROR(F128/E128,0))</f>
        <v/>
      </c>
    </row>
    <row r="129">
      <c r="G129" s="6">
        <f>IF(A129="","",IFERROR(F129/E129,0))</f>
        <v/>
      </c>
    </row>
    <row r="130">
      <c r="G130" s="6">
        <f>IF(A130="","",IFERROR(F130/E130,0))</f>
        <v/>
      </c>
    </row>
    <row r="131">
      <c r="G131" s="6">
        <f>IF(A131="","",IFERROR(F131/E131,0))</f>
        <v/>
      </c>
    </row>
    <row r="132">
      <c r="G132" s="6">
        <f>IF(A132="","",IFERROR(F132/E132,0))</f>
        <v/>
      </c>
    </row>
    <row r="133">
      <c r="G133" s="6">
        <f>IF(A133="","",IFERROR(F133/E133,0))</f>
        <v/>
      </c>
    </row>
    <row r="134">
      <c r="G134" s="6">
        <f>IF(A134="","",IFERROR(F134/E134,0))</f>
        <v/>
      </c>
    </row>
    <row r="135">
      <c r="G135" s="6">
        <f>IF(A135="","",IFERROR(F135/E135,0))</f>
        <v/>
      </c>
    </row>
    <row r="136">
      <c r="G136" s="6">
        <f>IF(A136="","",IFERROR(F136/E136,0))</f>
        <v/>
      </c>
    </row>
    <row r="137">
      <c r="G137" s="6">
        <f>IF(A137="","",IFERROR(F137/E137,0))</f>
        <v/>
      </c>
    </row>
    <row r="138">
      <c r="G138" s="6">
        <f>IF(A138="","",IFERROR(F138/E138,0))</f>
        <v/>
      </c>
    </row>
    <row r="139">
      <c r="G139" s="6">
        <f>IF(A139="","",IFERROR(F139/E139,0))</f>
        <v/>
      </c>
    </row>
    <row r="140">
      <c r="G140" s="6">
        <f>IF(A140="","",IFERROR(F140/E140,0))</f>
        <v/>
      </c>
    </row>
    <row r="141">
      <c r="G141" s="6">
        <f>IF(A141="","",IFERROR(F141/E141,0))</f>
        <v/>
      </c>
    </row>
    <row r="142">
      <c r="G142" s="6">
        <f>IF(A142="","",IFERROR(F142/E142,0))</f>
        <v/>
      </c>
    </row>
    <row r="143">
      <c r="G143" s="6">
        <f>IF(A143="","",IFERROR(F143/E143,0))</f>
        <v/>
      </c>
    </row>
    <row r="144">
      <c r="G144" s="6">
        <f>IF(A144="","",IFERROR(F144/E144,0))</f>
        <v/>
      </c>
    </row>
    <row r="145">
      <c r="G145" s="6">
        <f>IF(A145="","",IFERROR(F145/E145,0))</f>
        <v/>
      </c>
    </row>
    <row r="146">
      <c r="G146" s="6">
        <f>IF(A146="","",IFERROR(F146/E146,0))</f>
        <v/>
      </c>
    </row>
    <row r="147">
      <c r="G147" s="6">
        <f>IF(A147="","",IFERROR(F147/E147,0))</f>
        <v/>
      </c>
    </row>
    <row r="148">
      <c r="G148" s="6">
        <f>IF(A148="","",IFERROR(F148/E148,0))</f>
        <v/>
      </c>
    </row>
    <row r="149">
      <c r="G149" s="6">
        <f>IF(A149="","",IFERROR(F149/E149,0))</f>
        <v/>
      </c>
    </row>
    <row r="150">
      <c r="G150" s="6">
        <f>IF(A150="","",IFERROR(F150/E150,0))</f>
        <v/>
      </c>
    </row>
    <row r="151">
      <c r="G151" s="6">
        <f>IF(A151="","",IFERROR(F151/E151,0))</f>
        <v/>
      </c>
    </row>
    <row r="152">
      <c r="G152" s="6">
        <f>IF(A152="","",IFERROR(F152/E152,0))</f>
        <v/>
      </c>
    </row>
    <row r="153">
      <c r="G153" s="6">
        <f>IF(A153="","",IFERROR(F153/E153,0))</f>
        <v/>
      </c>
    </row>
    <row r="154">
      <c r="G154" s="6">
        <f>IF(A154="","",IFERROR(F154/E154,0))</f>
        <v/>
      </c>
    </row>
    <row r="155">
      <c r="G155" s="6">
        <f>IF(A155="","",IFERROR(F155/E155,0))</f>
        <v/>
      </c>
    </row>
    <row r="156">
      <c r="G156" s="6">
        <f>IF(A156="","",IFERROR(F156/E156,0))</f>
        <v/>
      </c>
    </row>
    <row r="157">
      <c r="G157" s="6">
        <f>IF(A157="","",IFERROR(F157/E157,0))</f>
        <v/>
      </c>
    </row>
    <row r="158">
      <c r="G158" s="6">
        <f>IF(A158="","",IFERROR(F158/E158,0))</f>
        <v/>
      </c>
    </row>
    <row r="159">
      <c r="G159" s="6">
        <f>IF(A159="","",IFERROR(F159/E159,0))</f>
        <v/>
      </c>
    </row>
    <row r="160">
      <c r="G160" s="6">
        <f>IF(A160="","",IFERROR(F160/E160,0))</f>
        <v/>
      </c>
    </row>
    <row r="161">
      <c r="G161" s="6">
        <f>IF(A161="","",IFERROR(F161/E161,0))</f>
        <v/>
      </c>
    </row>
    <row r="162">
      <c r="G162" s="6">
        <f>IF(A162="","",IFERROR(F162/E162,0))</f>
        <v/>
      </c>
    </row>
    <row r="163">
      <c r="G163" s="6">
        <f>IF(A163="","",IFERROR(F163/E163,0))</f>
        <v/>
      </c>
    </row>
    <row r="164">
      <c r="G164" s="6">
        <f>IF(A164="","",IFERROR(F164/E164,0))</f>
        <v/>
      </c>
    </row>
    <row r="165">
      <c r="G165" s="6">
        <f>IF(A165="","",IFERROR(F165/E165,0))</f>
        <v/>
      </c>
    </row>
    <row r="166">
      <c r="G166" s="6">
        <f>IF(A166="","",IFERROR(F166/E166,0))</f>
        <v/>
      </c>
    </row>
    <row r="167">
      <c r="G167" s="6">
        <f>IF(A167="","",IFERROR(F167/E167,0))</f>
        <v/>
      </c>
    </row>
    <row r="168">
      <c r="G168" s="6">
        <f>IF(A168="","",IFERROR(F168/E168,0))</f>
        <v/>
      </c>
    </row>
    <row r="169">
      <c r="G169" s="6">
        <f>IF(A169="","",IFERROR(F169/E169,0))</f>
        <v/>
      </c>
    </row>
    <row r="170">
      <c r="G170" s="6">
        <f>IF(A170="","",IFERROR(F170/E170,0))</f>
        <v/>
      </c>
    </row>
    <row r="171">
      <c r="G171" s="6">
        <f>IF(A171="","",IFERROR(F171/E171,0))</f>
        <v/>
      </c>
    </row>
    <row r="172">
      <c r="G172" s="6">
        <f>IF(A172="","",IFERROR(F172/E172,0))</f>
        <v/>
      </c>
    </row>
    <row r="173">
      <c r="G173" s="6">
        <f>IF(A173="","",IFERROR(F173/E173,0))</f>
        <v/>
      </c>
    </row>
    <row r="174">
      <c r="G174" s="6">
        <f>IF(A174="","",IFERROR(F174/E174,0))</f>
        <v/>
      </c>
    </row>
    <row r="175">
      <c r="G175" s="6">
        <f>IF(A175="","",IFERROR(F175/E175,0))</f>
        <v/>
      </c>
    </row>
    <row r="176">
      <c r="G176" s="6">
        <f>IF(A176="","",IFERROR(F176/E176,0))</f>
        <v/>
      </c>
    </row>
    <row r="177">
      <c r="G177" s="6">
        <f>IF(A177="","",IFERROR(F177/E177,0))</f>
        <v/>
      </c>
    </row>
    <row r="178">
      <c r="G178" s="6">
        <f>IF(A178="","",IFERROR(F178/E178,0))</f>
        <v/>
      </c>
    </row>
    <row r="179">
      <c r="G179" s="6">
        <f>IF(A179="","",IFERROR(F179/E179,0))</f>
        <v/>
      </c>
    </row>
    <row r="180">
      <c r="G180" s="6">
        <f>IF(A180="","",IFERROR(F180/E180,0))</f>
        <v/>
      </c>
    </row>
    <row r="181">
      <c r="G181" s="6">
        <f>IF(A181="","",IFERROR(F181/E181,0))</f>
        <v/>
      </c>
    </row>
    <row r="182">
      <c r="G182" s="6">
        <f>IF(A182="","",IFERROR(F182/E182,0))</f>
        <v/>
      </c>
    </row>
    <row r="183">
      <c r="G183" s="6">
        <f>IF(A183="","",IFERROR(F183/E183,0))</f>
        <v/>
      </c>
    </row>
    <row r="184">
      <c r="G184" s="6">
        <f>IF(A184="","",IFERROR(F184/E184,0))</f>
        <v/>
      </c>
    </row>
    <row r="185">
      <c r="G185" s="6">
        <f>IF(A185="","",IFERROR(F185/E185,0))</f>
        <v/>
      </c>
    </row>
    <row r="186">
      <c r="G186" s="6">
        <f>IF(A186="","",IFERROR(F186/E186,0))</f>
        <v/>
      </c>
    </row>
    <row r="187">
      <c r="G187" s="6">
        <f>IF(A187="","",IFERROR(F187/E187,0))</f>
        <v/>
      </c>
    </row>
    <row r="188">
      <c r="G188" s="6">
        <f>IF(A188="","",IFERROR(F188/E188,0))</f>
        <v/>
      </c>
    </row>
    <row r="189">
      <c r="G189" s="6">
        <f>IF(A189="","",IFERROR(F189/E189,0))</f>
        <v/>
      </c>
    </row>
    <row r="190">
      <c r="G190" s="6">
        <f>IF(A190="","",IFERROR(F190/E190,0))</f>
        <v/>
      </c>
    </row>
    <row r="191">
      <c r="G191" s="6">
        <f>IF(A191="","",IFERROR(F191/E191,0))</f>
        <v/>
      </c>
    </row>
    <row r="192">
      <c r="G192" s="6">
        <f>IF(A192="","",IFERROR(F192/E192,0))</f>
        <v/>
      </c>
    </row>
    <row r="193">
      <c r="G193" s="6">
        <f>IF(A193="","",IFERROR(F193/E193,0))</f>
        <v/>
      </c>
    </row>
    <row r="194">
      <c r="G194" s="6">
        <f>IF(A194="","",IFERROR(F194/E194,0))</f>
        <v/>
      </c>
    </row>
    <row r="195">
      <c r="G195" s="6">
        <f>IF(A195="","",IFERROR(F195/E195,0))</f>
        <v/>
      </c>
    </row>
    <row r="196">
      <c r="G196" s="6">
        <f>IF(A196="","",IFERROR(F196/E196,0))</f>
        <v/>
      </c>
    </row>
    <row r="197">
      <c r="G197" s="6">
        <f>IF(A197="","",IFERROR(F197/E197,0))</f>
        <v/>
      </c>
    </row>
    <row r="198">
      <c r="G198" s="6">
        <f>IF(A198="","",IFERROR(F198/E198,0))</f>
        <v/>
      </c>
    </row>
    <row r="199">
      <c r="G199" s="6">
        <f>IF(A199="","",IFERROR(F199/E199,0))</f>
        <v/>
      </c>
    </row>
    <row r="200">
      <c r="G200" s="6">
        <f>IF(A200="","",IFERROR(F200/E200,0))</f>
        <v/>
      </c>
    </row>
    <row r="201">
      <c r="G201" s="6">
        <f>IF(A201="","",IFERROR(F201/E201,0))</f>
        <v/>
      </c>
    </row>
  </sheetData>
  <dataValidations count="1">
    <dataValidation sqref="B2:B201" showDropDown="0" showInputMessage="0" showErrorMessage="0" allowBlank="1" type="list">
      <formula1>"Human,Agent,Human + agent"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2026-10-16T04:15:47Z</dcterms:created>
  <dcterms:modified xmlns:dcterms="http://purl.org/dc/terms/" xmlns:xsi="http://www.w3.org/2001/XMLSchema-instance" xsi:type="dcterms:W3CDTF">2026-10-16T04:15:48Z</dcterms:modified>
</cp:coreProperties>
</file>