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11316"/>
      </patternFill>
    </fill>
    <fill>
      <patternFill patternType="solid">
        <fgColor rgb="000F766E"/>
      </patternFill>
    </fill>
    <fill>
      <patternFill patternType="solid">
        <fgColor rgb="00F2F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64" fontId="0" fillId="0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.71428571428572" customWidth="1" min="1" max="1"/>
    <col width="20" customWidth="1" min="2" max="2"/>
    <col width="22.85714285714286" customWidth="1" min="3" max="3"/>
    <col width="28.57142857142857" customWidth="1" min="4" max="4"/>
    <col width="15.71428571428571" customWidth="1" min="5" max="5"/>
    <col width="15.71428571428571" customWidth="1" min="6" max="6"/>
    <col width="15.71428571428571" customWidth="1" min="7" max="7"/>
    <col width="15.71428571428571" customWidth="1" min="8" max="8"/>
    <col width="15.71428571428571" customWidth="1" min="9" max="9"/>
    <col width="15.71428571428571" customWidth="1" min="10" max="10"/>
    <col width="15.71428571428571" customWidth="1" min="11" max="11"/>
    <col width="15.71428571428571" customWidth="1" min="12" max="12"/>
    <col width="18.57142857142857" customWidth="1" min="13" max="13"/>
    <col width="15.71428571428571" customWidth="1" min="14" max="14"/>
    <col width="15.71428571428571" customWidth="1" min="15" max="15"/>
  </cols>
  <sheetData>
    <row r="1" ht="48" customHeight="1">
      <c r="A1" s="1" t="inlineStr">
        <is>
          <t>Offer / product</t>
        </is>
      </c>
      <c r="B1" s="1" t="inlineStr">
        <is>
          <t>Market / audience</t>
        </is>
      </c>
      <c r="C1" s="1" t="inlineStr">
        <is>
          <t>Source (bestseller ≤2 mo, reviews, own idea)</t>
        </is>
      </c>
      <c r="D1" s="1" t="inlineStr">
        <is>
          <t>Core differentiator</t>
        </is>
      </c>
      <c r="E1" s="1" t="inlineStr">
        <is>
          <t>Pain value (1-5)</t>
        </is>
      </c>
      <c r="F1" s="1" t="inlineStr">
        <is>
          <t>Shows in 20s video? (1-5)</t>
        </is>
      </c>
      <c r="G1" s="1" t="inlineStr">
        <is>
          <t>Customer's current cost to solve ($)</t>
        </is>
      </c>
      <c r="H1" s="1" t="inlineStr">
        <is>
          <t>Proposed price ($)</t>
        </is>
      </c>
      <c r="I1" s="1" t="inlineStr">
        <is>
          <t>Full unit cost incl. fees ($)</t>
        </is>
      </c>
      <c r="J1" s="2" t="inlineStr">
        <is>
          <t>Consumer surplus ƒ</t>
        </is>
      </c>
      <c r="K1" s="2" t="inlineStr">
        <is>
          <t>Producer surplus ƒ</t>
        </is>
      </c>
      <c r="L1" s="2" t="inlineStr">
        <is>
          <t>Gross margin % ƒ</t>
        </is>
      </c>
      <c r="M1" s="2" t="inlineStr">
        <is>
          <t>Classification ƒ</t>
        </is>
      </c>
      <c r="N1" s="1" t="inlineStr">
        <is>
          <t>Independent signals (need ≥3)</t>
        </is>
      </c>
      <c r="O1" s="1" t="inlineStr">
        <is>
          <t>Decision</t>
        </is>
      </c>
    </row>
    <row r="2">
      <c r="A2" t="inlineStr">
        <is>
          <t>Example: at-home styling tool</t>
        </is>
      </c>
      <c r="B2" t="inlineStr">
        <is>
          <t>Women 25-45</t>
        </is>
      </c>
      <c r="C2" t="inlineStr">
        <is>
          <t>Review complaints on top 5 competitors</t>
        </is>
      </c>
      <c r="D2" t="inlineStr">
        <is>
          <t>Salon result in 10 minutes</t>
        </is>
      </c>
      <c r="E2" t="n">
        <v>5</v>
      </c>
      <c r="F2" t="n">
        <v>5</v>
      </c>
      <c r="G2" s="3" t="n">
        <v>50</v>
      </c>
      <c r="H2" s="3" t="n">
        <v>49</v>
      </c>
      <c r="I2" s="3" t="n">
        <v>14</v>
      </c>
      <c r="J2" s="4">
        <f>IF(A2="","",G2-H2)</f>
        <v/>
      </c>
      <c r="K2" s="4">
        <f>IF(A2="","",H2-I2)</f>
        <v/>
      </c>
      <c r="L2" s="5">
        <f>IF(A2="","",IFERROR((H2-I2)/H2,0))</f>
        <v/>
      </c>
      <c r="M2" s="6">
        <f>IF(A2="","",IF(H2&lt;=I2,"Drop",IF(AND(J2&gt;0,IFERROR((H2-I2)/H2,0)&gt;=0.65),"Profit product",IF(IFERROR((H2-I2)/H2,0)&gt;=0.5,"Traffic product","Thin - rework"))))</f>
        <v/>
      </c>
      <c r="N2" t="n">
        <v>1</v>
      </c>
      <c r="O2" t="inlineStr">
        <is>
          <t>Test</t>
        </is>
      </c>
    </row>
    <row r="3">
      <c r="G3" s="3" t="n"/>
      <c r="H3" s="3" t="n"/>
      <c r="I3" s="3" t="n"/>
      <c r="J3" s="4">
        <f>IF(A3="","",G3-H3)</f>
        <v/>
      </c>
      <c r="K3" s="4">
        <f>IF(A3="","",H3-I3)</f>
        <v/>
      </c>
      <c r="L3" s="5">
        <f>IF(A3="","",IFERROR((H3-I3)/H3,0))</f>
        <v/>
      </c>
      <c r="M3" s="6">
        <f>IF(A3="","",IF(H3&lt;=I3,"Drop",IF(AND(J3&gt;0,IFERROR((H3-I3)/H3,0)&gt;=0.65),"Profit product",IF(IFERROR((H3-I3)/H3,0)&gt;=0.5,"Traffic product","Thin - rework"))))</f>
        <v/>
      </c>
    </row>
    <row r="4">
      <c r="G4" s="3" t="n"/>
      <c r="H4" s="3" t="n"/>
      <c r="I4" s="3" t="n"/>
      <c r="J4" s="4">
        <f>IF(A4="","",G4-H4)</f>
        <v/>
      </c>
      <c r="K4" s="4">
        <f>IF(A4="","",H4-I4)</f>
        <v/>
      </c>
      <c r="L4" s="5">
        <f>IF(A4="","",IFERROR((H4-I4)/H4,0))</f>
        <v/>
      </c>
      <c r="M4" s="6">
        <f>IF(A4="","",IF(H4&lt;=I4,"Drop",IF(AND(J4&gt;0,IFERROR((H4-I4)/H4,0)&gt;=0.65),"Profit product",IF(IFERROR((H4-I4)/H4,0)&gt;=0.5,"Traffic product","Thin - rework"))))</f>
        <v/>
      </c>
    </row>
    <row r="5">
      <c r="G5" s="3" t="n"/>
      <c r="H5" s="3" t="n"/>
      <c r="I5" s="3" t="n"/>
      <c r="J5" s="4">
        <f>IF(A5="","",G5-H5)</f>
        <v/>
      </c>
      <c r="K5" s="4">
        <f>IF(A5="","",H5-I5)</f>
        <v/>
      </c>
      <c r="L5" s="5">
        <f>IF(A5="","",IFERROR((H5-I5)/H5,0))</f>
        <v/>
      </c>
      <c r="M5" s="6">
        <f>IF(A5="","",IF(H5&lt;=I5,"Drop",IF(AND(J5&gt;0,IFERROR((H5-I5)/H5,0)&gt;=0.65),"Profit product",IF(IFERROR((H5-I5)/H5,0)&gt;=0.5,"Traffic product","Thin - rework"))))</f>
        <v/>
      </c>
    </row>
    <row r="6">
      <c r="G6" s="3" t="n"/>
      <c r="H6" s="3" t="n"/>
      <c r="I6" s="3" t="n"/>
      <c r="J6" s="4">
        <f>IF(A6="","",G6-H6)</f>
        <v/>
      </c>
      <c r="K6" s="4">
        <f>IF(A6="","",H6-I6)</f>
        <v/>
      </c>
      <c r="L6" s="5">
        <f>IF(A6="","",IFERROR((H6-I6)/H6,0))</f>
        <v/>
      </c>
      <c r="M6" s="6">
        <f>IF(A6="","",IF(H6&lt;=I6,"Drop",IF(AND(J6&gt;0,IFERROR((H6-I6)/H6,0)&gt;=0.65),"Profit product",IF(IFERROR((H6-I6)/H6,0)&gt;=0.5,"Traffic product","Thin - rework"))))</f>
        <v/>
      </c>
    </row>
    <row r="7">
      <c r="G7" s="3" t="n"/>
      <c r="H7" s="3" t="n"/>
      <c r="I7" s="3" t="n"/>
      <c r="J7" s="4">
        <f>IF(A7="","",G7-H7)</f>
        <v/>
      </c>
      <c r="K7" s="4">
        <f>IF(A7="","",H7-I7)</f>
        <v/>
      </c>
      <c r="L7" s="5">
        <f>IF(A7="","",IFERROR((H7-I7)/H7,0))</f>
        <v/>
      </c>
      <c r="M7" s="6">
        <f>IF(A7="","",IF(H7&lt;=I7,"Drop",IF(AND(J7&gt;0,IFERROR((H7-I7)/H7,0)&gt;=0.65),"Profit product",IF(IFERROR((H7-I7)/H7,0)&gt;=0.5,"Traffic product","Thin - rework"))))</f>
        <v/>
      </c>
    </row>
    <row r="8">
      <c r="G8" s="3" t="n"/>
      <c r="H8" s="3" t="n"/>
      <c r="I8" s="3" t="n"/>
      <c r="J8" s="4">
        <f>IF(A8="","",G8-H8)</f>
        <v/>
      </c>
      <c r="K8" s="4">
        <f>IF(A8="","",H8-I8)</f>
        <v/>
      </c>
      <c r="L8" s="5">
        <f>IF(A8="","",IFERROR((H8-I8)/H8,0))</f>
        <v/>
      </c>
      <c r="M8" s="6">
        <f>IF(A8="","",IF(H8&lt;=I8,"Drop",IF(AND(J8&gt;0,IFERROR((H8-I8)/H8,0)&gt;=0.65),"Profit product",IF(IFERROR((H8-I8)/H8,0)&gt;=0.5,"Traffic product","Thin - rework"))))</f>
        <v/>
      </c>
    </row>
    <row r="9">
      <c r="G9" s="3" t="n"/>
      <c r="H9" s="3" t="n"/>
      <c r="I9" s="3" t="n"/>
      <c r="J9" s="4">
        <f>IF(A9="","",G9-H9)</f>
        <v/>
      </c>
      <c r="K9" s="4">
        <f>IF(A9="","",H9-I9)</f>
        <v/>
      </c>
      <c r="L9" s="5">
        <f>IF(A9="","",IFERROR((H9-I9)/H9,0))</f>
        <v/>
      </c>
      <c r="M9" s="6">
        <f>IF(A9="","",IF(H9&lt;=I9,"Drop",IF(AND(J9&gt;0,IFERROR((H9-I9)/H9,0)&gt;=0.65),"Profit product",IF(IFERROR((H9-I9)/H9,0)&gt;=0.5,"Traffic product","Thin - rework"))))</f>
        <v/>
      </c>
    </row>
    <row r="10">
      <c r="G10" s="3" t="n"/>
      <c r="H10" s="3" t="n"/>
      <c r="I10" s="3" t="n"/>
      <c r="J10" s="4">
        <f>IF(A10="","",G10-H10)</f>
        <v/>
      </c>
      <c r="K10" s="4">
        <f>IF(A10="","",H10-I10)</f>
        <v/>
      </c>
      <c r="L10" s="5">
        <f>IF(A10="","",IFERROR((H10-I10)/H10,0))</f>
        <v/>
      </c>
      <c r="M10" s="6">
        <f>IF(A10="","",IF(H10&lt;=I10,"Drop",IF(AND(J10&gt;0,IFERROR((H10-I10)/H10,0)&gt;=0.65),"Profit product",IF(IFERROR((H10-I10)/H10,0)&gt;=0.5,"Traffic product","Thin - rework"))))</f>
        <v/>
      </c>
    </row>
    <row r="11">
      <c r="G11" s="3" t="n"/>
      <c r="H11" s="3" t="n"/>
      <c r="I11" s="3" t="n"/>
      <c r="J11" s="4">
        <f>IF(A11="","",G11-H11)</f>
        <v/>
      </c>
      <c r="K11" s="4">
        <f>IF(A11="","",H11-I11)</f>
        <v/>
      </c>
      <c r="L11" s="5">
        <f>IF(A11="","",IFERROR((H11-I11)/H11,0))</f>
        <v/>
      </c>
      <c r="M11" s="6">
        <f>IF(A11="","",IF(H11&lt;=I11,"Drop",IF(AND(J11&gt;0,IFERROR((H11-I11)/H11,0)&gt;=0.65),"Profit product",IF(IFERROR((H11-I11)/H11,0)&gt;=0.5,"Traffic product","Thin - rework"))))</f>
        <v/>
      </c>
    </row>
    <row r="12">
      <c r="G12" s="3" t="n"/>
      <c r="H12" s="3" t="n"/>
      <c r="I12" s="3" t="n"/>
      <c r="J12" s="4">
        <f>IF(A12="","",G12-H12)</f>
        <v/>
      </c>
      <c r="K12" s="4">
        <f>IF(A12="","",H12-I12)</f>
        <v/>
      </c>
      <c r="L12" s="5">
        <f>IF(A12="","",IFERROR((H12-I12)/H12,0))</f>
        <v/>
      </c>
      <c r="M12" s="6">
        <f>IF(A12="","",IF(H12&lt;=I12,"Drop",IF(AND(J12&gt;0,IFERROR((H12-I12)/H12,0)&gt;=0.65),"Profit product",IF(IFERROR((H12-I12)/H12,0)&gt;=0.5,"Traffic product","Thin - rework"))))</f>
        <v/>
      </c>
    </row>
    <row r="13">
      <c r="G13" s="3" t="n"/>
      <c r="H13" s="3" t="n"/>
      <c r="I13" s="3" t="n"/>
      <c r="J13" s="4">
        <f>IF(A13="","",G13-H13)</f>
        <v/>
      </c>
      <c r="K13" s="4">
        <f>IF(A13="","",H13-I13)</f>
        <v/>
      </c>
      <c r="L13" s="5">
        <f>IF(A13="","",IFERROR((H13-I13)/H13,0))</f>
        <v/>
      </c>
      <c r="M13" s="6">
        <f>IF(A13="","",IF(H13&lt;=I13,"Drop",IF(AND(J13&gt;0,IFERROR((H13-I13)/H13,0)&gt;=0.65),"Profit product",IF(IFERROR((H13-I13)/H13,0)&gt;=0.5,"Traffic product","Thin - rework"))))</f>
        <v/>
      </c>
    </row>
    <row r="14">
      <c r="G14" s="3" t="n"/>
      <c r="H14" s="3" t="n"/>
      <c r="I14" s="3" t="n"/>
      <c r="J14" s="4">
        <f>IF(A14="","",G14-H14)</f>
        <v/>
      </c>
      <c r="K14" s="4">
        <f>IF(A14="","",H14-I14)</f>
        <v/>
      </c>
      <c r="L14" s="5">
        <f>IF(A14="","",IFERROR((H14-I14)/H14,0))</f>
        <v/>
      </c>
      <c r="M14" s="6">
        <f>IF(A14="","",IF(H14&lt;=I14,"Drop",IF(AND(J14&gt;0,IFERROR((H14-I14)/H14,0)&gt;=0.65),"Profit product",IF(IFERROR((H14-I14)/H14,0)&gt;=0.5,"Traffic product","Thin - rework"))))</f>
        <v/>
      </c>
    </row>
    <row r="15">
      <c r="G15" s="3" t="n"/>
      <c r="H15" s="3" t="n"/>
      <c r="I15" s="3" t="n"/>
      <c r="J15" s="4">
        <f>IF(A15="","",G15-H15)</f>
        <v/>
      </c>
      <c r="K15" s="4">
        <f>IF(A15="","",H15-I15)</f>
        <v/>
      </c>
      <c r="L15" s="5">
        <f>IF(A15="","",IFERROR((H15-I15)/H15,0))</f>
        <v/>
      </c>
      <c r="M15" s="6">
        <f>IF(A15="","",IF(H15&lt;=I15,"Drop",IF(AND(J15&gt;0,IFERROR((H15-I15)/H15,0)&gt;=0.65),"Profit product",IF(IFERROR((H15-I15)/H15,0)&gt;=0.5,"Traffic product","Thin - rework"))))</f>
        <v/>
      </c>
    </row>
    <row r="16">
      <c r="G16" s="3" t="n"/>
      <c r="H16" s="3" t="n"/>
      <c r="I16" s="3" t="n"/>
      <c r="J16" s="4">
        <f>IF(A16="","",G16-H16)</f>
        <v/>
      </c>
      <c r="K16" s="4">
        <f>IF(A16="","",H16-I16)</f>
        <v/>
      </c>
      <c r="L16" s="5">
        <f>IF(A16="","",IFERROR((H16-I16)/H16,0))</f>
        <v/>
      </c>
      <c r="M16" s="6">
        <f>IF(A16="","",IF(H16&lt;=I16,"Drop",IF(AND(J16&gt;0,IFERROR((H16-I16)/H16,0)&gt;=0.65),"Profit product",IF(IFERROR((H16-I16)/H16,0)&gt;=0.5,"Traffic product","Thin - rework"))))</f>
        <v/>
      </c>
    </row>
    <row r="17">
      <c r="G17" s="3" t="n"/>
      <c r="H17" s="3" t="n"/>
      <c r="I17" s="3" t="n"/>
      <c r="J17" s="4">
        <f>IF(A17="","",G17-H17)</f>
        <v/>
      </c>
      <c r="K17" s="4">
        <f>IF(A17="","",H17-I17)</f>
        <v/>
      </c>
      <c r="L17" s="5">
        <f>IF(A17="","",IFERROR((H17-I17)/H17,0))</f>
        <v/>
      </c>
      <c r="M17" s="6">
        <f>IF(A17="","",IF(H17&lt;=I17,"Drop",IF(AND(J17&gt;0,IFERROR((H17-I17)/H17,0)&gt;=0.65),"Profit product",IF(IFERROR((H17-I17)/H17,0)&gt;=0.5,"Traffic product","Thin - rework"))))</f>
        <v/>
      </c>
    </row>
    <row r="18">
      <c r="G18" s="3" t="n"/>
      <c r="H18" s="3" t="n"/>
      <c r="I18" s="3" t="n"/>
      <c r="J18" s="4">
        <f>IF(A18="","",G18-H18)</f>
        <v/>
      </c>
      <c r="K18" s="4">
        <f>IF(A18="","",H18-I18)</f>
        <v/>
      </c>
      <c r="L18" s="5">
        <f>IF(A18="","",IFERROR((H18-I18)/H18,0))</f>
        <v/>
      </c>
      <c r="M18" s="6">
        <f>IF(A18="","",IF(H18&lt;=I18,"Drop",IF(AND(J18&gt;0,IFERROR((H18-I18)/H18,0)&gt;=0.65),"Profit product",IF(IFERROR((H18-I18)/H18,0)&gt;=0.5,"Traffic product","Thin - rework"))))</f>
        <v/>
      </c>
    </row>
    <row r="19">
      <c r="G19" s="3" t="n"/>
      <c r="H19" s="3" t="n"/>
      <c r="I19" s="3" t="n"/>
      <c r="J19" s="4">
        <f>IF(A19="","",G19-H19)</f>
        <v/>
      </c>
      <c r="K19" s="4">
        <f>IF(A19="","",H19-I19)</f>
        <v/>
      </c>
      <c r="L19" s="5">
        <f>IF(A19="","",IFERROR((H19-I19)/H19,0))</f>
        <v/>
      </c>
      <c r="M19" s="6">
        <f>IF(A19="","",IF(H19&lt;=I19,"Drop",IF(AND(J19&gt;0,IFERROR((H19-I19)/H19,0)&gt;=0.65),"Profit product",IF(IFERROR((H19-I19)/H19,0)&gt;=0.5,"Traffic product","Thin - rework"))))</f>
        <v/>
      </c>
    </row>
    <row r="20">
      <c r="G20" s="3" t="n"/>
      <c r="H20" s="3" t="n"/>
      <c r="I20" s="3" t="n"/>
      <c r="J20" s="4">
        <f>IF(A20="","",G20-H20)</f>
        <v/>
      </c>
      <c r="K20" s="4">
        <f>IF(A20="","",H20-I20)</f>
        <v/>
      </c>
      <c r="L20" s="5">
        <f>IF(A20="","",IFERROR((H20-I20)/H20,0))</f>
        <v/>
      </c>
      <c r="M20" s="6">
        <f>IF(A20="","",IF(H20&lt;=I20,"Drop",IF(AND(J20&gt;0,IFERROR((H20-I20)/H20,0)&gt;=0.65),"Profit product",IF(IFERROR((H20-I20)/H20,0)&gt;=0.5,"Traffic product","Thin - rework"))))</f>
        <v/>
      </c>
    </row>
    <row r="21">
      <c r="G21" s="3" t="n"/>
      <c r="H21" s="3" t="n"/>
      <c r="I21" s="3" t="n"/>
      <c r="J21" s="4">
        <f>IF(A21="","",G21-H21)</f>
        <v/>
      </c>
      <c r="K21" s="4">
        <f>IF(A21="","",H21-I21)</f>
        <v/>
      </c>
      <c r="L21" s="5">
        <f>IF(A21="","",IFERROR((H21-I21)/H21,0))</f>
        <v/>
      </c>
      <c r="M21" s="6">
        <f>IF(A21="","",IF(H21&lt;=I21,"Drop",IF(AND(J21&gt;0,IFERROR((H21-I21)/H21,0)&gt;=0.65),"Profit product",IF(IFERROR((H21-I21)/H21,0)&gt;=0.5,"Traffic product","Thin - rework"))))</f>
        <v/>
      </c>
    </row>
    <row r="22">
      <c r="G22" s="3" t="n"/>
      <c r="H22" s="3" t="n"/>
      <c r="I22" s="3" t="n"/>
      <c r="J22" s="4">
        <f>IF(A22="","",G22-H22)</f>
        <v/>
      </c>
      <c r="K22" s="4">
        <f>IF(A22="","",H22-I22)</f>
        <v/>
      </c>
      <c r="L22" s="5">
        <f>IF(A22="","",IFERROR((H22-I22)/H22,0))</f>
        <v/>
      </c>
      <c r="M22" s="6">
        <f>IF(A22="","",IF(H22&lt;=I22,"Drop",IF(AND(J22&gt;0,IFERROR((H22-I22)/H22,0)&gt;=0.65),"Profit product",IF(IFERROR((H22-I22)/H22,0)&gt;=0.5,"Traffic product","Thin - rework"))))</f>
        <v/>
      </c>
    </row>
    <row r="23">
      <c r="G23" s="3" t="n"/>
      <c r="H23" s="3" t="n"/>
      <c r="I23" s="3" t="n"/>
      <c r="J23" s="4">
        <f>IF(A23="","",G23-H23)</f>
        <v/>
      </c>
      <c r="K23" s="4">
        <f>IF(A23="","",H23-I23)</f>
        <v/>
      </c>
      <c r="L23" s="5">
        <f>IF(A23="","",IFERROR((H23-I23)/H23,0))</f>
        <v/>
      </c>
      <c r="M23" s="6">
        <f>IF(A23="","",IF(H23&lt;=I23,"Drop",IF(AND(J23&gt;0,IFERROR((H23-I23)/H23,0)&gt;=0.65),"Profit product",IF(IFERROR((H23-I23)/H23,0)&gt;=0.5,"Traffic product","Thin - rework"))))</f>
        <v/>
      </c>
    </row>
    <row r="24">
      <c r="G24" s="3" t="n"/>
      <c r="H24" s="3" t="n"/>
      <c r="I24" s="3" t="n"/>
      <c r="J24" s="4">
        <f>IF(A24="","",G24-H24)</f>
        <v/>
      </c>
      <c r="K24" s="4">
        <f>IF(A24="","",H24-I24)</f>
        <v/>
      </c>
      <c r="L24" s="5">
        <f>IF(A24="","",IFERROR((H24-I24)/H24,0))</f>
        <v/>
      </c>
      <c r="M24" s="6">
        <f>IF(A24="","",IF(H24&lt;=I24,"Drop",IF(AND(J24&gt;0,IFERROR((H24-I24)/H24,0)&gt;=0.65),"Profit product",IF(IFERROR((H24-I24)/H24,0)&gt;=0.5,"Traffic product","Thin - rework"))))</f>
        <v/>
      </c>
    </row>
    <row r="25">
      <c r="G25" s="3" t="n"/>
      <c r="H25" s="3" t="n"/>
      <c r="I25" s="3" t="n"/>
      <c r="J25" s="4">
        <f>IF(A25="","",G25-H25)</f>
        <v/>
      </c>
      <c r="K25" s="4">
        <f>IF(A25="","",H25-I25)</f>
        <v/>
      </c>
      <c r="L25" s="5">
        <f>IF(A25="","",IFERROR((H25-I25)/H25,0))</f>
        <v/>
      </c>
      <c r="M25" s="6">
        <f>IF(A25="","",IF(H25&lt;=I25,"Drop",IF(AND(J25&gt;0,IFERROR((H25-I25)/H25,0)&gt;=0.65),"Profit product",IF(IFERROR((H25-I25)/H25,0)&gt;=0.5,"Traffic product","Thin - rework"))))</f>
        <v/>
      </c>
    </row>
    <row r="26">
      <c r="G26" s="3" t="n"/>
      <c r="H26" s="3" t="n"/>
      <c r="I26" s="3" t="n"/>
      <c r="J26" s="4">
        <f>IF(A26="","",G26-H26)</f>
        <v/>
      </c>
      <c r="K26" s="4">
        <f>IF(A26="","",H26-I26)</f>
        <v/>
      </c>
      <c r="L26" s="5">
        <f>IF(A26="","",IFERROR((H26-I26)/H26,0))</f>
        <v/>
      </c>
      <c r="M26" s="6">
        <f>IF(A26="","",IF(H26&lt;=I26,"Drop",IF(AND(J26&gt;0,IFERROR((H26-I26)/H26,0)&gt;=0.65),"Profit product",IF(IFERROR((H26-I26)/H26,0)&gt;=0.5,"Traffic product","Thin - rework"))))</f>
        <v/>
      </c>
    </row>
    <row r="27">
      <c r="G27" s="3" t="n"/>
      <c r="H27" s="3" t="n"/>
      <c r="I27" s="3" t="n"/>
      <c r="J27" s="4">
        <f>IF(A27="","",G27-H27)</f>
        <v/>
      </c>
      <c r="K27" s="4">
        <f>IF(A27="","",H27-I27)</f>
        <v/>
      </c>
      <c r="L27" s="5">
        <f>IF(A27="","",IFERROR((H27-I27)/H27,0))</f>
        <v/>
      </c>
      <c r="M27" s="6">
        <f>IF(A27="","",IF(H27&lt;=I27,"Drop",IF(AND(J27&gt;0,IFERROR((H27-I27)/H27,0)&gt;=0.65),"Profit product",IF(IFERROR((H27-I27)/H27,0)&gt;=0.5,"Traffic product","Thin - rework"))))</f>
        <v/>
      </c>
    </row>
    <row r="28">
      <c r="G28" s="3" t="n"/>
      <c r="H28" s="3" t="n"/>
      <c r="I28" s="3" t="n"/>
      <c r="J28" s="4">
        <f>IF(A28="","",G28-H28)</f>
        <v/>
      </c>
      <c r="K28" s="4">
        <f>IF(A28="","",H28-I28)</f>
        <v/>
      </c>
      <c r="L28" s="5">
        <f>IF(A28="","",IFERROR((H28-I28)/H28,0))</f>
        <v/>
      </c>
      <c r="M28" s="6">
        <f>IF(A28="","",IF(H28&lt;=I28,"Drop",IF(AND(J28&gt;0,IFERROR((H28-I28)/H28,0)&gt;=0.65),"Profit product",IF(IFERROR((H28-I28)/H28,0)&gt;=0.5,"Traffic product","Thin - rework"))))</f>
        <v/>
      </c>
    </row>
    <row r="29">
      <c r="G29" s="3" t="n"/>
      <c r="H29" s="3" t="n"/>
      <c r="I29" s="3" t="n"/>
      <c r="J29" s="4">
        <f>IF(A29="","",G29-H29)</f>
        <v/>
      </c>
      <c r="K29" s="4">
        <f>IF(A29="","",H29-I29)</f>
        <v/>
      </c>
      <c r="L29" s="5">
        <f>IF(A29="","",IFERROR((H29-I29)/H29,0))</f>
        <v/>
      </c>
      <c r="M29" s="6">
        <f>IF(A29="","",IF(H29&lt;=I29,"Drop",IF(AND(J29&gt;0,IFERROR((H29-I29)/H29,0)&gt;=0.65),"Profit product",IF(IFERROR((H29-I29)/H29,0)&gt;=0.5,"Traffic product","Thin - rework"))))</f>
        <v/>
      </c>
    </row>
    <row r="30">
      <c r="G30" s="3" t="n"/>
      <c r="H30" s="3" t="n"/>
      <c r="I30" s="3" t="n"/>
      <c r="J30" s="4">
        <f>IF(A30="","",G30-H30)</f>
        <v/>
      </c>
      <c r="K30" s="4">
        <f>IF(A30="","",H30-I30)</f>
        <v/>
      </c>
      <c r="L30" s="5">
        <f>IF(A30="","",IFERROR((H30-I30)/H30,0))</f>
        <v/>
      </c>
      <c r="M30" s="6">
        <f>IF(A30="","",IF(H30&lt;=I30,"Drop",IF(AND(J30&gt;0,IFERROR((H30-I30)/H30,0)&gt;=0.65),"Profit product",IF(IFERROR((H30-I30)/H30,0)&gt;=0.5,"Traffic product","Thin - rework"))))</f>
        <v/>
      </c>
    </row>
    <row r="31">
      <c r="G31" s="3" t="n"/>
      <c r="H31" s="3" t="n"/>
      <c r="I31" s="3" t="n"/>
      <c r="J31" s="4">
        <f>IF(A31="","",G31-H31)</f>
        <v/>
      </c>
      <c r="K31" s="4">
        <f>IF(A31="","",H31-I31)</f>
        <v/>
      </c>
      <c r="L31" s="5">
        <f>IF(A31="","",IFERROR((H31-I31)/H31,0))</f>
        <v/>
      </c>
      <c r="M31" s="6">
        <f>IF(A31="","",IF(H31&lt;=I31,"Drop",IF(AND(J31&gt;0,IFERROR((H31-I31)/H31,0)&gt;=0.65),"Profit product",IF(IFERROR((H31-I31)/H31,0)&gt;=0.5,"Traffic product","Thin - rework"))))</f>
        <v/>
      </c>
    </row>
    <row r="32">
      <c r="G32" s="3" t="n"/>
      <c r="H32" s="3" t="n"/>
      <c r="I32" s="3" t="n"/>
      <c r="J32" s="4">
        <f>IF(A32="","",G32-H32)</f>
        <v/>
      </c>
      <c r="K32" s="4">
        <f>IF(A32="","",H32-I32)</f>
        <v/>
      </c>
      <c r="L32" s="5">
        <f>IF(A32="","",IFERROR((H32-I32)/H32,0))</f>
        <v/>
      </c>
      <c r="M32" s="6">
        <f>IF(A32="","",IF(H32&lt;=I32,"Drop",IF(AND(J32&gt;0,IFERROR((H32-I32)/H32,0)&gt;=0.65),"Profit product",IF(IFERROR((H32-I32)/H32,0)&gt;=0.5,"Traffic product","Thin - rework"))))</f>
        <v/>
      </c>
    </row>
    <row r="33">
      <c r="G33" s="3" t="n"/>
      <c r="H33" s="3" t="n"/>
      <c r="I33" s="3" t="n"/>
      <c r="J33" s="4">
        <f>IF(A33="","",G33-H33)</f>
        <v/>
      </c>
      <c r="K33" s="4">
        <f>IF(A33="","",H33-I33)</f>
        <v/>
      </c>
      <c r="L33" s="5">
        <f>IF(A33="","",IFERROR((H33-I33)/H33,0))</f>
        <v/>
      </c>
      <c r="M33" s="6">
        <f>IF(A33="","",IF(H33&lt;=I33,"Drop",IF(AND(J33&gt;0,IFERROR((H33-I33)/H33,0)&gt;=0.65),"Profit product",IF(IFERROR((H33-I33)/H33,0)&gt;=0.5,"Traffic product","Thin - rework"))))</f>
        <v/>
      </c>
    </row>
    <row r="34">
      <c r="G34" s="3" t="n"/>
      <c r="H34" s="3" t="n"/>
      <c r="I34" s="3" t="n"/>
      <c r="J34" s="4">
        <f>IF(A34="","",G34-H34)</f>
        <v/>
      </c>
      <c r="K34" s="4">
        <f>IF(A34="","",H34-I34)</f>
        <v/>
      </c>
      <c r="L34" s="5">
        <f>IF(A34="","",IFERROR((H34-I34)/H34,0))</f>
        <v/>
      </c>
      <c r="M34" s="6">
        <f>IF(A34="","",IF(H34&lt;=I34,"Drop",IF(AND(J34&gt;0,IFERROR((H34-I34)/H34,0)&gt;=0.65),"Profit product",IF(IFERROR((H34-I34)/H34,0)&gt;=0.5,"Traffic product","Thin - rework"))))</f>
        <v/>
      </c>
    </row>
    <row r="35">
      <c r="G35" s="3" t="n"/>
      <c r="H35" s="3" t="n"/>
      <c r="I35" s="3" t="n"/>
      <c r="J35" s="4">
        <f>IF(A35="","",G35-H35)</f>
        <v/>
      </c>
      <c r="K35" s="4">
        <f>IF(A35="","",H35-I35)</f>
        <v/>
      </c>
      <c r="L35" s="5">
        <f>IF(A35="","",IFERROR((H35-I35)/H35,0))</f>
        <v/>
      </c>
      <c r="M35" s="6">
        <f>IF(A35="","",IF(H35&lt;=I35,"Drop",IF(AND(J35&gt;0,IFERROR((H35-I35)/H35,0)&gt;=0.65),"Profit product",IF(IFERROR((H35-I35)/H35,0)&gt;=0.5,"Traffic product","Thin - rework"))))</f>
        <v/>
      </c>
    </row>
    <row r="36">
      <c r="G36" s="3" t="n"/>
      <c r="H36" s="3" t="n"/>
      <c r="I36" s="3" t="n"/>
      <c r="J36" s="4">
        <f>IF(A36="","",G36-H36)</f>
        <v/>
      </c>
      <c r="K36" s="4">
        <f>IF(A36="","",H36-I36)</f>
        <v/>
      </c>
      <c r="L36" s="5">
        <f>IF(A36="","",IFERROR((H36-I36)/H36,0))</f>
        <v/>
      </c>
      <c r="M36" s="6">
        <f>IF(A36="","",IF(H36&lt;=I36,"Drop",IF(AND(J36&gt;0,IFERROR((H36-I36)/H36,0)&gt;=0.65),"Profit product",IF(IFERROR((H36-I36)/H36,0)&gt;=0.5,"Traffic product","Thin - rework"))))</f>
        <v/>
      </c>
    </row>
    <row r="37">
      <c r="G37" s="3" t="n"/>
      <c r="H37" s="3" t="n"/>
      <c r="I37" s="3" t="n"/>
      <c r="J37" s="4">
        <f>IF(A37="","",G37-H37)</f>
        <v/>
      </c>
      <c r="K37" s="4">
        <f>IF(A37="","",H37-I37)</f>
        <v/>
      </c>
      <c r="L37" s="5">
        <f>IF(A37="","",IFERROR((H37-I37)/H37,0))</f>
        <v/>
      </c>
      <c r="M37" s="6">
        <f>IF(A37="","",IF(H37&lt;=I37,"Drop",IF(AND(J37&gt;0,IFERROR((H37-I37)/H37,0)&gt;=0.65),"Profit product",IF(IFERROR((H37-I37)/H37,0)&gt;=0.5,"Traffic product","Thin - rework"))))</f>
        <v/>
      </c>
    </row>
    <row r="38">
      <c r="G38" s="3" t="n"/>
      <c r="H38" s="3" t="n"/>
      <c r="I38" s="3" t="n"/>
      <c r="J38" s="4">
        <f>IF(A38="","",G38-H38)</f>
        <v/>
      </c>
      <c r="K38" s="4">
        <f>IF(A38="","",H38-I38)</f>
        <v/>
      </c>
      <c r="L38" s="5">
        <f>IF(A38="","",IFERROR((H38-I38)/H38,0))</f>
        <v/>
      </c>
      <c r="M38" s="6">
        <f>IF(A38="","",IF(H38&lt;=I38,"Drop",IF(AND(J38&gt;0,IFERROR((H38-I38)/H38,0)&gt;=0.65),"Profit product",IF(IFERROR((H38-I38)/H38,0)&gt;=0.5,"Traffic product","Thin - rework"))))</f>
        <v/>
      </c>
    </row>
    <row r="39">
      <c r="G39" s="3" t="n"/>
      <c r="H39" s="3" t="n"/>
      <c r="I39" s="3" t="n"/>
      <c r="J39" s="4">
        <f>IF(A39="","",G39-H39)</f>
        <v/>
      </c>
      <c r="K39" s="4">
        <f>IF(A39="","",H39-I39)</f>
        <v/>
      </c>
      <c r="L39" s="5">
        <f>IF(A39="","",IFERROR((H39-I39)/H39,0))</f>
        <v/>
      </c>
      <c r="M39" s="6">
        <f>IF(A39="","",IF(H39&lt;=I39,"Drop",IF(AND(J39&gt;0,IFERROR((H39-I39)/H39,0)&gt;=0.65),"Profit product",IF(IFERROR((H39-I39)/H39,0)&gt;=0.5,"Traffic product","Thin - rework"))))</f>
        <v/>
      </c>
    </row>
    <row r="40">
      <c r="G40" s="3" t="n"/>
      <c r="H40" s="3" t="n"/>
      <c r="I40" s="3" t="n"/>
      <c r="J40" s="4">
        <f>IF(A40="","",G40-H40)</f>
        <v/>
      </c>
      <c r="K40" s="4">
        <f>IF(A40="","",H40-I40)</f>
        <v/>
      </c>
      <c r="L40" s="5">
        <f>IF(A40="","",IFERROR((H40-I40)/H40,0))</f>
        <v/>
      </c>
      <c r="M40" s="6">
        <f>IF(A40="","",IF(H40&lt;=I40,"Drop",IF(AND(J40&gt;0,IFERROR((H40-I40)/H40,0)&gt;=0.65),"Profit product",IF(IFERROR((H40-I40)/H40,0)&gt;=0.5,"Traffic product","Thin - rework"))))</f>
        <v/>
      </c>
    </row>
    <row r="41">
      <c r="G41" s="3" t="n"/>
      <c r="H41" s="3" t="n"/>
      <c r="I41" s="3" t="n"/>
      <c r="J41" s="4">
        <f>IF(A41="","",G41-H41)</f>
        <v/>
      </c>
      <c r="K41" s="4">
        <f>IF(A41="","",H41-I41)</f>
        <v/>
      </c>
      <c r="L41" s="5">
        <f>IF(A41="","",IFERROR((H41-I41)/H41,0))</f>
        <v/>
      </c>
      <c r="M41" s="6">
        <f>IF(A41="","",IF(H41&lt;=I41,"Drop",IF(AND(J41&gt;0,IFERROR((H41-I41)/H41,0)&gt;=0.65),"Profit product",IF(IFERROR((H41-I41)/H41,0)&gt;=0.5,"Traffic product","Thin - rework"))))</f>
        <v/>
      </c>
    </row>
    <row r="42">
      <c r="G42" s="3" t="n"/>
      <c r="H42" s="3" t="n"/>
      <c r="I42" s="3" t="n"/>
      <c r="J42" s="4">
        <f>IF(A42="","",G42-H42)</f>
        <v/>
      </c>
      <c r="K42" s="4">
        <f>IF(A42="","",H42-I42)</f>
        <v/>
      </c>
      <c r="L42" s="5">
        <f>IF(A42="","",IFERROR((H42-I42)/H42,0))</f>
        <v/>
      </c>
      <c r="M42" s="6">
        <f>IF(A42="","",IF(H42&lt;=I42,"Drop",IF(AND(J42&gt;0,IFERROR((H42-I42)/H42,0)&gt;=0.65),"Profit product",IF(IFERROR((H42-I42)/H42,0)&gt;=0.5,"Traffic product","Thin - rework"))))</f>
        <v/>
      </c>
    </row>
    <row r="43">
      <c r="G43" s="3" t="n"/>
      <c r="H43" s="3" t="n"/>
      <c r="I43" s="3" t="n"/>
      <c r="J43" s="4">
        <f>IF(A43="","",G43-H43)</f>
        <v/>
      </c>
      <c r="K43" s="4">
        <f>IF(A43="","",H43-I43)</f>
        <v/>
      </c>
      <c r="L43" s="5">
        <f>IF(A43="","",IFERROR((H43-I43)/H43,0))</f>
        <v/>
      </c>
      <c r="M43" s="6">
        <f>IF(A43="","",IF(H43&lt;=I43,"Drop",IF(AND(J43&gt;0,IFERROR((H43-I43)/H43,0)&gt;=0.65),"Profit product",IF(IFERROR((H43-I43)/H43,0)&gt;=0.5,"Traffic product","Thin - rework"))))</f>
        <v/>
      </c>
    </row>
    <row r="44">
      <c r="G44" s="3" t="n"/>
      <c r="H44" s="3" t="n"/>
      <c r="I44" s="3" t="n"/>
      <c r="J44" s="4">
        <f>IF(A44="","",G44-H44)</f>
        <v/>
      </c>
      <c r="K44" s="4">
        <f>IF(A44="","",H44-I44)</f>
        <v/>
      </c>
      <c r="L44" s="5">
        <f>IF(A44="","",IFERROR((H44-I44)/H44,0))</f>
        <v/>
      </c>
      <c r="M44" s="6">
        <f>IF(A44="","",IF(H44&lt;=I44,"Drop",IF(AND(J44&gt;0,IFERROR((H44-I44)/H44,0)&gt;=0.65),"Profit product",IF(IFERROR((H44-I44)/H44,0)&gt;=0.5,"Traffic product","Thin - rework"))))</f>
        <v/>
      </c>
    </row>
    <row r="45">
      <c r="G45" s="3" t="n"/>
      <c r="H45" s="3" t="n"/>
      <c r="I45" s="3" t="n"/>
      <c r="J45" s="4">
        <f>IF(A45="","",G45-H45)</f>
        <v/>
      </c>
      <c r="K45" s="4">
        <f>IF(A45="","",H45-I45)</f>
        <v/>
      </c>
      <c r="L45" s="5">
        <f>IF(A45="","",IFERROR((H45-I45)/H45,0))</f>
        <v/>
      </c>
      <c r="M45" s="6">
        <f>IF(A45="","",IF(H45&lt;=I45,"Drop",IF(AND(J45&gt;0,IFERROR((H45-I45)/H45,0)&gt;=0.65),"Profit product",IF(IFERROR((H45-I45)/H45,0)&gt;=0.5,"Traffic product","Thin - rework"))))</f>
        <v/>
      </c>
    </row>
    <row r="46">
      <c r="G46" s="3" t="n"/>
      <c r="H46" s="3" t="n"/>
      <c r="I46" s="3" t="n"/>
      <c r="J46" s="4">
        <f>IF(A46="","",G46-H46)</f>
        <v/>
      </c>
      <c r="K46" s="4">
        <f>IF(A46="","",H46-I46)</f>
        <v/>
      </c>
      <c r="L46" s="5">
        <f>IF(A46="","",IFERROR((H46-I46)/H46,0))</f>
        <v/>
      </c>
      <c r="M46" s="6">
        <f>IF(A46="","",IF(H46&lt;=I46,"Drop",IF(AND(J46&gt;0,IFERROR((H46-I46)/H46,0)&gt;=0.65),"Profit product",IF(IFERROR((H46-I46)/H46,0)&gt;=0.5,"Traffic product","Thin - rework"))))</f>
        <v/>
      </c>
    </row>
    <row r="47">
      <c r="G47" s="3" t="n"/>
      <c r="H47" s="3" t="n"/>
      <c r="I47" s="3" t="n"/>
      <c r="J47" s="4">
        <f>IF(A47="","",G47-H47)</f>
        <v/>
      </c>
      <c r="K47" s="4">
        <f>IF(A47="","",H47-I47)</f>
        <v/>
      </c>
      <c r="L47" s="5">
        <f>IF(A47="","",IFERROR((H47-I47)/H47,0))</f>
        <v/>
      </c>
      <c r="M47" s="6">
        <f>IF(A47="","",IF(H47&lt;=I47,"Drop",IF(AND(J47&gt;0,IFERROR((H47-I47)/H47,0)&gt;=0.65),"Profit product",IF(IFERROR((H47-I47)/H47,0)&gt;=0.5,"Traffic product","Thin - rework"))))</f>
        <v/>
      </c>
    </row>
    <row r="48">
      <c r="G48" s="3" t="n"/>
      <c r="H48" s="3" t="n"/>
      <c r="I48" s="3" t="n"/>
      <c r="J48" s="4">
        <f>IF(A48="","",G48-H48)</f>
        <v/>
      </c>
      <c r="K48" s="4">
        <f>IF(A48="","",H48-I48)</f>
        <v/>
      </c>
      <c r="L48" s="5">
        <f>IF(A48="","",IFERROR((H48-I48)/H48,0))</f>
        <v/>
      </c>
      <c r="M48" s="6">
        <f>IF(A48="","",IF(H48&lt;=I48,"Drop",IF(AND(J48&gt;0,IFERROR((H48-I48)/H48,0)&gt;=0.65),"Profit product",IF(IFERROR((H48-I48)/H48,0)&gt;=0.5,"Traffic product","Thin - rework"))))</f>
        <v/>
      </c>
    </row>
    <row r="49">
      <c r="G49" s="3" t="n"/>
      <c r="H49" s="3" t="n"/>
      <c r="I49" s="3" t="n"/>
      <c r="J49" s="4">
        <f>IF(A49="","",G49-H49)</f>
        <v/>
      </c>
      <c r="K49" s="4">
        <f>IF(A49="","",H49-I49)</f>
        <v/>
      </c>
      <c r="L49" s="5">
        <f>IF(A49="","",IFERROR((H49-I49)/H49,0))</f>
        <v/>
      </c>
      <c r="M49" s="6">
        <f>IF(A49="","",IF(H49&lt;=I49,"Drop",IF(AND(J49&gt;0,IFERROR((H49-I49)/H49,0)&gt;=0.65),"Profit product",IF(IFERROR((H49-I49)/H49,0)&gt;=0.5,"Traffic product","Thin - rework"))))</f>
        <v/>
      </c>
    </row>
    <row r="50">
      <c r="G50" s="3" t="n"/>
      <c r="H50" s="3" t="n"/>
      <c r="I50" s="3" t="n"/>
      <c r="J50" s="4">
        <f>IF(A50="","",G50-H50)</f>
        <v/>
      </c>
      <c r="K50" s="4">
        <f>IF(A50="","",H50-I50)</f>
        <v/>
      </c>
      <c r="L50" s="5">
        <f>IF(A50="","",IFERROR((H50-I50)/H50,0))</f>
        <v/>
      </c>
      <c r="M50" s="6">
        <f>IF(A50="","",IF(H50&lt;=I50,"Drop",IF(AND(J50&gt;0,IFERROR((H50-I50)/H50,0)&gt;=0.65),"Profit product",IF(IFERROR((H50-I50)/H50,0)&gt;=0.5,"Traffic product","Thin - rework"))))</f>
        <v/>
      </c>
    </row>
    <row r="51">
      <c r="G51" s="3" t="n"/>
      <c r="H51" s="3" t="n"/>
      <c r="I51" s="3" t="n"/>
      <c r="J51" s="4">
        <f>IF(A51="","",G51-H51)</f>
        <v/>
      </c>
      <c r="K51" s="4">
        <f>IF(A51="","",H51-I51)</f>
        <v/>
      </c>
      <c r="L51" s="5">
        <f>IF(A51="","",IFERROR((H51-I51)/H51,0))</f>
        <v/>
      </c>
      <c r="M51" s="6">
        <f>IF(A51="","",IF(H51&lt;=I51,"Drop",IF(AND(J51&gt;0,IFERROR((H51-I51)/H51,0)&gt;=0.65),"Profit product",IF(IFERROR((H51-I51)/H51,0)&gt;=0.5,"Traffic product","Thin - rework"))))</f>
        <v/>
      </c>
    </row>
    <row r="52">
      <c r="G52" s="3" t="n"/>
      <c r="H52" s="3" t="n"/>
      <c r="I52" s="3" t="n"/>
      <c r="J52" s="4">
        <f>IF(A52="","",G52-H52)</f>
        <v/>
      </c>
      <c r="K52" s="4">
        <f>IF(A52="","",H52-I52)</f>
        <v/>
      </c>
      <c r="L52" s="5">
        <f>IF(A52="","",IFERROR((H52-I52)/H52,0))</f>
        <v/>
      </c>
      <c r="M52" s="6">
        <f>IF(A52="","",IF(H52&lt;=I52,"Drop",IF(AND(J52&gt;0,IFERROR((H52-I52)/H52,0)&gt;=0.65),"Profit product",IF(IFERROR((H52-I52)/H52,0)&gt;=0.5,"Traffic product","Thin - rework"))))</f>
        <v/>
      </c>
    </row>
    <row r="53">
      <c r="G53" s="3" t="n"/>
      <c r="H53" s="3" t="n"/>
      <c r="I53" s="3" t="n"/>
      <c r="J53" s="4">
        <f>IF(A53="","",G53-H53)</f>
        <v/>
      </c>
      <c r="K53" s="4">
        <f>IF(A53="","",H53-I53)</f>
        <v/>
      </c>
      <c r="L53" s="5">
        <f>IF(A53="","",IFERROR((H53-I53)/H53,0))</f>
        <v/>
      </c>
      <c r="M53" s="6">
        <f>IF(A53="","",IF(H53&lt;=I53,"Drop",IF(AND(J53&gt;0,IFERROR((H53-I53)/H53,0)&gt;=0.65),"Profit product",IF(IFERROR((H53-I53)/H53,0)&gt;=0.5,"Traffic product","Thin - rework"))))</f>
        <v/>
      </c>
    </row>
    <row r="54">
      <c r="G54" s="3" t="n"/>
      <c r="H54" s="3" t="n"/>
      <c r="I54" s="3" t="n"/>
      <c r="J54" s="4">
        <f>IF(A54="","",G54-H54)</f>
        <v/>
      </c>
      <c r="K54" s="4">
        <f>IF(A54="","",H54-I54)</f>
        <v/>
      </c>
      <c r="L54" s="5">
        <f>IF(A54="","",IFERROR((H54-I54)/H54,0))</f>
        <v/>
      </c>
      <c r="M54" s="6">
        <f>IF(A54="","",IF(H54&lt;=I54,"Drop",IF(AND(J54&gt;0,IFERROR((H54-I54)/H54,0)&gt;=0.65),"Profit product",IF(IFERROR((H54-I54)/H54,0)&gt;=0.5,"Traffic product","Thin - rework"))))</f>
        <v/>
      </c>
    </row>
    <row r="55">
      <c r="G55" s="3" t="n"/>
      <c r="H55" s="3" t="n"/>
      <c r="I55" s="3" t="n"/>
      <c r="J55" s="4">
        <f>IF(A55="","",G55-H55)</f>
        <v/>
      </c>
      <c r="K55" s="4">
        <f>IF(A55="","",H55-I55)</f>
        <v/>
      </c>
      <c r="L55" s="5">
        <f>IF(A55="","",IFERROR((H55-I55)/H55,0))</f>
        <v/>
      </c>
      <c r="M55" s="6">
        <f>IF(A55="","",IF(H55&lt;=I55,"Drop",IF(AND(J55&gt;0,IFERROR((H55-I55)/H55,0)&gt;=0.65),"Profit product",IF(IFERROR((H55-I55)/H55,0)&gt;=0.5,"Traffic product","Thin - rework"))))</f>
        <v/>
      </c>
    </row>
    <row r="56">
      <c r="G56" s="3" t="n"/>
      <c r="H56" s="3" t="n"/>
      <c r="I56" s="3" t="n"/>
      <c r="J56" s="4">
        <f>IF(A56="","",G56-H56)</f>
        <v/>
      </c>
      <c r="K56" s="4">
        <f>IF(A56="","",H56-I56)</f>
        <v/>
      </c>
      <c r="L56" s="5">
        <f>IF(A56="","",IFERROR((H56-I56)/H56,0))</f>
        <v/>
      </c>
      <c r="M56" s="6">
        <f>IF(A56="","",IF(H56&lt;=I56,"Drop",IF(AND(J56&gt;0,IFERROR((H56-I56)/H56,0)&gt;=0.65),"Profit product",IF(IFERROR((H56-I56)/H56,0)&gt;=0.5,"Traffic product","Thin - rework"))))</f>
        <v/>
      </c>
    </row>
    <row r="57">
      <c r="G57" s="3" t="n"/>
      <c r="H57" s="3" t="n"/>
      <c r="I57" s="3" t="n"/>
      <c r="J57" s="4">
        <f>IF(A57="","",G57-H57)</f>
        <v/>
      </c>
      <c r="K57" s="4">
        <f>IF(A57="","",H57-I57)</f>
        <v/>
      </c>
      <c r="L57" s="5">
        <f>IF(A57="","",IFERROR((H57-I57)/H57,0))</f>
        <v/>
      </c>
      <c r="M57" s="6">
        <f>IF(A57="","",IF(H57&lt;=I57,"Drop",IF(AND(J57&gt;0,IFERROR((H57-I57)/H57,0)&gt;=0.65),"Profit product",IF(IFERROR((H57-I57)/H57,0)&gt;=0.5,"Traffic product","Thin - rework"))))</f>
        <v/>
      </c>
    </row>
    <row r="58">
      <c r="G58" s="3" t="n"/>
      <c r="H58" s="3" t="n"/>
      <c r="I58" s="3" t="n"/>
      <c r="J58" s="4">
        <f>IF(A58="","",G58-H58)</f>
        <v/>
      </c>
      <c r="K58" s="4">
        <f>IF(A58="","",H58-I58)</f>
        <v/>
      </c>
      <c r="L58" s="5">
        <f>IF(A58="","",IFERROR((H58-I58)/H58,0))</f>
        <v/>
      </c>
      <c r="M58" s="6">
        <f>IF(A58="","",IF(H58&lt;=I58,"Drop",IF(AND(J58&gt;0,IFERROR((H58-I58)/H58,0)&gt;=0.65),"Profit product",IF(IFERROR((H58-I58)/H58,0)&gt;=0.5,"Traffic product","Thin - rework"))))</f>
        <v/>
      </c>
    </row>
    <row r="59">
      <c r="G59" s="3" t="n"/>
      <c r="H59" s="3" t="n"/>
      <c r="I59" s="3" t="n"/>
      <c r="J59" s="4">
        <f>IF(A59="","",G59-H59)</f>
        <v/>
      </c>
      <c r="K59" s="4">
        <f>IF(A59="","",H59-I59)</f>
        <v/>
      </c>
      <c r="L59" s="5">
        <f>IF(A59="","",IFERROR((H59-I59)/H59,0))</f>
        <v/>
      </c>
      <c r="M59" s="6">
        <f>IF(A59="","",IF(H59&lt;=I59,"Drop",IF(AND(J59&gt;0,IFERROR((H59-I59)/H59,0)&gt;=0.65),"Profit product",IF(IFERROR((H59-I59)/H59,0)&gt;=0.5,"Traffic product","Thin - rework"))))</f>
        <v/>
      </c>
    </row>
    <row r="60">
      <c r="G60" s="3" t="n"/>
      <c r="H60" s="3" t="n"/>
      <c r="I60" s="3" t="n"/>
      <c r="J60" s="4">
        <f>IF(A60="","",G60-H60)</f>
        <v/>
      </c>
      <c r="K60" s="4">
        <f>IF(A60="","",H60-I60)</f>
        <v/>
      </c>
      <c r="L60" s="5">
        <f>IF(A60="","",IFERROR((H60-I60)/H60,0))</f>
        <v/>
      </c>
      <c r="M60" s="6">
        <f>IF(A60="","",IF(H60&lt;=I60,"Drop",IF(AND(J60&gt;0,IFERROR((H60-I60)/H60,0)&gt;=0.65),"Profit product",IF(IFERROR((H60-I60)/H60,0)&gt;=0.5,"Traffic product","Thin - rework"))))</f>
        <v/>
      </c>
    </row>
    <row r="61">
      <c r="G61" s="3" t="n"/>
      <c r="H61" s="3" t="n"/>
      <c r="I61" s="3" t="n"/>
      <c r="J61" s="4">
        <f>IF(A61="","",G61-H61)</f>
        <v/>
      </c>
      <c r="K61" s="4">
        <f>IF(A61="","",H61-I61)</f>
        <v/>
      </c>
      <c r="L61" s="5">
        <f>IF(A61="","",IFERROR((H61-I61)/H61,0))</f>
        <v/>
      </c>
      <c r="M61" s="6">
        <f>IF(A61="","",IF(H61&lt;=I61,"Drop",IF(AND(J61&gt;0,IFERROR((H61-I61)/H61,0)&gt;=0.65),"Profit product",IF(IFERROR((H61-I61)/H61,0)&gt;=0.5,"Traffic product","Thin - rework"))))</f>
        <v/>
      </c>
    </row>
    <row r="62">
      <c r="G62" s="3" t="n"/>
      <c r="H62" s="3" t="n"/>
      <c r="I62" s="3" t="n"/>
      <c r="J62" s="4">
        <f>IF(A62="","",G62-H62)</f>
        <v/>
      </c>
      <c r="K62" s="4">
        <f>IF(A62="","",H62-I62)</f>
        <v/>
      </c>
      <c r="L62" s="5">
        <f>IF(A62="","",IFERROR((H62-I62)/H62,0))</f>
        <v/>
      </c>
      <c r="M62" s="6">
        <f>IF(A62="","",IF(H62&lt;=I62,"Drop",IF(AND(J62&gt;0,IFERROR((H62-I62)/H62,0)&gt;=0.65),"Profit product",IF(IFERROR((H62-I62)/H62,0)&gt;=0.5,"Traffic product","Thin - rework"))))</f>
        <v/>
      </c>
    </row>
    <row r="63">
      <c r="G63" s="3" t="n"/>
      <c r="H63" s="3" t="n"/>
      <c r="I63" s="3" t="n"/>
      <c r="J63" s="4">
        <f>IF(A63="","",G63-H63)</f>
        <v/>
      </c>
      <c r="K63" s="4">
        <f>IF(A63="","",H63-I63)</f>
        <v/>
      </c>
      <c r="L63" s="5">
        <f>IF(A63="","",IFERROR((H63-I63)/H63,0))</f>
        <v/>
      </c>
      <c r="M63" s="6">
        <f>IF(A63="","",IF(H63&lt;=I63,"Drop",IF(AND(J63&gt;0,IFERROR((H63-I63)/H63,0)&gt;=0.65),"Profit product",IF(IFERROR((H63-I63)/H63,0)&gt;=0.5,"Traffic product","Thin - rework"))))</f>
        <v/>
      </c>
    </row>
    <row r="64">
      <c r="G64" s="3" t="n"/>
      <c r="H64" s="3" t="n"/>
      <c r="I64" s="3" t="n"/>
      <c r="J64" s="4">
        <f>IF(A64="","",G64-H64)</f>
        <v/>
      </c>
      <c r="K64" s="4">
        <f>IF(A64="","",H64-I64)</f>
        <v/>
      </c>
      <c r="L64" s="5">
        <f>IF(A64="","",IFERROR((H64-I64)/H64,0))</f>
        <v/>
      </c>
      <c r="M64" s="6">
        <f>IF(A64="","",IF(H64&lt;=I64,"Drop",IF(AND(J64&gt;0,IFERROR((H64-I64)/H64,0)&gt;=0.65),"Profit product",IF(IFERROR((H64-I64)/H64,0)&gt;=0.5,"Traffic product","Thin - rework"))))</f>
        <v/>
      </c>
    </row>
    <row r="65">
      <c r="G65" s="3" t="n"/>
      <c r="H65" s="3" t="n"/>
      <c r="I65" s="3" t="n"/>
      <c r="J65" s="4">
        <f>IF(A65="","",G65-H65)</f>
        <v/>
      </c>
      <c r="K65" s="4">
        <f>IF(A65="","",H65-I65)</f>
        <v/>
      </c>
      <c r="L65" s="5">
        <f>IF(A65="","",IFERROR((H65-I65)/H65,0))</f>
        <v/>
      </c>
      <c r="M65" s="6">
        <f>IF(A65="","",IF(H65&lt;=I65,"Drop",IF(AND(J65&gt;0,IFERROR((H65-I65)/H65,0)&gt;=0.65),"Profit product",IF(IFERROR((H65-I65)/H65,0)&gt;=0.5,"Traffic product","Thin - rework"))))</f>
        <v/>
      </c>
    </row>
    <row r="66">
      <c r="G66" s="3" t="n"/>
      <c r="H66" s="3" t="n"/>
      <c r="I66" s="3" t="n"/>
      <c r="J66" s="4">
        <f>IF(A66="","",G66-H66)</f>
        <v/>
      </c>
      <c r="K66" s="4">
        <f>IF(A66="","",H66-I66)</f>
        <v/>
      </c>
      <c r="L66" s="5">
        <f>IF(A66="","",IFERROR((H66-I66)/H66,0))</f>
        <v/>
      </c>
      <c r="M66" s="6">
        <f>IF(A66="","",IF(H66&lt;=I66,"Drop",IF(AND(J66&gt;0,IFERROR((H66-I66)/H66,0)&gt;=0.65),"Profit product",IF(IFERROR((H66-I66)/H66,0)&gt;=0.5,"Traffic product","Thin - rework"))))</f>
        <v/>
      </c>
    </row>
    <row r="67">
      <c r="G67" s="3" t="n"/>
      <c r="H67" s="3" t="n"/>
      <c r="I67" s="3" t="n"/>
      <c r="J67" s="4">
        <f>IF(A67="","",G67-H67)</f>
        <v/>
      </c>
      <c r="K67" s="4">
        <f>IF(A67="","",H67-I67)</f>
        <v/>
      </c>
      <c r="L67" s="5">
        <f>IF(A67="","",IFERROR((H67-I67)/H67,0))</f>
        <v/>
      </c>
      <c r="M67" s="6">
        <f>IF(A67="","",IF(H67&lt;=I67,"Drop",IF(AND(J67&gt;0,IFERROR((H67-I67)/H67,0)&gt;=0.65),"Profit product",IF(IFERROR((H67-I67)/H67,0)&gt;=0.5,"Traffic product","Thin - rework"))))</f>
        <v/>
      </c>
    </row>
    <row r="68">
      <c r="G68" s="3" t="n"/>
      <c r="H68" s="3" t="n"/>
      <c r="I68" s="3" t="n"/>
      <c r="J68" s="4">
        <f>IF(A68="","",G68-H68)</f>
        <v/>
      </c>
      <c r="K68" s="4">
        <f>IF(A68="","",H68-I68)</f>
        <v/>
      </c>
      <c r="L68" s="5">
        <f>IF(A68="","",IFERROR((H68-I68)/H68,0))</f>
        <v/>
      </c>
      <c r="M68" s="6">
        <f>IF(A68="","",IF(H68&lt;=I68,"Drop",IF(AND(J68&gt;0,IFERROR((H68-I68)/H68,0)&gt;=0.65),"Profit product",IF(IFERROR((H68-I68)/H68,0)&gt;=0.5,"Traffic product","Thin - rework"))))</f>
        <v/>
      </c>
    </row>
    <row r="69">
      <c r="G69" s="3" t="n"/>
      <c r="H69" s="3" t="n"/>
      <c r="I69" s="3" t="n"/>
      <c r="J69" s="4">
        <f>IF(A69="","",G69-H69)</f>
        <v/>
      </c>
      <c r="K69" s="4">
        <f>IF(A69="","",H69-I69)</f>
        <v/>
      </c>
      <c r="L69" s="5">
        <f>IF(A69="","",IFERROR((H69-I69)/H69,0))</f>
        <v/>
      </c>
      <c r="M69" s="6">
        <f>IF(A69="","",IF(H69&lt;=I69,"Drop",IF(AND(J69&gt;0,IFERROR((H69-I69)/H69,0)&gt;=0.65),"Profit product",IF(IFERROR((H69-I69)/H69,0)&gt;=0.5,"Traffic product","Thin - rework"))))</f>
        <v/>
      </c>
    </row>
    <row r="70">
      <c r="G70" s="3" t="n"/>
      <c r="H70" s="3" t="n"/>
      <c r="I70" s="3" t="n"/>
      <c r="J70" s="4">
        <f>IF(A70="","",G70-H70)</f>
        <v/>
      </c>
      <c r="K70" s="4">
        <f>IF(A70="","",H70-I70)</f>
        <v/>
      </c>
      <c r="L70" s="5">
        <f>IF(A70="","",IFERROR((H70-I70)/H70,0))</f>
        <v/>
      </c>
      <c r="M70" s="6">
        <f>IF(A70="","",IF(H70&lt;=I70,"Drop",IF(AND(J70&gt;0,IFERROR((H70-I70)/H70,0)&gt;=0.65),"Profit product",IF(IFERROR((H70-I70)/H70,0)&gt;=0.5,"Traffic product","Thin - rework"))))</f>
        <v/>
      </c>
    </row>
    <row r="71">
      <c r="G71" s="3" t="n"/>
      <c r="H71" s="3" t="n"/>
      <c r="I71" s="3" t="n"/>
      <c r="J71" s="4">
        <f>IF(A71="","",G71-H71)</f>
        <v/>
      </c>
      <c r="K71" s="4">
        <f>IF(A71="","",H71-I71)</f>
        <v/>
      </c>
      <c r="L71" s="5">
        <f>IF(A71="","",IFERROR((H71-I71)/H71,0))</f>
        <v/>
      </c>
      <c r="M71" s="6">
        <f>IF(A71="","",IF(H71&lt;=I71,"Drop",IF(AND(J71&gt;0,IFERROR((H71-I71)/H71,0)&gt;=0.65),"Profit product",IF(IFERROR((H71-I71)/H71,0)&gt;=0.5,"Traffic product","Thin - rework"))))</f>
        <v/>
      </c>
    </row>
    <row r="72">
      <c r="G72" s="3" t="n"/>
      <c r="H72" s="3" t="n"/>
      <c r="I72" s="3" t="n"/>
      <c r="J72" s="4">
        <f>IF(A72="","",G72-H72)</f>
        <v/>
      </c>
      <c r="K72" s="4">
        <f>IF(A72="","",H72-I72)</f>
        <v/>
      </c>
      <c r="L72" s="5">
        <f>IF(A72="","",IFERROR((H72-I72)/H72,0))</f>
        <v/>
      </c>
      <c r="M72" s="6">
        <f>IF(A72="","",IF(H72&lt;=I72,"Drop",IF(AND(J72&gt;0,IFERROR((H72-I72)/H72,0)&gt;=0.65),"Profit product",IF(IFERROR((H72-I72)/H72,0)&gt;=0.5,"Traffic product","Thin - rework"))))</f>
        <v/>
      </c>
    </row>
    <row r="73">
      <c r="G73" s="3" t="n"/>
      <c r="H73" s="3" t="n"/>
      <c r="I73" s="3" t="n"/>
      <c r="J73" s="4">
        <f>IF(A73="","",G73-H73)</f>
        <v/>
      </c>
      <c r="K73" s="4">
        <f>IF(A73="","",H73-I73)</f>
        <v/>
      </c>
      <c r="L73" s="5">
        <f>IF(A73="","",IFERROR((H73-I73)/H73,0))</f>
        <v/>
      </c>
      <c r="M73" s="6">
        <f>IF(A73="","",IF(H73&lt;=I73,"Drop",IF(AND(J73&gt;0,IFERROR((H73-I73)/H73,0)&gt;=0.65),"Profit product",IF(IFERROR((H73-I73)/H73,0)&gt;=0.5,"Traffic product","Thin - rework"))))</f>
        <v/>
      </c>
    </row>
    <row r="74">
      <c r="G74" s="3" t="n"/>
      <c r="H74" s="3" t="n"/>
      <c r="I74" s="3" t="n"/>
      <c r="J74" s="4">
        <f>IF(A74="","",G74-H74)</f>
        <v/>
      </c>
      <c r="K74" s="4">
        <f>IF(A74="","",H74-I74)</f>
        <v/>
      </c>
      <c r="L74" s="5">
        <f>IF(A74="","",IFERROR((H74-I74)/H74,0))</f>
        <v/>
      </c>
      <c r="M74" s="6">
        <f>IF(A74="","",IF(H74&lt;=I74,"Drop",IF(AND(J74&gt;0,IFERROR((H74-I74)/H74,0)&gt;=0.65),"Profit product",IF(IFERROR((H74-I74)/H74,0)&gt;=0.5,"Traffic product","Thin - rework"))))</f>
        <v/>
      </c>
    </row>
    <row r="75">
      <c r="G75" s="3" t="n"/>
      <c r="H75" s="3" t="n"/>
      <c r="I75" s="3" t="n"/>
      <c r="J75" s="4">
        <f>IF(A75="","",G75-H75)</f>
        <v/>
      </c>
      <c r="K75" s="4">
        <f>IF(A75="","",H75-I75)</f>
        <v/>
      </c>
      <c r="L75" s="5">
        <f>IF(A75="","",IFERROR((H75-I75)/H75,0))</f>
        <v/>
      </c>
      <c r="M75" s="6">
        <f>IF(A75="","",IF(H75&lt;=I75,"Drop",IF(AND(J75&gt;0,IFERROR((H75-I75)/H75,0)&gt;=0.65),"Profit product",IF(IFERROR((H75-I75)/H75,0)&gt;=0.5,"Traffic product","Thin - rework"))))</f>
        <v/>
      </c>
    </row>
    <row r="76">
      <c r="G76" s="3" t="n"/>
      <c r="H76" s="3" t="n"/>
      <c r="I76" s="3" t="n"/>
      <c r="J76" s="4">
        <f>IF(A76="","",G76-H76)</f>
        <v/>
      </c>
      <c r="K76" s="4">
        <f>IF(A76="","",H76-I76)</f>
        <v/>
      </c>
      <c r="L76" s="5">
        <f>IF(A76="","",IFERROR((H76-I76)/H76,0))</f>
        <v/>
      </c>
      <c r="M76" s="6">
        <f>IF(A76="","",IF(H76&lt;=I76,"Drop",IF(AND(J76&gt;0,IFERROR((H76-I76)/H76,0)&gt;=0.65),"Profit product",IF(IFERROR((H76-I76)/H76,0)&gt;=0.5,"Traffic product","Thin - rework"))))</f>
        <v/>
      </c>
    </row>
    <row r="77">
      <c r="G77" s="3" t="n"/>
      <c r="H77" s="3" t="n"/>
      <c r="I77" s="3" t="n"/>
      <c r="J77" s="4">
        <f>IF(A77="","",G77-H77)</f>
        <v/>
      </c>
      <c r="K77" s="4">
        <f>IF(A77="","",H77-I77)</f>
        <v/>
      </c>
      <c r="L77" s="5">
        <f>IF(A77="","",IFERROR((H77-I77)/H77,0))</f>
        <v/>
      </c>
      <c r="M77" s="6">
        <f>IF(A77="","",IF(H77&lt;=I77,"Drop",IF(AND(J77&gt;0,IFERROR((H77-I77)/H77,0)&gt;=0.65),"Profit product",IF(IFERROR((H77-I77)/H77,0)&gt;=0.5,"Traffic product","Thin - rework"))))</f>
        <v/>
      </c>
    </row>
    <row r="78">
      <c r="G78" s="3" t="n"/>
      <c r="H78" s="3" t="n"/>
      <c r="I78" s="3" t="n"/>
      <c r="J78" s="4">
        <f>IF(A78="","",G78-H78)</f>
        <v/>
      </c>
      <c r="K78" s="4">
        <f>IF(A78="","",H78-I78)</f>
        <v/>
      </c>
      <c r="L78" s="5">
        <f>IF(A78="","",IFERROR((H78-I78)/H78,0))</f>
        <v/>
      </c>
      <c r="M78" s="6">
        <f>IF(A78="","",IF(H78&lt;=I78,"Drop",IF(AND(J78&gt;0,IFERROR((H78-I78)/H78,0)&gt;=0.65),"Profit product",IF(IFERROR((H78-I78)/H78,0)&gt;=0.5,"Traffic product","Thin - rework"))))</f>
        <v/>
      </c>
    </row>
    <row r="79">
      <c r="G79" s="3" t="n"/>
      <c r="H79" s="3" t="n"/>
      <c r="I79" s="3" t="n"/>
      <c r="J79" s="4">
        <f>IF(A79="","",G79-H79)</f>
        <v/>
      </c>
      <c r="K79" s="4">
        <f>IF(A79="","",H79-I79)</f>
        <v/>
      </c>
      <c r="L79" s="5">
        <f>IF(A79="","",IFERROR((H79-I79)/H79,0))</f>
        <v/>
      </c>
      <c r="M79" s="6">
        <f>IF(A79="","",IF(H79&lt;=I79,"Drop",IF(AND(J79&gt;0,IFERROR((H79-I79)/H79,0)&gt;=0.65),"Profit product",IF(IFERROR((H79-I79)/H79,0)&gt;=0.5,"Traffic product","Thin - rework"))))</f>
        <v/>
      </c>
    </row>
    <row r="80">
      <c r="G80" s="3" t="n"/>
      <c r="H80" s="3" t="n"/>
      <c r="I80" s="3" t="n"/>
      <c r="J80" s="4">
        <f>IF(A80="","",G80-H80)</f>
        <v/>
      </c>
      <c r="K80" s="4">
        <f>IF(A80="","",H80-I80)</f>
        <v/>
      </c>
      <c r="L80" s="5">
        <f>IF(A80="","",IFERROR((H80-I80)/H80,0))</f>
        <v/>
      </c>
      <c r="M80" s="6">
        <f>IF(A80="","",IF(H80&lt;=I80,"Drop",IF(AND(J80&gt;0,IFERROR((H80-I80)/H80,0)&gt;=0.65),"Profit product",IF(IFERROR((H80-I80)/H80,0)&gt;=0.5,"Traffic product","Thin - rework"))))</f>
        <v/>
      </c>
    </row>
    <row r="81">
      <c r="G81" s="3" t="n"/>
      <c r="H81" s="3" t="n"/>
      <c r="I81" s="3" t="n"/>
      <c r="J81" s="4">
        <f>IF(A81="","",G81-H81)</f>
        <v/>
      </c>
      <c r="K81" s="4">
        <f>IF(A81="","",H81-I81)</f>
        <v/>
      </c>
      <c r="L81" s="5">
        <f>IF(A81="","",IFERROR((H81-I81)/H81,0))</f>
        <v/>
      </c>
      <c r="M81" s="6">
        <f>IF(A81="","",IF(H81&lt;=I81,"Drop",IF(AND(J81&gt;0,IFERROR((H81-I81)/H81,0)&gt;=0.65),"Profit product",IF(IFERROR((H81-I81)/H81,0)&gt;=0.5,"Traffic product","Thin - rework"))))</f>
        <v/>
      </c>
    </row>
    <row r="82">
      <c r="G82" s="3" t="n"/>
      <c r="H82" s="3" t="n"/>
      <c r="I82" s="3" t="n"/>
      <c r="J82" s="4">
        <f>IF(A82="","",G82-H82)</f>
        <v/>
      </c>
      <c r="K82" s="4">
        <f>IF(A82="","",H82-I82)</f>
        <v/>
      </c>
      <c r="L82" s="5">
        <f>IF(A82="","",IFERROR((H82-I82)/H82,0))</f>
        <v/>
      </c>
      <c r="M82" s="6">
        <f>IF(A82="","",IF(H82&lt;=I82,"Drop",IF(AND(J82&gt;0,IFERROR((H82-I82)/H82,0)&gt;=0.65),"Profit product",IF(IFERROR((H82-I82)/H82,0)&gt;=0.5,"Traffic product","Thin - rework"))))</f>
        <v/>
      </c>
    </row>
    <row r="83">
      <c r="G83" s="3" t="n"/>
      <c r="H83" s="3" t="n"/>
      <c r="I83" s="3" t="n"/>
      <c r="J83" s="4">
        <f>IF(A83="","",G83-H83)</f>
        <v/>
      </c>
      <c r="K83" s="4">
        <f>IF(A83="","",H83-I83)</f>
        <v/>
      </c>
      <c r="L83" s="5">
        <f>IF(A83="","",IFERROR((H83-I83)/H83,0))</f>
        <v/>
      </c>
      <c r="M83" s="6">
        <f>IF(A83="","",IF(H83&lt;=I83,"Drop",IF(AND(J83&gt;0,IFERROR((H83-I83)/H83,0)&gt;=0.65),"Profit product",IF(IFERROR((H83-I83)/H83,0)&gt;=0.5,"Traffic product","Thin - rework"))))</f>
        <v/>
      </c>
    </row>
    <row r="84">
      <c r="G84" s="3" t="n"/>
      <c r="H84" s="3" t="n"/>
      <c r="I84" s="3" t="n"/>
      <c r="J84" s="4">
        <f>IF(A84="","",G84-H84)</f>
        <v/>
      </c>
      <c r="K84" s="4">
        <f>IF(A84="","",H84-I84)</f>
        <v/>
      </c>
      <c r="L84" s="5">
        <f>IF(A84="","",IFERROR((H84-I84)/H84,0))</f>
        <v/>
      </c>
      <c r="M84" s="6">
        <f>IF(A84="","",IF(H84&lt;=I84,"Drop",IF(AND(J84&gt;0,IFERROR((H84-I84)/H84,0)&gt;=0.65),"Profit product",IF(IFERROR((H84-I84)/H84,0)&gt;=0.5,"Traffic product","Thin - rework"))))</f>
        <v/>
      </c>
    </row>
    <row r="85">
      <c r="G85" s="3" t="n"/>
      <c r="H85" s="3" t="n"/>
      <c r="I85" s="3" t="n"/>
      <c r="J85" s="4">
        <f>IF(A85="","",G85-H85)</f>
        <v/>
      </c>
      <c r="K85" s="4">
        <f>IF(A85="","",H85-I85)</f>
        <v/>
      </c>
      <c r="L85" s="5">
        <f>IF(A85="","",IFERROR((H85-I85)/H85,0))</f>
        <v/>
      </c>
      <c r="M85" s="6">
        <f>IF(A85="","",IF(H85&lt;=I85,"Drop",IF(AND(J85&gt;0,IFERROR((H85-I85)/H85,0)&gt;=0.65),"Profit product",IF(IFERROR((H85-I85)/H85,0)&gt;=0.5,"Traffic product","Thin - rework"))))</f>
        <v/>
      </c>
    </row>
    <row r="86">
      <c r="G86" s="3" t="n"/>
      <c r="H86" s="3" t="n"/>
      <c r="I86" s="3" t="n"/>
      <c r="J86" s="4">
        <f>IF(A86="","",G86-H86)</f>
        <v/>
      </c>
      <c r="K86" s="4">
        <f>IF(A86="","",H86-I86)</f>
        <v/>
      </c>
      <c r="L86" s="5">
        <f>IF(A86="","",IFERROR((H86-I86)/H86,0))</f>
        <v/>
      </c>
      <c r="M86" s="6">
        <f>IF(A86="","",IF(H86&lt;=I86,"Drop",IF(AND(J86&gt;0,IFERROR((H86-I86)/H86,0)&gt;=0.65),"Profit product",IF(IFERROR((H86-I86)/H86,0)&gt;=0.5,"Traffic product","Thin - rework"))))</f>
        <v/>
      </c>
    </row>
    <row r="87">
      <c r="G87" s="3" t="n"/>
      <c r="H87" s="3" t="n"/>
      <c r="I87" s="3" t="n"/>
      <c r="J87" s="4">
        <f>IF(A87="","",G87-H87)</f>
        <v/>
      </c>
      <c r="K87" s="4">
        <f>IF(A87="","",H87-I87)</f>
        <v/>
      </c>
      <c r="L87" s="5">
        <f>IF(A87="","",IFERROR((H87-I87)/H87,0))</f>
        <v/>
      </c>
      <c r="M87" s="6">
        <f>IF(A87="","",IF(H87&lt;=I87,"Drop",IF(AND(J87&gt;0,IFERROR((H87-I87)/H87,0)&gt;=0.65),"Profit product",IF(IFERROR((H87-I87)/H87,0)&gt;=0.5,"Traffic product","Thin - rework"))))</f>
        <v/>
      </c>
    </row>
    <row r="88">
      <c r="G88" s="3" t="n"/>
      <c r="H88" s="3" t="n"/>
      <c r="I88" s="3" t="n"/>
      <c r="J88" s="4">
        <f>IF(A88="","",G88-H88)</f>
        <v/>
      </c>
      <c r="K88" s="4">
        <f>IF(A88="","",H88-I88)</f>
        <v/>
      </c>
      <c r="L88" s="5">
        <f>IF(A88="","",IFERROR((H88-I88)/H88,0))</f>
        <v/>
      </c>
      <c r="M88" s="6">
        <f>IF(A88="","",IF(H88&lt;=I88,"Drop",IF(AND(J88&gt;0,IFERROR((H88-I88)/H88,0)&gt;=0.65),"Profit product",IF(IFERROR((H88-I88)/H88,0)&gt;=0.5,"Traffic product","Thin - rework"))))</f>
        <v/>
      </c>
    </row>
    <row r="89">
      <c r="G89" s="3" t="n"/>
      <c r="H89" s="3" t="n"/>
      <c r="I89" s="3" t="n"/>
      <c r="J89" s="4">
        <f>IF(A89="","",G89-H89)</f>
        <v/>
      </c>
      <c r="K89" s="4">
        <f>IF(A89="","",H89-I89)</f>
        <v/>
      </c>
      <c r="L89" s="5">
        <f>IF(A89="","",IFERROR((H89-I89)/H89,0))</f>
        <v/>
      </c>
      <c r="M89" s="6">
        <f>IF(A89="","",IF(H89&lt;=I89,"Drop",IF(AND(J89&gt;0,IFERROR((H89-I89)/H89,0)&gt;=0.65),"Profit product",IF(IFERROR((H89-I89)/H89,0)&gt;=0.5,"Traffic product","Thin - rework"))))</f>
        <v/>
      </c>
    </row>
    <row r="90">
      <c r="G90" s="3" t="n"/>
      <c r="H90" s="3" t="n"/>
      <c r="I90" s="3" t="n"/>
      <c r="J90" s="4">
        <f>IF(A90="","",G90-H90)</f>
        <v/>
      </c>
      <c r="K90" s="4">
        <f>IF(A90="","",H90-I90)</f>
        <v/>
      </c>
      <c r="L90" s="5">
        <f>IF(A90="","",IFERROR((H90-I90)/H90,0))</f>
        <v/>
      </c>
      <c r="M90" s="6">
        <f>IF(A90="","",IF(H90&lt;=I90,"Drop",IF(AND(J90&gt;0,IFERROR((H90-I90)/H90,0)&gt;=0.65),"Profit product",IF(IFERROR((H90-I90)/H90,0)&gt;=0.5,"Traffic product","Thin - rework"))))</f>
        <v/>
      </c>
    </row>
    <row r="91">
      <c r="G91" s="3" t="n"/>
      <c r="H91" s="3" t="n"/>
      <c r="I91" s="3" t="n"/>
      <c r="J91" s="4">
        <f>IF(A91="","",G91-H91)</f>
        <v/>
      </c>
      <c r="K91" s="4">
        <f>IF(A91="","",H91-I91)</f>
        <v/>
      </c>
      <c r="L91" s="5">
        <f>IF(A91="","",IFERROR((H91-I91)/H91,0))</f>
        <v/>
      </c>
      <c r="M91" s="6">
        <f>IF(A91="","",IF(H91&lt;=I91,"Drop",IF(AND(J91&gt;0,IFERROR((H91-I91)/H91,0)&gt;=0.65),"Profit product",IF(IFERROR((H91-I91)/H91,0)&gt;=0.5,"Traffic product","Thin - rework"))))</f>
        <v/>
      </c>
    </row>
    <row r="92">
      <c r="G92" s="3" t="n"/>
      <c r="H92" s="3" t="n"/>
      <c r="I92" s="3" t="n"/>
      <c r="J92" s="4">
        <f>IF(A92="","",G92-H92)</f>
        <v/>
      </c>
      <c r="K92" s="4">
        <f>IF(A92="","",H92-I92)</f>
        <v/>
      </c>
      <c r="L92" s="5">
        <f>IF(A92="","",IFERROR((H92-I92)/H92,0))</f>
        <v/>
      </c>
      <c r="M92" s="6">
        <f>IF(A92="","",IF(H92&lt;=I92,"Drop",IF(AND(J92&gt;0,IFERROR((H92-I92)/H92,0)&gt;=0.65),"Profit product",IF(IFERROR((H92-I92)/H92,0)&gt;=0.5,"Traffic product","Thin - rework"))))</f>
        <v/>
      </c>
    </row>
    <row r="93">
      <c r="G93" s="3" t="n"/>
      <c r="H93" s="3" t="n"/>
      <c r="I93" s="3" t="n"/>
      <c r="J93" s="4">
        <f>IF(A93="","",G93-H93)</f>
        <v/>
      </c>
      <c r="K93" s="4">
        <f>IF(A93="","",H93-I93)</f>
        <v/>
      </c>
      <c r="L93" s="5">
        <f>IF(A93="","",IFERROR((H93-I93)/H93,0))</f>
        <v/>
      </c>
      <c r="M93" s="6">
        <f>IF(A93="","",IF(H93&lt;=I93,"Drop",IF(AND(J93&gt;0,IFERROR((H93-I93)/H93,0)&gt;=0.65),"Profit product",IF(IFERROR((H93-I93)/H93,0)&gt;=0.5,"Traffic product","Thin - rework"))))</f>
        <v/>
      </c>
    </row>
    <row r="94">
      <c r="G94" s="3" t="n"/>
      <c r="H94" s="3" t="n"/>
      <c r="I94" s="3" t="n"/>
      <c r="J94" s="4">
        <f>IF(A94="","",G94-H94)</f>
        <v/>
      </c>
      <c r="K94" s="4">
        <f>IF(A94="","",H94-I94)</f>
        <v/>
      </c>
      <c r="L94" s="5">
        <f>IF(A94="","",IFERROR((H94-I94)/H94,0))</f>
        <v/>
      </c>
      <c r="M94" s="6">
        <f>IF(A94="","",IF(H94&lt;=I94,"Drop",IF(AND(J94&gt;0,IFERROR((H94-I94)/H94,0)&gt;=0.65),"Profit product",IF(IFERROR((H94-I94)/H94,0)&gt;=0.5,"Traffic product","Thin - rework"))))</f>
        <v/>
      </c>
    </row>
    <row r="95">
      <c r="G95" s="3" t="n"/>
      <c r="H95" s="3" t="n"/>
      <c r="I95" s="3" t="n"/>
      <c r="J95" s="4">
        <f>IF(A95="","",G95-H95)</f>
        <v/>
      </c>
      <c r="K95" s="4">
        <f>IF(A95="","",H95-I95)</f>
        <v/>
      </c>
      <c r="L95" s="5">
        <f>IF(A95="","",IFERROR((H95-I95)/H95,0))</f>
        <v/>
      </c>
      <c r="M95" s="6">
        <f>IF(A95="","",IF(H95&lt;=I95,"Drop",IF(AND(J95&gt;0,IFERROR((H95-I95)/H95,0)&gt;=0.65),"Profit product",IF(IFERROR((H95-I95)/H95,0)&gt;=0.5,"Traffic product","Thin - rework"))))</f>
        <v/>
      </c>
    </row>
    <row r="96">
      <c r="G96" s="3" t="n"/>
      <c r="H96" s="3" t="n"/>
      <c r="I96" s="3" t="n"/>
      <c r="J96" s="4">
        <f>IF(A96="","",G96-H96)</f>
        <v/>
      </c>
      <c r="K96" s="4">
        <f>IF(A96="","",H96-I96)</f>
        <v/>
      </c>
      <c r="L96" s="5">
        <f>IF(A96="","",IFERROR((H96-I96)/H96,0))</f>
        <v/>
      </c>
      <c r="M96" s="6">
        <f>IF(A96="","",IF(H96&lt;=I96,"Drop",IF(AND(J96&gt;0,IFERROR((H96-I96)/H96,0)&gt;=0.65),"Profit product",IF(IFERROR((H96-I96)/H96,0)&gt;=0.5,"Traffic product","Thin - rework"))))</f>
        <v/>
      </c>
    </row>
    <row r="97">
      <c r="G97" s="3" t="n"/>
      <c r="H97" s="3" t="n"/>
      <c r="I97" s="3" t="n"/>
      <c r="J97" s="4">
        <f>IF(A97="","",G97-H97)</f>
        <v/>
      </c>
      <c r="K97" s="4">
        <f>IF(A97="","",H97-I97)</f>
        <v/>
      </c>
      <c r="L97" s="5">
        <f>IF(A97="","",IFERROR((H97-I97)/H97,0))</f>
        <v/>
      </c>
      <c r="M97" s="6">
        <f>IF(A97="","",IF(H97&lt;=I97,"Drop",IF(AND(J97&gt;0,IFERROR((H97-I97)/H97,0)&gt;=0.65),"Profit product",IF(IFERROR((H97-I97)/H97,0)&gt;=0.5,"Traffic product","Thin - rework"))))</f>
        <v/>
      </c>
    </row>
    <row r="98">
      <c r="G98" s="3" t="n"/>
      <c r="H98" s="3" t="n"/>
      <c r="I98" s="3" t="n"/>
      <c r="J98" s="4">
        <f>IF(A98="","",G98-H98)</f>
        <v/>
      </c>
      <c r="K98" s="4">
        <f>IF(A98="","",H98-I98)</f>
        <v/>
      </c>
      <c r="L98" s="5">
        <f>IF(A98="","",IFERROR((H98-I98)/H98,0))</f>
        <v/>
      </c>
      <c r="M98" s="6">
        <f>IF(A98="","",IF(H98&lt;=I98,"Drop",IF(AND(J98&gt;0,IFERROR((H98-I98)/H98,0)&gt;=0.65),"Profit product",IF(IFERROR((H98-I98)/H98,0)&gt;=0.5,"Traffic product","Thin - rework"))))</f>
        <v/>
      </c>
    </row>
    <row r="99">
      <c r="G99" s="3" t="n"/>
      <c r="H99" s="3" t="n"/>
      <c r="I99" s="3" t="n"/>
      <c r="J99" s="4">
        <f>IF(A99="","",G99-H99)</f>
        <v/>
      </c>
      <c r="K99" s="4">
        <f>IF(A99="","",H99-I99)</f>
        <v/>
      </c>
      <c r="L99" s="5">
        <f>IF(A99="","",IFERROR((H99-I99)/H99,0))</f>
        <v/>
      </c>
      <c r="M99" s="6">
        <f>IF(A99="","",IF(H99&lt;=I99,"Drop",IF(AND(J99&gt;0,IFERROR((H99-I99)/H99,0)&gt;=0.65),"Profit product",IF(IFERROR((H99-I99)/H99,0)&gt;=0.5,"Traffic product","Thin - rework"))))</f>
        <v/>
      </c>
    </row>
    <row r="100">
      <c r="G100" s="3" t="n"/>
      <c r="H100" s="3" t="n"/>
      <c r="I100" s="3" t="n"/>
      <c r="J100" s="4">
        <f>IF(A100="","",G100-H100)</f>
        <v/>
      </c>
      <c r="K100" s="4">
        <f>IF(A100="","",H100-I100)</f>
        <v/>
      </c>
      <c r="L100" s="5">
        <f>IF(A100="","",IFERROR((H100-I100)/H100,0))</f>
        <v/>
      </c>
      <c r="M100" s="6">
        <f>IF(A100="","",IF(H100&lt;=I100,"Drop",IF(AND(J100&gt;0,IFERROR((H100-I100)/H100,0)&gt;=0.65),"Profit product",IF(IFERROR((H100-I100)/H100,0)&gt;=0.5,"Traffic product","Thin - rework"))))</f>
        <v/>
      </c>
    </row>
    <row r="101">
      <c r="G101" s="3" t="n"/>
      <c r="H101" s="3" t="n"/>
      <c r="I101" s="3" t="n"/>
      <c r="J101" s="4">
        <f>IF(A101="","",G101-H101)</f>
        <v/>
      </c>
      <c r="K101" s="4">
        <f>IF(A101="","",H101-I101)</f>
        <v/>
      </c>
      <c r="L101" s="5">
        <f>IF(A101="","",IFERROR((H101-I101)/H101,0))</f>
        <v/>
      </c>
      <c r="M101" s="6">
        <f>IF(A101="","",IF(H101&lt;=I101,"Drop",IF(AND(J101&gt;0,IFERROR((H101-I101)/H101,0)&gt;=0.65),"Profit product",IF(IFERROR((H101-I101)/H101,0)&gt;=0.5,"Traffic product","Thin - rework"))))</f>
        <v/>
      </c>
    </row>
    <row r="102">
      <c r="G102" s="3" t="n"/>
      <c r="H102" s="3" t="n"/>
      <c r="I102" s="3" t="n"/>
      <c r="J102" s="4">
        <f>IF(A102="","",G102-H102)</f>
        <v/>
      </c>
      <c r="K102" s="4">
        <f>IF(A102="","",H102-I102)</f>
        <v/>
      </c>
      <c r="L102" s="5">
        <f>IF(A102="","",IFERROR((H102-I102)/H102,0))</f>
        <v/>
      </c>
      <c r="M102" s="6">
        <f>IF(A102="","",IF(H102&lt;=I102,"Drop",IF(AND(J102&gt;0,IFERROR((H102-I102)/H102,0)&gt;=0.65),"Profit product",IF(IFERROR((H102-I102)/H102,0)&gt;=0.5,"Traffic product","Thin - rework"))))</f>
        <v/>
      </c>
    </row>
    <row r="103">
      <c r="G103" s="3" t="n"/>
      <c r="H103" s="3" t="n"/>
      <c r="I103" s="3" t="n"/>
      <c r="J103" s="4">
        <f>IF(A103="","",G103-H103)</f>
        <v/>
      </c>
      <c r="K103" s="4">
        <f>IF(A103="","",H103-I103)</f>
        <v/>
      </c>
      <c r="L103" s="5">
        <f>IF(A103="","",IFERROR((H103-I103)/H103,0))</f>
        <v/>
      </c>
      <c r="M103" s="6">
        <f>IF(A103="","",IF(H103&lt;=I103,"Drop",IF(AND(J103&gt;0,IFERROR((H103-I103)/H103,0)&gt;=0.65),"Profit product",IF(IFERROR((H103-I103)/H103,0)&gt;=0.5,"Traffic product","Thin - rework"))))</f>
        <v/>
      </c>
    </row>
    <row r="104">
      <c r="G104" s="3" t="n"/>
      <c r="H104" s="3" t="n"/>
      <c r="I104" s="3" t="n"/>
      <c r="J104" s="4">
        <f>IF(A104="","",G104-H104)</f>
        <v/>
      </c>
      <c r="K104" s="4">
        <f>IF(A104="","",H104-I104)</f>
        <v/>
      </c>
      <c r="L104" s="5">
        <f>IF(A104="","",IFERROR((H104-I104)/H104,0))</f>
        <v/>
      </c>
      <c r="M104" s="6">
        <f>IF(A104="","",IF(H104&lt;=I104,"Drop",IF(AND(J104&gt;0,IFERROR((H104-I104)/H104,0)&gt;=0.65),"Profit product",IF(IFERROR((H104-I104)/H104,0)&gt;=0.5,"Traffic product","Thin - rework"))))</f>
        <v/>
      </c>
    </row>
    <row r="105">
      <c r="G105" s="3" t="n"/>
      <c r="H105" s="3" t="n"/>
      <c r="I105" s="3" t="n"/>
      <c r="J105" s="4">
        <f>IF(A105="","",G105-H105)</f>
        <v/>
      </c>
      <c r="K105" s="4">
        <f>IF(A105="","",H105-I105)</f>
        <v/>
      </c>
      <c r="L105" s="5">
        <f>IF(A105="","",IFERROR((H105-I105)/H105,0))</f>
        <v/>
      </c>
      <c r="M105" s="6">
        <f>IF(A105="","",IF(H105&lt;=I105,"Drop",IF(AND(J105&gt;0,IFERROR((H105-I105)/H105,0)&gt;=0.65),"Profit product",IF(IFERROR((H105-I105)/H105,0)&gt;=0.5,"Traffic product","Thin - rework"))))</f>
        <v/>
      </c>
    </row>
    <row r="106">
      <c r="G106" s="3" t="n"/>
      <c r="H106" s="3" t="n"/>
      <c r="I106" s="3" t="n"/>
      <c r="J106" s="4">
        <f>IF(A106="","",G106-H106)</f>
        <v/>
      </c>
      <c r="K106" s="4">
        <f>IF(A106="","",H106-I106)</f>
        <v/>
      </c>
      <c r="L106" s="5">
        <f>IF(A106="","",IFERROR((H106-I106)/H106,0))</f>
        <v/>
      </c>
      <c r="M106" s="6">
        <f>IF(A106="","",IF(H106&lt;=I106,"Drop",IF(AND(J106&gt;0,IFERROR((H106-I106)/H106,0)&gt;=0.65),"Profit product",IF(IFERROR((H106-I106)/H106,0)&gt;=0.5,"Traffic product","Thin - rework"))))</f>
        <v/>
      </c>
    </row>
    <row r="107">
      <c r="G107" s="3" t="n"/>
      <c r="H107" s="3" t="n"/>
      <c r="I107" s="3" t="n"/>
      <c r="J107" s="4">
        <f>IF(A107="","",G107-H107)</f>
        <v/>
      </c>
      <c r="K107" s="4">
        <f>IF(A107="","",H107-I107)</f>
        <v/>
      </c>
      <c r="L107" s="5">
        <f>IF(A107="","",IFERROR((H107-I107)/H107,0))</f>
        <v/>
      </c>
      <c r="M107" s="6">
        <f>IF(A107="","",IF(H107&lt;=I107,"Drop",IF(AND(J107&gt;0,IFERROR((H107-I107)/H107,0)&gt;=0.65),"Profit product",IF(IFERROR((H107-I107)/H107,0)&gt;=0.5,"Traffic product","Thin - rework"))))</f>
        <v/>
      </c>
    </row>
    <row r="108">
      <c r="G108" s="3" t="n"/>
      <c r="H108" s="3" t="n"/>
      <c r="I108" s="3" t="n"/>
      <c r="J108" s="4">
        <f>IF(A108="","",G108-H108)</f>
        <v/>
      </c>
      <c r="K108" s="4">
        <f>IF(A108="","",H108-I108)</f>
        <v/>
      </c>
      <c r="L108" s="5">
        <f>IF(A108="","",IFERROR((H108-I108)/H108,0))</f>
        <v/>
      </c>
      <c r="M108" s="6">
        <f>IF(A108="","",IF(H108&lt;=I108,"Drop",IF(AND(J108&gt;0,IFERROR((H108-I108)/H108,0)&gt;=0.65),"Profit product",IF(IFERROR((H108-I108)/H108,0)&gt;=0.5,"Traffic product","Thin - rework"))))</f>
        <v/>
      </c>
    </row>
    <row r="109">
      <c r="G109" s="3" t="n"/>
      <c r="H109" s="3" t="n"/>
      <c r="I109" s="3" t="n"/>
      <c r="J109" s="4">
        <f>IF(A109="","",G109-H109)</f>
        <v/>
      </c>
      <c r="K109" s="4">
        <f>IF(A109="","",H109-I109)</f>
        <v/>
      </c>
      <c r="L109" s="5">
        <f>IF(A109="","",IFERROR((H109-I109)/H109,0))</f>
        <v/>
      </c>
      <c r="M109" s="6">
        <f>IF(A109="","",IF(H109&lt;=I109,"Drop",IF(AND(J109&gt;0,IFERROR((H109-I109)/H109,0)&gt;=0.65),"Profit product",IF(IFERROR((H109-I109)/H109,0)&gt;=0.5,"Traffic product","Thin - rework"))))</f>
        <v/>
      </c>
    </row>
    <row r="110">
      <c r="G110" s="3" t="n"/>
      <c r="H110" s="3" t="n"/>
      <c r="I110" s="3" t="n"/>
      <c r="J110" s="4">
        <f>IF(A110="","",G110-H110)</f>
        <v/>
      </c>
      <c r="K110" s="4">
        <f>IF(A110="","",H110-I110)</f>
        <v/>
      </c>
      <c r="L110" s="5">
        <f>IF(A110="","",IFERROR((H110-I110)/H110,0))</f>
        <v/>
      </c>
      <c r="M110" s="6">
        <f>IF(A110="","",IF(H110&lt;=I110,"Drop",IF(AND(J110&gt;0,IFERROR((H110-I110)/H110,0)&gt;=0.65),"Profit product",IF(IFERROR((H110-I110)/H110,0)&gt;=0.5,"Traffic product","Thin - rework"))))</f>
        <v/>
      </c>
    </row>
    <row r="111">
      <c r="G111" s="3" t="n"/>
      <c r="H111" s="3" t="n"/>
      <c r="I111" s="3" t="n"/>
      <c r="J111" s="4">
        <f>IF(A111="","",G111-H111)</f>
        <v/>
      </c>
      <c r="K111" s="4">
        <f>IF(A111="","",H111-I111)</f>
        <v/>
      </c>
      <c r="L111" s="5">
        <f>IF(A111="","",IFERROR((H111-I111)/H111,0))</f>
        <v/>
      </c>
      <c r="M111" s="6">
        <f>IF(A111="","",IF(H111&lt;=I111,"Drop",IF(AND(J111&gt;0,IFERROR((H111-I111)/H111,0)&gt;=0.65),"Profit product",IF(IFERROR((H111-I111)/H111,0)&gt;=0.5,"Traffic product","Thin - rework"))))</f>
        <v/>
      </c>
    </row>
    <row r="112">
      <c r="G112" s="3" t="n"/>
      <c r="H112" s="3" t="n"/>
      <c r="I112" s="3" t="n"/>
      <c r="J112" s="4">
        <f>IF(A112="","",G112-H112)</f>
        <v/>
      </c>
      <c r="K112" s="4">
        <f>IF(A112="","",H112-I112)</f>
        <v/>
      </c>
      <c r="L112" s="5">
        <f>IF(A112="","",IFERROR((H112-I112)/H112,0))</f>
        <v/>
      </c>
      <c r="M112" s="6">
        <f>IF(A112="","",IF(H112&lt;=I112,"Drop",IF(AND(J112&gt;0,IFERROR((H112-I112)/H112,0)&gt;=0.65),"Profit product",IF(IFERROR((H112-I112)/H112,0)&gt;=0.5,"Traffic product","Thin - rework"))))</f>
        <v/>
      </c>
    </row>
    <row r="113">
      <c r="G113" s="3" t="n"/>
      <c r="H113" s="3" t="n"/>
      <c r="I113" s="3" t="n"/>
      <c r="J113" s="4">
        <f>IF(A113="","",G113-H113)</f>
        <v/>
      </c>
      <c r="K113" s="4">
        <f>IF(A113="","",H113-I113)</f>
        <v/>
      </c>
      <c r="L113" s="5">
        <f>IF(A113="","",IFERROR((H113-I113)/H113,0))</f>
        <v/>
      </c>
      <c r="M113" s="6">
        <f>IF(A113="","",IF(H113&lt;=I113,"Drop",IF(AND(J113&gt;0,IFERROR((H113-I113)/H113,0)&gt;=0.65),"Profit product",IF(IFERROR((H113-I113)/H113,0)&gt;=0.5,"Traffic product","Thin - rework"))))</f>
        <v/>
      </c>
    </row>
    <row r="114">
      <c r="G114" s="3" t="n"/>
      <c r="H114" s="3" t="n"/>
      <c r="I114" s="3" t="n"/>
      <c r="J114" s="4">
        <f>IF(A114="","",G114-H114)</f>
        <v/>
      </c>
      <c r="K114" s="4">
        <f>IF(A114="","",H114-I114)</f>
        <v/>
      </c>
      <c r="L114" s="5">
        <f>IF(A114="","",IFERROR((H114-I114)/H114,0))</f>
        <v/>
      </c>
      <c r="M114" s="6">
        <f>IF(A114="","",IF(H114&lt;=I114,"Drop",IF(AND(J114&gt;0,IFERROR((H114-I114)/H114,0)&gt;=0.65),"Profit product",IF(IFERROR((H114-I114)/H114,0)&gt;=0.5,"Traffic product","Thin - rework"))))</f>
        <v/>
      </c>
    </row>
    <row r="115">
      <c r="G115" s="3" t="n"/>
      <c r="H115" s="3" t="n"/>
      <c r="I115" s="3" t="n"/>
      <c r="J115" s="4">
        <f>IF(A115="","",G115-H115)</f>
        <v/>
      </c>
      <c r="K115" s="4">
        <f>IF(A115="","",H115-I115)</f>
        <v/>
      </c>
      <c r="L115" s="5">
        <f>IF(A115="","",IFERROR((H115-I115)/H115,0))</f>
        <v/>
      </c>
      <c r="M115" s="6">
        <f>IF(A115="","",IF(H115&lt;=I115,"Drop",IF(AND(J115&gt;0,IFERROR((H115-I115)/H115,0)&gt;=0.65),"Profit product",IF(IFERROR((H115-I115)/H115,0)&gt;=0.5,"Traffic product","Thin - rework"))))</f>
        <v/>
      </c>
    </row>
    <row r="116">
      <c r="G116" s="3" t="n"/>
      <c r="H116" s="3" t="n"/>
      <c r="I116" s="3" t="n"/>
      <c r="J116" s="4">
        <f>IF(A116="","",G116-H116)</f>
        <v/>
      </c>
      <c r="K116" s="4">
        <f>IF(A116="","",H116-I116)</f>
        <v/>
      </c>
      <c r="L116" s="5">
        <f>IF(A116="","",IFERROR((H116-I116)/H116,0))</f>
        <v/>
      </c>
      <c r="M116" s="6">
        <f>IF(A116="","",IF(H116&lt;=I116,"Drop",IF(AND(J116&gt;0,IFERROR((H116-I116)/H116,0)&gt;=0.65),"Profit product",IF(IFERROR((H116-I116)/H116,0)&gt;=0.5,"Traffic product","Thin - rework"))))</f>
        <v/>
      </c>
    </row>
    <row r="117">
      <c r="G117" s="3" t="n"/>
      <c r="H117" s="3" t="n"/>
      <c r="I117" s="3" t="n"/>
      <c r="J117" s="4">
        <f>IF(A117="","",G117-H117)</f>
        <v/>
      </c>
      <c r="K117" s="4">
        <f>IF(A117="","",H117-I117)</f>
        <v/>
      </c>
      <c r="L117" s="5">
        <f>IF(A117="","",IFERROR((H117-I117)/H117,0))</f>
        <v/>
      </c>
      <c r="M117" s="6">
        <f>IF(A117="","",IF(H117&lt;=I117,"Drop",IF(AND(J117&gt;0,IFERROR((H117-I117)/H117,0)&gt;=0.65),"Profit product",IF(IFERROR((H117-I117)/H117,0)&gt;=0.5,"Traffic product","Thin - rework"))))</f>
        <v/>
      </c>
    </row>
    <row r="118">
      <c r="G118" s="3" t="n"/>
      <c r="H118" s="3" t="n"/>
      <c r="I118" s="3" t="n"/>
      <c r="J118" s="4">
        <f>IF(A118="","",G118-H118)</f>
        <v/>
      </c>
      <c r="K118" s="4">
        <f>IF(A118="","",H118-I118)</f>
        <v/>
      </c>
      <c r="L118" s="5">
        <f>IF(A118="","",IFERROR((H118-I118)/H118,0))</f>
        <v/>
      </c>
      <c r="M118" s="6">
        <f>IF(A118="","",IF(H118&lt;=I118,"Drop",IF(AND(J118&gt;0,IFERROR((H118-I118)/H118,0)&gt;=0.65),"Profit product",IF(IFERROR((H118-I118)/H118,0)&gt;=0.5,"Traffic product","Thin - rework"))))</f>
        <v/>
      </c>
    </row>
    <row r="119">
      <c r="G119" s="3" t="n"/>
      <c r="H119" s="3" t="n"/>
      <c r="I119" s="3" t="n"/>
      <c r="J119" s="4">
        <f>IF(A119="","",G119-H119)</f>
        <v/>
      </c>
      <c r="K119" s="4">
        <f>IF(A119="","",H119-I119)</f>
        <v/>
      </c>
      <c r="L119" s="5">
        <f>IF(A119="","",IFERROR((H119-I119)/H119,0))</f>
        <v/>
      </c>
      <c r="M119" s="6">
        <f>IF(A119="","",IF(H119&lt;=I119,"Drop",IF(AND(J119&gt;0,IFERROR((H119-I119)/H119,0)&gt;=0.65),"Profit product",IF(IFERROR((H119-I119)/H119,0)&gt;=0.5,"Traffic product","Thin - rework"))))</f>
        <v/>
      </c>
    </row>
    <row r="120">
      <c r="G120" s="3" t="n"/>
      <c r="H120" s="3" t="n"/>
      <c r="I120" s="3" t="n"/>
      <c r="J120" s="4">
        <f>IF(A120="","",G120-H120)</f>
        <v/>
      </c>
      <c r="K120" s="4">
        <f>IF(A120="","",H120-I120)</f>
        <v/>
      </c>
      <c r="L120" s="5">
        <f>IF(A120="","",IFERROR((H120-I120)/H120,0))</f>
        <v/>
      </c>
      <c r="M120" s="6">
        <f>IF(A120="","",IF(H120&lt;=I120,"Drop",IF(AND(J120&gt;0,IFERROR((H120-I120)/H120,0)&gt;=0.65),"Profit product",IF(IFERROR((H120-I120)/H120,0)&gt;=0.5,"Traffic product","Thin - rework"))))</f>
        <v/>
      </c>
    </row>
    <row r="121">
      <c r="G121" s="3" t="n"/>
      <c r="H121" s="3" t="n"/>
      <c r="I121" s="3" t="n"/>
      <c r="J121" s="4">
        <f>IF(A121="","",G121-H121)</f>
        <v/>
      </c>
      <c r="K121" s="4">
        <f>IF(A121="","",H121-I121)</f>
        <v/>
      </c>
      <c r="L121" s="5">
        <f>IF(A121="","",IFERROR((H121-I121)/H121,0))</f>
        <v/>
      </c>
      <c r="M121" s="6">
        <f>IF(A121="","",IF(H121&lt;=I121,"Drop",IF(AND(J121&gt;0,IFERROR((H121-I121)/H121,0)&gt;=0.65),"Profit product",IF(IFERROR((H121-I121)/H121,0)&gt;=0.5,"Traffic product","Thin - rework"))))</f>
        <v/>
      </c>
    </row>
    <row r="122">
      <c r="G122" s="3" t="n"/>
      <c r="H122" s="3" t="n"/>
      <c r="I122" s="3" t="n"/>
      <c r="J122" s="4">
        <f>IF(A122="","",G122-H122)</f>
        <v/>
      </c>
      <c r="K122" s="4">
        <f>IF(A122="","",H122-I122)</f>
        <v/>
      </c>
      <c r="L122" s="5">
        <f>IF(A122="","",IFERROR((H122-I122)/H122,0))</f>
        <v/>
      </c>
      <c r="M122" s="6">
        <f>IF(A122="","",IF(H122&lt;=I122,"Drop",IF(AND(J122&gt;0,IFERROR((H122-I122)/H122,0)&gt;=0.65),"Profit product",IF(IFERROR((H122-I122)/H122,0)&gt;=0.5,"Traffic product","Thin - rework"))))</f>
        <v/>
      </c>
    </row>
    <row r="123">
      <c r="G123" s="3" t="n"/>
      <c r="H123" s="3" t="n"/>
      <c r="I123" s="3" t="n"/>
      <c r="J123" s="4">
        <f>IF(A123="","",G123-H123)</f>
        <v/>
      </c>
      <c r="K123" s="4">
        <f>IF(A123="","",H123-I123)</f>
        <v/>
      </c>
      <c r="L123" s="5">
        <f>IF(A123="","",IFERROR((H123-I123)/H123,0))</f>
        <v/>
      </c>
      <c r="M123" s="6">
        <f>IF(A123="","",IF(H123&lt;=I123,"Drop",IF(AND(J123&gt;0,IFERROR((H123-I123)/H123,0)&gt;=0.65),"Profit product",IF(IFERROR((H123-I123)/H123,0)&gt;=0.5,"Traffic product","Thin - rework"))))</f>
        <v/>
      </c>
    </row>
    <row r="124">
      <c r="G124" s="3" t="n"/>
      <c r="H124" s="3" t="n"/>
      <c r="I124" s="3" t="n"/>
      <c r="J124" s="4">
        <f>IF(A124="","",G124-H124)</f>
        <v/>
      </c>
      <c r="K124" s="4">
        <f>IF(A124="","",H124-I124)</f>
        <v/>
      </c>
      <c r="L124" s="5">
        <f>IF(A124="","",IFERROR((H124-I124)/H124,0))</f>
        <v/>
      </c>
      <c r="M124" s="6">
        <f>IF(A124="","",IF(H124&lt;=I124,"Drop",IF(AND(J124&gt;0,IFERROR((H124-I124)/H124,0)&gt;=0.65),"Profit product",IF(IFERROR((H124-I124)/H124,0)&gt;=0.5,"Traffic product","Thin - rework"))))</f>
        <v/>
      </c>
    </row>
    <row r="125">
      <c r="G125" s="3" t="n"/>
      <c r="H125" s="3" t="n"/>
      <c r="I125" s="3" t="n"/>
      <c r="J125" s="4">
        <f>IF(A125="","",G125-H125)</f>
        <v/>
      </c>
      <c r="K125" s="4">
        <f>IF(A125="","",H125-I125)</f>
        <v/>
      </c>
      <c r="L125" s="5">
        <f>IF(A125="","",IFERROR((H125-I125)/H125,0))</f>
        <v/>
      </c>
      <c r="M125" s="6">
        <f>IF(A125="","",IF(H125&lt;=I125,"Drop",IF(AND(J125&gt;0,IFERROR((H125-I125)/H125,0)&gt;=0.65),"Profit product",IF(IFERROR((H125-I125)/H125,0)&gt;=0.5,"Traffic product","Thin - rework"))))</f>
        <v/>
      </c>
    </row>
    <row r="126">
      <c r="G126" s="3" t="n"/>
      <c r="H126" s="3" t="n"/>
      <c r="I126" s="3" t="n"/>
      <c r="J126" s="4">
        <f>IF(A126="","",G126-H126)</f>
        <v/>
      </c>
      <c r="K126" s="4">
        <f>IF(A126="","",H126-I126)</f>
        <v/>
      </c>
      <c r="L126" s="5">
        <f>IF(A126="","",IFERROR((H126-I126)/H126,0))</f>
        <v/>
      </c>
      <c r="M126" s="6">
        <f>IF(A126="","",IF(H126&lt;=I126,"Drop",IF(AND(J126&gt;0,IFERROR((H126-I126)/H126,0)&gt;=0.65),"Profit product",IF(IFERROR((H126-I126)/H126,0)&gt;=0.5,"Traffic product","Thin - rework"))))</f>
        <v/>
      </c>
    </row>
    <row r="127">
      <c r="G127" s="3" t="n"/>
      <c r="H127" s="3" t="n"/>
      <c r="I127" s="3" t="n"/>
      <c r="J127" s="4">
        <f>IF(A127="","",G127-H127)</f>
        <v/>
      </c>
      <c r="K127" s="4">
        <f>IF(A127="","",H127-I127)</f>
        <v/>
      </c>
      <c r="L127" s="5">
        <f>IF(A127="","",IFERROR((H127-I127)/H127,0))</f>
        <v/>
      </c>
      <c r="M127" s="6">
        <f>IF(A127="","",IF(H127&lt;=I127,"Drop",IF(AND(J127&gt;0,IFERROR((H127-I127)/H127,0)&gt;=0.65),"Profit product",IF(IFERROR((H127-I127)/H127,0)&gt;=0.5,"Traffic product","Thin - rework"))))</f>
        <v/>
      </c>
    </row>
    <row r="128">
      <c r="G128" s="3" t="n"/>
      <c r="H128" s="3" t="n"/>
      <c r="I128" s="3" t="n"/>
      <c r="J128" s="4">
        <f>IF(A128="","",G128-H128)</f>
        <v/>
      </c>
      <c r="K128" s="4">
        <f>IF(A128="","",H128-I128)</f>
        <v/>
      </c>
      <c r="L128" s="5">
        <f>IF(A128="","",IFERROR((H128-I128)/H128,0))</f>
        <v/>
      </c>
      <c r="M128" s="6">
        <f>IF(A128="","",IF(H128&lt;=I128,"Drop",IF(AND(J128&gt;0,IFERROR((H128-I128)/H128,0)&gt;=0.65),"Profit product",IF(IFERROR((H128-I128)/H128,0)&gt;=0.5,"Traffic product","Thin - rework"))))</f>
        <v/>
      </c>
    </row>
    <row r="129">
      <c r="G129" s="3" t="n"/>
      <c r="H129" s="3" t="n"/>
      <c r="I129" s="3" t="n"/>
      <c r="J129" s="4">
        <f>IF(A129="","",G129-H129)</f>
        <v/>
      </c>
      <c r="K129" s="4">
        <f>IF(A129="","",H129-I129)</f>
        <v/>
      </c>
      <c r="L129" s="5">
        <f>IF(A129="","",IFERROR((H129-I129)/H129,0))</f>
        <v/>
      </c>
      <c r="M129" s="6">
        <f>IF(A129="","",IF(H129&lt;=I129,"Drop",IF(AND(J129&gt;0,IFERROR((H129-I129)/H129,0)&gt;=0.65),"Profit product",IF(IFERROR((H129-I129)/H129,0)&gt;=0.5,"Traffic product","Thin - rework"))))</f>
        <v/>
      </c>
    </row>
    <row r="130">
      <c r="G130" s="3" t="n"/>
      <c r="H130" s="3" t="n"/>
      <c r="I130" s="3" t="n"/>
      <c r="J130" s="4">
        <f>IF(A130="","",G130-H130)</f>
        <v/>
      </c>
      <c r="K130" s="4">
        <f>IF(A130="","",H130-I130)</f>
        <v/>
      </c>
      <c r="L130" s="5">
        <f>IF(A130="","",IFERROR((H130-I130)/H130,0))</f>
        <v/>
      </c>
      <c r="M130" s="6">
        <f>IF(A130="","",IF(H130&lt;=I130,"Drop",IF(AND(J130&gt;0,IFERROR((H130-I130)/H130,0)&gt;=0.65),"Profit product",IF(IFERROR((H130-I130)/H130,0)&gt;=0.5,"Traffic product","Thin - rework"))))</f>
        <v/>
      </c>
    </row>
    <row r="131">
      <c r="G131" s="3" t="n"/>
      <c r="H131" s="3" t="n"/>
      <c r="I131" s="3" t="n"/>
      <c r="J131" s="4">
        <f>IF(A131="","",G131-H131)</f>
        <v/>
      </c>
      <c r="K131" s="4">
        <f>IF(A131="","",H131-I131)</f>
        <v/>
      </c>
      <c r="L131" s="5">
        <f>IF(A131="","",IFERROR((H131-I131)/H131,0))</f>
        <v/>
      </c>
      <c r="M131" s="6">
        <f>IF(A131="","",IF(H131&lt;=I131,"Drop",IF(AND(J131&gt;0,IFERROR((H131-I131)/H131,0)&gt;=0.65),"Profit product",IF(IFERROR((H131-I131)/H131,0)&gt;=0.5,"Traffic product","Thin - rework"))))</f>
        <v/>
      </c>
    </row>
    <row r="132">
      <c r="G132" s="3" t="n"/>
      <c r="H132" s="3" t="n"/>
      <c r="I132" s="3" t="n"/>
      <c r="J132" s="4">
        <f>IF(A132="","",G132-H132)</f>
        <v/>
      </c>
      <c r="K132" s="4">
        <f>IF(A132="","",H132-I132)</f>
        <v/>
      </c>
      <c r="L132" s="5">
        <f>IF(A132="","",IFERROR((H132-I132)/H132,0))</f>
        <v/>
      </c>
      <c r="M132" s="6">
        <f>IF(A132="","",IF(H132&lt;=I132,"Drop",IF(AND(J132&gt;0,IFERROR((H132-I132)/H132,0)&gt;=0.65),"Profit product",IF(IFERROR((H132-I132)/H132,0)&gt;=0.5,"Traffic product","Thin - rework"))))</f>
        <v/>
      </c>
    </row>
    <row r="133">
      <c r="G133" s="3" t="n"/>
      <c r="H133" s="3" t="n"/>
      <c r="I133" s="3" t="n"/>
      <c r="J133" s="4">
        <f>IF(A133="","",G133-H133)</f>
        <v/>
      </c>
      <c r="K133" s="4">
        <f>IF(A133="","",H133-I133)</f>
        <v/>
      </c>
      <c r="L133" s="5">
        <f>IF(A133="","",IFERROR((H133-I133)/H133,0))</f>
        <v/>
      </c>
      <c r="M133" s="6">
        <f>IF(A133="","",IF(H133&lt;=I133,"Drop",IF(AND(J133&gt;0,IFERROR((H133-I133)/H133,0)&gt;=0.65),"Profit product",IF(IFERROR((H133-I133)/H133,0)&gt;=0.5,"Traffic product","Thin - rework"))))</f>
        <v/>
      </c>
    </row>
    <row r="134">
      <c r="G134" s="3" t="n"/>
      <c r="H134" s="3" t="n"/>
      <c r="I134" s="3" t="n"/>
      <c r="J134" s="4">
        <f>IF(A134="","",G134-H134)</f>
        <v/>
      </c>
      <c r="K134" s="4">
        <f>IF(A134="","",H134-I134)</f>
        <v/>
      </c>
      <c r="L134" s="5">
        <f>IF(A134="","",IFERROR((H134-I134)/H134,0))</f>
        <v/>
      </c>
      <c r="M134" s="6">
        <f>IF(A134="","",IF(H134&lt;=I134,"Drop",IF(AND(J134&gt;0,IFERROR((H134-I134)/H134,0)&gt;=0.65),"Profit product",IF(IFERROR((H134-I134)/H134,0)&gt;=0.5,"Traffic product","Thin - rework"))))</f>
        <v/>
      </c>
    </row>
    <row r="135">
      <c r="G135" s="3" t="n"/>
      <c r="H135" s="3" t="n"/>
      <c r="I135" s="3" t="n"/>
      <c r="J135" s="4">
        <f>IF(A135="","",G135-H135)</f>
        <v/>
      </c>
      <c r="K135" s="4">
        <f>IF(A135="","",H135-I135)</f>
        <v/>
      </c>
      <c r="L135" s="5">
        <f>IF(A135="","",IFERROR((H135-I135)/H135,0))</f>
        <v/>
      </c>
      <c r="M135" s="6">
        <f>IF(A135="","",IF(H135&lt;=I135,"Drop",IF(AND(J135&gt;0,IFERROR((H135-I135)/H135,0)&gt;=0.65),"Profit product",IF(IFERROR((H135-I135)/H135,0)&gt;=0.5,"Traffic product","Thin - rework"))))</f>
        <v/>
      </c>
    </row>
    <row r="136">
      <c r="G136" s="3" t="n"/>
      <c r="H136" s="3" t="n"/>
      <c r="I136" s="3" t="n"/>
      <c r="J136" s="4">
        <f>IF(A136="","",G136-H136)</f>
        <v/>
      </c>
      <c r="K136" s="4">
        <f>IF(A136="","",H136-I136)</f>
        <v/>
      </c>
      <c r="L136" s="5">
        <f>IF(A136="","",IFERROR((H136-I136)/H136,0))</f>
        <v/>
      </c>
      <c r="M136" s="6">
        <f>IF(A136="","",IF(H136&lt;=I136,"Drop",IF(AND(J136&gt;0,IFERROR((H136-I136)/H136,0)&gt;=0.65),"Profit product",IF(IFERROR((H136-I136)/H136,0)&gt;=0.5,"Traffic product","Thin - rework"))))</f>
        <v/>
      </c>
    </row>
    <row r="137">
      <c r="G137" s="3" t="n"/>
      <c r="H137" s="3" t="n"/>
      <c r="I137" s="3" t="n"/>
      <c r="J137" s="4">
        <f>IF(A137="","",G137-H137)</f>
        <v/>
      </c>
      <c r="K137" s="4">
        <f>IF(A137="","",H137-I137)</f>
        <v/>
      </c>
      <c r="L137" s="5">
        <f>IF(A137="","",IFERROR((H137-I137)/H137,0))</f>
        <v/>
      </c>
      <c r="M137" s="6">
        <f>IF(A137="","",IF(H137&lt;=I137,"Drop",IF(AND(J137&gt;0,IFERROR((H137-I137)/H137,0)&gt;=0.65),"Profit product",IF(IFERROR((H137-I137)/H137,0)&gt;=0.5,"Traffic product","Thin - rework"))))</f>
        <v/>
      </c>
    </row>
    <row r="138">
      <c r="G138" s="3" t="n"/>
      <c r="H138" s="3" t="n"/>
      <c r="I138" s="3" t="n"/>
      <c r="J138" s="4">
        <f>IF(A138="","",G138-H138)</f>
        <v/>
      </c>
      <c r="K138" s="4">
        <f>IF(A138="","",H138-I138)</f>
        <v/>
      </c>
      <c r="L138" s="5">
        <f>IF(A138="","",IFERROR((H138-I138)/H138,0))</f>
        <v/>
      </c>
      <c r="M138" s="6">
        <f>IF(A138="","",IF(H138&lt;=I138,"Drop",IF(AND(J138&gt;0,IFERROR((H138-I138)/H138,0)&gt;=0.65),"Profit product",IF(IFERROR((H138-I138)/H138,0)&gt;=0.5,"Traffic product","Thin - rework"))))</f>
        <v/>
      </c>
    </row>
    <row r="139">
      <c r="G139" s="3" t="n"/>
      <c r="H139" s="3" t="n"/>
      <c r="I139" s="3" t="n"/>
      <c r="J139" s="4">
        <f>IF(A139="","",G139-H139)</f>
        <v/>
      </c>
      <c r="K139" s="4">
        <f>IF(A139="","",H139-I139)</f>
        <v/>
      </c>
      <c r="L139" s="5">
        <f>IF(A139="","",IFERROR((H139-I139)/H139,0))</f>
        <v/>
      </c>
      <c r="M139" s="6">
        <f>IF(A139="","",IF(H139&lt;=I139,"Drop",IF(AND(J139&gt;0,IFERROR((H139-I139)/H139,0)&gt;=0.65),"Profit product",IF(IFERROR((H139-I139)/H139,0)&gt;=0.5,"Traffic product","Thin - rework"))))</f>
        <v/>
      </c>
    </row>
    <row r="140">
      <c r="G140" s="3" t="n"/>
      <c r="H140" s="3" t="n"/>
      <c r="I140" s="3" t="n"/>
      <c r="J140" s="4">
        <f>IF(A140="","",G140-H140)</f>
        <v/>
      </c>
      <c r="K140" s="4">
        <f>IF(A140="","",H140-I140)</f>
        <v/>
      </c>
      <c r="L140" s="5">
        <f>IF(A140="","",IFERROR((H140-I140)/H140,0))</f>
        <v/>
      </c>
      <c r="M140" s="6">
        <f>IF(A140="","",IF(H140&lt;=I140,"Drop",IF(AND(J140&gt;0,IFERROR((H140-I140)/H140,0)&gt;=0.65),"Profit product",IF(IFERROR((H140-I140)/H140,0)&gt;=0.5,"Traffic product","Thin - rework"))))</f>
        <v/>
      </c>
    </row>
    <row r="141">
      <c r="G141" s="3" t="n"/>
      <c r="H141" s="3" t="n"/>
      <c r="I141" s="3" t="n"/>
      <c r="J141" s="4">
        <f>IF(A141="","",G141-H141)</f>
        <v/>
      </c>
      <c r="K141" s="4">
        <f>IF(A141="","",H141-I141)</f>
        <v/>
      </c>
      <c r="L141" s="5">
        <f>IF(A141="","",IFERROR((H141-I141)/H141,0))</f>
        <v/>
      </c>
      <c r="M141" s="6">
        <f>IF(A141="","",IF(H141&lt;=I141,"Drop",IF(AND(J141&gt;0,IFERROR((H141-I141)/H141,0)&gt;=0.65),"Profit product",IF(IFERROR((H141-I141)/H141,0)&gt;=0.5,"Traffic product","Thin - rework"))))</f>
        <v/>
      </c>
    </row>
    <row r="142">
      <c r="G142" s="3" t="n"/>
      <c r="H142" s="3" t="n"/>
      <c r="I142" s="3" t="n"/>
      <c r="J142" s="4">
        <f>IF(A142="","",G142-H142)</f>
        <v/>
      </c>
      <c r="K142" s="4">
        <f>IF(A142="","",H142-I142)</f>
        <v/>
      </c>
      <c r="L142" s="5">
        <f>IF(A142="","",IFERROR((H142-I142)/H142,0))</f>
        <v/>
      </c>
      <c r="M142" s="6">
        <f>IF(A142="","",IF(H142&lt;=I142,"Drop",IF(AND(J142&gt;0,IFERROR((H142-I142)/H142,0)&gt;=0.65),"Profit product",IF(IFERROR((H142-I142)/H142,0)&gt;=0.5,"Traffic product","Thin - rework"))))</f>
        <v/>
      </c>
    </row>
    <row r="143">
      <c r="G143" s="3" t="n"/>
      <c r="H143" s="3" t="n"/>
      <c r="I143" s="3" t="n"/>
      <c r="J143" s="4">
        <f>IF(A143="","",G143-H143)</f>
        <v/>
      </c>
      <c r="K143" s="4">
        <f>IF(A143="","",H143-I143)</f>
        <v/>
      </c>
      <c r="L143" s="5">
        <f>IF(A143="","",IFERROR((H143-I143)/H143,0))</f>
        <v/>
      </c>
      <c r="M143" s="6">
        <f>IF(A143="","",IF(H143&lt;=I143,"Drop",IF(AND(J143&gt;0,IFERROR((H143-I143)/H143,0)&gt;=0.65),"Profit product",IF(IFERROR((H143-I143)/H143,0)&gt;=0.5,"Traffic product","Thin - rework"))))</f>
        <v/>
      </c>
    </row>
    <row r="144">
      <c r="G144" s="3" t="n"/>
      <c r="H144" s="3" t="n"/>
      <c r="I144" s="3" t="n"/>
      <c r="J144" s="4">
        <f>IF(A144="","",G144-H144)</f>
        <v/>
      </c>
      <c r="K144" s="4">
        <f>IF(A144="","",H144-I144)</f>
        <v/>
      </c>
      <c r="L144" s="5">
        <f>IF(A144="","",IFERROR((H144-I144)/H144,0))</f>
        <v/>
      </c>
      <c r="M144" s="6">
        <f>IF(A144="","",IF(H144&lt;=I144,"Drop",IF(AND(J144&gt;0,IFERROR((H144-I144)/H144,0)&gt;=0.65),"Profit product",IF(IFERROR((H144-I144)/H144,0)&gt;=0.5,"Traffic product","Thin - rework"))))</f>
        <v/>
      </c>
    </row>
    <row r="145">
      <c r="G145" s="3" t="n"/>
      <c r="H145" s="3" t="n"/>
      <c r="I145" s="3" t="n"/>
      <c r="J145" s="4">
        <f>IF(A145="","",G145-H145)</f>
        <v/>
      </c>
      <c r="K145" s="4">
        <f>IF(A145="","",H145-I145)</f>
        <v/>
      </c>
      <c r="L145" s="5">
        <f>IF(A145="","",IFERROR((H145-I145)/H145,0))</f>
        <v/>
      </c>
      <c r="M145" s="6">
        <f>IF(A145="","",IF(H145&lt;=I145,"Drop",IF(AND(J145&gt;0,IFERROR((H145-I145)/H145,0)&gt;=0.65),"Profit product",IF(IFERROR((H145-I145)/H145,0)&gt;=0.5,"Traffic product","Thin - rework"))))</f>
        <v/>
      </c>
    </row>
    <row r="146">
      <c r="G146" s="3" t="n"/>
      <c r="H146" s="3" t="n"/>
      <c r="I146" s="3" t="n"/>
      <c r="J146" s="4">
        <f>IF(A146="","",G146-H146)</f>
        <v/>
      </c>
      <c r="K146" s="4">
        <f>IF(A146="","",H146-I146)</f>
        <v/>
      </c>
      <c r="L146" s="5">
        <f>IF(A146="","",IFERROR((H146-I146)/H146,0))</f>
        <v/>
      </c>
      <c r="M146" s="6">
        <f>IF(A146="","",IF(H146&lt;=I146,"Drop",IF(AND(J146&gt;0,IFERROR((H146-I146)/H146,0)&gt;=0.65),"Profit product",IF(IFERROR((H146-I146)/H146,0)&gt;=0.5,"Traffic product","Thin - rework"))))</f>
        <v/>
      </c>
    </row>
    <row r="147">
      <c r="G147" s="3" t="n"/>
      <c r="H147" s="3" t="n"/>
      <c r="I147" s="3" t="n"/>
      <c r="J147" s="4">
        <f>IF(A147="","",G147-H147)</f>
        <v/>
      </c>
      <c r="K147" s="4">
        <f>IF(A147="","",H147-I147)</f>
        <v/>
      </c>
      <c r="L147" s="5">
        <f>IF(A147="","",IFERROR((H147-I147)/H147,0))</f>
        <v/>
      </c>
      <c r="M147" s="6">
        <f>IF(A147="","",IF(H147&lt;=I147,"Drop",IF(AND(J147&gt;0,IFERROR((H147-I147)/H147,0)&gt;=0.65),"Profit product",IF(IFERROR((H147-I147)/H147,0)&gt;=0.5,"Traffic product","Thin - rework"))))</f>
        <v/>
      </c>
    </row>
    <row r="148">
      <c r="G148" s="3" t="n"/>
      <c r="H148" s="3" t="n"/>
      <c r="I148" s="3" t="n"/>
      <c r="J148" s="4">
        <f>IF(A148="","",G148-H148)</f>
        <v/>
      </c>
      <c r="K148" s="4">
        <f>IF(A148="","",H148-I148)</f>
        <v/>
      </c>
      <c r="L148" s="5">
        <f>IF(A148="","",IFERROR((H148-I148)/H148,0))</f>
        <v/>
      </c>
      <c r="M148" s="6">
        <f>IF(A148="","",IF(H148&lt;=I148,"Drop",IF(AND(J148&gt;0,IFERROR((H148-I148)/H148,0)&gt;=0.65),"Profit product",IF(IFERROR((H148-I148)/H148,0)&gt;=0.5,"Traffic product","Thin - rework"))))</f>
        <v/>
      </c>
    </row>
    <row r="149">
      <c r="G149" s="3" t="n"/>
      <c r="H149" s="3" t="n"/>
      <c r="I149" s="3" t="n"/>
      <c r="J149" s="4">
        <f>IF(A149="","",G149-H149)</f>
        <v/>
      </c>
      <c r="K149" s="4">
        <f>IF(A149="","",H149-I149)</f>
        <v/>
      </c>
      <c r="L149" s="5">
        <f>IF(A149="","",IFERROR((H149-I149)/H149,0))</f>
        <v/>
      </c>
      <c r="M149" s="6">
        <f>IF(A149="","",IF(H149&lt;=I149,"Drop",IF(AND(J149&gt;0,IFERROR((H149-I149)/H149,0)&gt;=0.65),"Profit product",IF(IFERROR((H149-I149)/H149,0)&gt;=0.5,"Traffic product","Thin - rework"))))</f>
        <v/>
      </c>
    </row>
    <row r="150">
      <c r="G150" s="3" t="n"/>
      <c r="H150" s="3" t="n"/>
      <c r="I150" s="3" t="n"/>
      <c r="J150" s="4">
        <f>IF(A150="","",G150-H150)</f>
        <v/>
      </c>
      <c r="K150" s="4">
        <f>IF(A150="","",H150-I150)</f>
        <v/>
      </c>
      <c r="L150" s="5">
        <f>IF(A150="","",IFERROR((H150-I150)/H150,0))</f>
        <v/>
      </c>
      <c r="M150" s="6">
        <f>IF(A150="","",IF(H150&lt;=I150,"Drop",IF(AND(J150&gt;0,IFERROR((H150-I150)/H150,0)&gt;=0.65),"Profit product",IF(IFERROR((H150-I150)/H150,0)&gt;=0.5,"Traffic product","Thin - rework"))))</f>
        <v/>
      </c>
    </row>
    <row r="151">
      <c r="G151" s="3" t="n"/>
      <c r="H151" s="3" t="n"/>
      <c r="I151" s="3" t="n"/>
      <c r="J151" s="4">
        <f>IF(A151="","",G151-H151)</f>
        <v/>
      </c>
      <c r="K151" s="4">
        <f>IF(A151="","",H151-I151)</f>
        <v/>
      </c>
      <c r="L151" s="5">
        <f>IF(A151="","",IFERROR((H151-I151)/H151,0))</f>
        <v/>
      </c>
      <c r="M151" s="6">
        <f>IF(A151="","",IF(H151&lt;=I151,"Drop",IF(AND(J151&gt;0,IFERROR((H151-I151)/H151,0)&gt;=0.65),"Profit product",IF(IFERROR((H151-I151)/H151,0)&gt;=0.5,"Traffic product","Thin - rework"))))</f>
        <v/>
      </c>
    </row>
    <row r="152">
      <c r="G152" s="3" t="n"/>
      <c r="H152" s="3" t="n"/>
      <c r="I152" s="3" t="n"/>
      <c r="J152" s="4">
        <f>IF(A152="","",G152-H152)</f>
        <v/>
      </c>
      <c r="K152" s="4">
        <f>IF(A152="","",H152-I152)</f>
        <v/>
      </c>
      <c r="L152" s="5">
        <f>IF(A152="","",IFERROR((H152-I152)/H152,0))</f>
        <v/>
      </c>
      <c r="M152" s="6">
        <f>IF(A152="","",IF(H152&lt;=I152,"Drop",IF(AND(J152&gt;0,IFERROR((H152-I152)/H152,0)&gt;=0.65),"Profit product",IF(IFERROR((H152-I152)/H152,0)&gt;=0.5,"Traffic product","Thin - rework"))))</f>
        <v/>
      </c>
    </row>
    <row r="153">
      <c r="G153" s="3" t="n"/>
      <c r="H153" s="3" t="n"/>
      <c r="I153" s="3" t="n"/>
      <c r="J153" s="4">
        <f>IF(A153="","",G153-H153)</f>
        <v/>
      </c>
      <c r="K153" s="4">
        <f>IF(A153="","",H153-I153)</f>
        <v/>
      </c>
      <c r="L153" s="5">
        <f>IF(A153="","",IFERROR((H153-I153)/H153,0))</f>
        <v/>
      </c>
      <c r="M153" s="6">
        <f>IF(A153="","",IF(H153&lt;=I153,"Drop",IF(AND(J153&gt;0,IFERROR((H153-I153)/H153,0)&gt;=0.65),"Profit product",IF(IFERROR((H153-I153)/H153,0)&gt;=0.5,"Traffic product","Thin - rework"))))</f>
        <v/>
      </c>
    </row>
    <row r="154">
      <c r="G154" s="3" t="n"/>
      <c r="H154" s="3" t="n"/>
      <c r="I154" s="3" t="n"/>
      <c r="J154" s="4">
        <f>IF(A154="","",G154-H154)</f>
        <v/>
      </c>
      <c r="K154" s="4">
        <f>IF(A154="","",H154-I154)</f>
        <v/>
      </c>
      <c r="L154" s="5">
        <f>IF(A154="","",IFERROR((H154-I154)/H154,0))</f>
        <v/>
      </c>
      <c r="M154" s="6">
        <f>IF(A154="","",IF(H154&lt;=I154,"Drop",IF(AND(J154&gt;0,IFERROR((H154-I154)/H154,0)&gt;=0.65),"Profit product",IF(IFERROR((H154-I154)/H154,0)&gt;=0.5,"Traffic product","Thin - rework"))))</f>
        <v/>
      </c>
    </row>
    <row r="155">
      <c r="G155" s="3" t="n"/>
      <c r="H155" s="3" t="n"/>
      <c r="I155" s="3" t="n"/>
      <c r="J155" s="4">
        <f>IF(A155="","",G155-H155)</f>
        <v/>
      </c>
      <c r="K155" s="4">
        <f>IF(A155="","",H155-I155)</f>
        <v/>
      </c>
      <c r="L155" s="5">
        <f>IF(A155="","",IFERROR((H155-I155)/H155,0))</f>
        <v/>
      </c>
      <c r="M155" s="6">
        <f>IF(A155="","",IF(H155&lt;=I155,"Drop",IF(AND(J155&gt;0,IFERROR((H155-I155)/H155,0)&gt;=0.65),"Profit product",IF(IFERROR((H155-I155)/H155,0)&gt;=0.5,"Traffic product","Thin - rework"))))</f>
        <v/>
      </c>
    </row>
    <row r="156">
      <c r="G156" s="3" t="n"/>
      <c r="H156" s="3" t="n"/>
      <c r="I156" s="3" t="n"/>
      <c r="J156" s="4">
        <f>IF(A156="","",G156-H156)</f>
        <v/>
      </c>
      <c r="K156" s="4">
        <f>IF(A156="","",H156-I156)</f>
        <v/>
      </c>
      <c r="L156" s="5">
        <f>IF(A156="","",IFERROR((H156-I156)/H156,0))</f>
        <v/>
      </c>
      <c r="M156" s="6">
        <f>IF(A156="","",IF(H156&lt;=I156,"Drop",IF(AND(J156&gt;0,IFERROR((H156-I156)/H156,0)&gt;=0.65),"Profit product",IF(IFERROR((H156-I156)/H156,0)&gt;=0.5,"Traffic product","Thin - rework"))))</f>
        <v/>
      </c>
    </row>
    <row r="157">
      <c r="G157" s="3" t="n"/>
      <c r="H157" s="3" t="n"/>
      <c r="I157" s="3" t="n"/>
      <c r="J157" s="4">
        <f>IF(A157="","",G157-H157)</f>
        <v/>
      </c>
      <c r="K157" s="4">
        <f>IF(A157="","",H157-I157)</f>
        <v/>
      </c>
      <c r="L157" s="5">
        <f>IF(A157="","",IFERROR((H157-I157)/H157,0))</f>
        <v/>
      </c>
      <c r="M157" s="6">
        <f>IF(A157="","",IF(H157&lt;=I157,"Drop",IF(AND(J157&gt;0,IFERROR((H157-I157)/H157,0)&gt;=0.65),"Profit product",IF(IFERROR((H157-I157)/H157,0)&gt;=0.5,"Traffic product","Thin - rework"))))</f>
        <v/>
      </c>
    </row>
    <row r="158">
      <c r="G158" s="3" t="n"/>
      <c r="H158" s="3" t="n"/>
      <c r="I158" s="3" t="n"/>
      <c r="J158" s="4">
        <f>IF(A158="","",G158-H158)</f>
        <v/>
      </c>
      <c r="K158" s="4">
        <f>IF(A158="","",H158-I158)</f>
        <v/>
      </c>
      <c r="L158" s="5">
        <f>IF(A158="","",IFERROR((H158-I158)/H158,0))</f>
        <v/>
      </c>
      <c r="M158" s="6">
        <f>IF(A158="","",IF(H158&lt;=I158,"Drop",IF(AND(J158&gt;0,IFERROR((H158-I158)/H158,0)&gt;=0.65),"Profit product",IF(IFERROR((H158-I158)/H158,0)&gt;=0.5,"Traffic product","Thin - rework"))))</f>
        <v/>
      </c>
    </row>
    <row r="159">
      <c r="G159" s="3" t="n"/>
      <c r="H159" s="3" t="n"/>
      <c r="I159" s="3" t="n"/>
      <c r="J159" s="4">
        <f>IF(A159="","",G159-H159)</f>
        <v/>
      </c>
      <c r="K159" s="4">
        <f>IF(A159="","",H159-I159)</f>
        <v/>
      </c>
      <c r="L159" s="5">
        <f>IF(A159="","",IFERROR((H159-I159)/H159,0))</f>
        <v/>
      </c>
      <c r="M159" s="6">
        <f>IF(A159="","",IF(H159&lt;=I159,"Drop",IF(AND(J159&gt;0,IFERROR((H159-I159)/H159,0)&gt;=0.65),"Profit product",IF(IFERROR((H159-I159)/H159,0)&gt;=0.5,"Traffic product","Thin - rework"))))</f>
        <v/>
      </c>
    </row>
    <row r="160">
      <c r="G160" s="3" t="n"/>
      <c r="H160" s="3" t="n"/>
      <c r="I160" s="3" t="n"/>
      <c r="J160" s="4">
        <f>IF(A160="","",G160-H160)</f>
        <v/>
      </c>
      <c r="K160" s="4">
        <f>IF(A160="","",H160-I160)</f>
        <v/>
      </c>
      <c r="L160" s="5">
        <f>IF(A160="","",IFERROR((H160-I160)/H160,0))</f>
        <v/>
      </c>
      <c r="M160" s="6">
        <f>IF(A160="","",IF(H160&lt;=I160,"Drop",IF(AND(J160&gt;0,IFERROR((H160-I160)/H160,0)&gt;=0.65),"Profit product",IF(IFERROR((H160-I160)/H160,0)&gt;=0.5,"Traffic product","Thin - rework"))))</f>
        <v/>
      </c>
    </row>
    <row r="161">
      <c r="G161" s="3" t="n"/>
      <c r="H161" s="3" t="n"/>
      <c r="I161" s="3" t="n"/>
      <c r="J161" s="4">
        <f>IF(A161="","",G161-H161)</f>
        <v/>
      </c>
      <c r="K161" s="4">
        <f>IF(A161="","",H161-I161)</f>
        <v/>
      </c>
      <c r="L161" s="5">
        <f>IF(A161="","",IFERROR((H161-I161)/H161,0))</f>
        <v/>
      </c>
      <c r="M161" s="6">
        <f>IF(A161="","",IF(H161&lt;=I161,"Drop",IF(AND(J161&gt;0,IFERROR((H161-I161)/H161,0)&gt;=0.65),"Profit product",IF(IFERROR((H161-I161)/H161,0)&gt;=0.5,"Traffic product","Thin - rework"))))</f>
        <v/>
      </c>
    </row>
    <row r="162">
      <c r="G162" s="3" t="n"/>
      <c r="H162" s="3" t="n"/>
      <c r="I162" s="3" t="n"/>
      <c r="J162" s="4">
        <f>IF(A162="","",G162-H162)</f>
        <v/>
      </c>
      <c r="K162" s="4">
        <f>IF(A162="","",H162-I162)</f>
        <v/>
      </c>
      <c r="L162" s="5">
        <f>IF(A162="","",IFERROR((H162-I162)/H162,0))</f>
        <v/>
      </c>
      <c r="M162" s="6">
        <f>IF(A162="","",IF(H162&lt;=I162,"Drop",IF(AND(J162&gt;0,IFERROR((H162-I162)/H162,0)&gt;=0.65),"Profit product",IF(IFERROR((H162-I162)/H162,0)&gt;=0.5,"Traffic product","Thin - rework"))))</f>
        <v/>
      </c>
    </row>
    <row r="163">
      <c r="G163" s="3" t="n"/>
      <c r="H163" s="3" t="n"/>
      <c r="I163" s="3" t="n"/>
      <c r="J163" s="4">
        <f>IF(A163="","",G163-H163)</f>
        <v/>
      </c>
      <c r="K163" s="4">
        <f>IF(A163="","",H163-I163)</f>
        <v/>
      </c>
      <c r="L163" s="5">
        <f>IF(A163="","",IFERROR((H163-I163)/H163,0))</f>
        <v/>
      </c>
      <c r="M163" s="6">
        <f>IF(A163="","",IF(H163&lt;=I163,"Drop",IF(AND(J163&gt;0,IFERROR((H163-I163)/H163,0)&gt;=0.65),"Profit product",IF(IFERROR((H163-I163)/H163,0)&gt;=0.5,"Traffic product","Thin - rework"))))</f>
        <v/>
      </c>
    </row>
    <row r="164">
      <c r="G164" s="3" t="n"/>
      <c r="H164" s="3" t="n"/>
      <c r="I164" s="3" t="n"/>
      <c r="J164" s="4">
        <f>IF(A164="","",G164-H164)</f>
        <v/>
      </c>
      <c r="K164" s="4">
        <f>IF(A164="","",H164-I164)</f>
        <v/>
      </c>
      <c r="L164" s="5">
        <f>IF(A164="","",IFERROR((H164-I164)/H164,0))</f>
        <v/>
      </c>
      <c r="M164" s="6">
        <f>IF(A164="","",IF(H164&lt;=I164,"Drop",IF(AND(J164&gt;0,IFERROR((H164-I164)/H164,0)&gt;=0.65),"Profit product",IF(IFERROR((H164-I164)/H164,0)&gt;=0.5,"Traffic product","Thin - rework"))))</f>
        <v/>
      </c>
    </row>
    <row r="165">
      <c r="G165" s="3" t="n"/>
      <c r="H165" s="3" t="n"/>
      <c r="I165" s="3" t="n"/>
      <c r="J165" s="4">
        <f>IF(A165="","",G165-H165)</f>
        <v/>
      </c>
      <c r="K165" s="4">
        <f>IF(A165="","",H165-I165)</f>
        <v/>
      </c>
      <c r="L165" s="5">
        <f>IF(A165="","",IFERROR((H165-I165)/H165,0))</f>
        <v/>
      </c>
      <c r="M165" s="6">
        <f>IF(A165="","",IF(H165&lt;=I165,"Drop",IF(AND(J165&gt;0,IFERROR((H165-I165)/H165,0)&gt;=0.65),"Profit product",IF(IFERROR((H165-I165)/H165,0)&gt;=0.5,"Traffic product","Thin - rework"))))</f>
        <v/>
      </c>
    </row>
    <row r="166">
      <c r="G166" s="3" t="n"/>
      <c r="H166" s="3" t="n"/>
      <c r="I166" s="3" t="n"/>
      <c r="J166" s="4">
        <f>IF(A166="","",G166-H166)</f>
        <v/>
      </c>
      <c r="K166" s="4">
        <f>IF(A166="","",H166-I166)</f>
        <v/>
      </c>
      <c r="L166" s="5">
        <f>IF(A166="","",IFERROR((H166-I166)/H166,0))</f>
        <v/>
      </c>
      <c r="M166" s="6">
        <f>IF(A166="","",IF(H166&lt;=I166,"Drop",IF(AND(J166&gt;0,IFERROR((H166-I166)/H166,0)&gt;=0.65),"Profit product",IF(IFERROR((H166-I166)/H166,0)&gt;=0.5,"Traffic product","Thin - rework"))))</f>
        <v/>
      </c>
    </row>
    <row r="167">
      <c r="G167" s="3" t="n"/>
      <c r="H167" s="3" t="n"/>
      <c r="I167" s="3" t="n"/>
      <c r="J167" s="4">
        <f>IF(A167="","",G167-H167)</f>
        <v/>
      </c>
      <c r="K167" s="4">
        <f>IF(A167="","",H167-I167)</f>
        <v/>
      </c>
      <c r="L167" s="5">
        <f>IF(A167="","",IFERROR((H167-I167)/H167,0))</f>
        <v/>
      </c>
      <c r="M167" s="6">
        <f>IF(A167="","",IF(H167&lt;=I167,"Drop",IF(AND(J167&gt;0,IFERROR((H167-I167)/H167,0)&gt;=0.65),"Profit product",IF(IFERROR((H167-I167)/H167,0)&gt;=0.5,"Traffic product","Thin - rework"))))</f>
        <v/>
      </c>
    </row>
    <row r="168">
      <c r="G168" s="3" t="n"/>
      <c r="H168" s="3" t="n"/>
      <c r="I168" s="3" t="n"/>
      <c r="J168" s="4">
        <f>IF(A168="","",G168-H168)</f>
        <v/>
      </c>
      <c r="K168" s="4">
        <f>IF(A168="","",H168-I168)</f>
        <v/>
      </c>
      <c r="L168" s="5">
        <f>IF(A168="","",IFERROR((H168-I168)/H168,0))</f>
        <v/>
      </c>
      <c r="M168" s="6">
        <f>IF(A168="","",IF(H168&lt;=I168,"Drop",IF(AND(J168&gt;0,IFERROR((H168-I168)/H168,0)&gt;=0.65),"Profit product",IF(IFERROR((H168-I168)/H168,0)&gt;=0.5,"Traffic product","Thin - rework"))))</f>
        <v/>
      </c>
    </row>
    <row r="169">
      <c r="G169" s="3" t="n"/>
      <c r="H169" s="3" t="n"/>
      <c r="I169" s="3" t="n"/>
      <c r="J169" s="4">
        <f>IF(A169="","",G169-H169)</f>
        <v/>
      </c>
      <c r="K169" s="4">
        <f>IF(A169="","",H169-I169)</f>
        <v/>
      </c>
      <c r="L169" s="5">
        <f>IF(A169="","",IFERROR((H169-I169)/H169,0))</f>
        <v/>
      </c>
      <c r="M169" s="6">
        <f>IF(A169="","",IF(H169&lt;=I169,"Drop",IF(AND(J169&gt;0,IFERROR((H169-I169)/H169,0)&gt;=0.65),"Profit product",IF(IFERROR((H169-I169)/H169,0)&gt;=0.5,"Traffic product","Thin - rework"))))</f>
        <v/>
      </c>
    </row>
    <row r="170">
      <c r="G170" s="3" t="n"/>
      <c r="H170" s="3" t="n"/>
      <c r="I170" s="3" t="n"/>
      <c r="J170" s="4">
        <f>IF(A170="","",G170-H170)</f>
        <v/>
      </c>
      <c r="K170" s="4">
        <f>IF(A170="","",H170-I170)</f>
        <v/>
      </c>
      <c r="L170" s="5">
        <f>IF(A170="","",IFERROR((H170-I170)/H170,0))</f>
        <v/>
      </c>
      <c r="M170" s="6">
        <f>IF(A170="","",IF(H170&lt;=I170,"Drop",IF(AND(J170&gt;0,IFERROR((H170-I170)/H170,0)&gt;=0.65),"Profit product",IF(IFERROR((H170-I170)/H170,0)&gt;=0.5,"Traffic product","Thin - rework"))))</f>
        <v/>
      </c>
    </row>
    <row r="171">
      <c r="G171" s="3" t="n"/>
      <c r="H171" s="3" t="n"/>
      <c r="I171" s="3" t="n"/>
      <c r="J171" s="4">
        <f>IF(A171="","",G171-H171)</f>
        <v/>
      </c>
      <c r="K171" s="4">
        <f>IF(A171="","",H171-I171)</f>
        <v/>
      </c>
      <c r="L171" s="5">
        <f>IF(A171="","",IFERROR((H171-I171)/H171,0))</f>
        <v/>
      </c>
      <c r="M171" s="6">
        <f>IF(A171="","",IF(H171&lt;=I171,"Drop",IF(AND(J171&gt;0,IFERROR((H171-I171)/H171,0)&gt;=0.65),"Profit product",IF(IFERROR((H171-I171)/H171,0)&gt;=0.5,"Traffic product","Thin - rework"))))</f>
        <v/>
      </c>
    </row>
    <row r="172">
      <c r="G172" s="3" t="n"/>
      <c r="H172" s="3" t="n"/>
      <c r="I172" s="3" t="n"/>
      <c r="J172" s="4">
        <f>IF(A172="","",G172-H172)</f>
        <v/>
      </c>
      <c r="K172" s="4">
        <f>IF(A172="","",H172-I172)</f>
        <v/>
      </c>
      <c r="L172" s="5">
        <f>IF(A172="","",IFERROR((H172-I172)/H172,0))</f>
        <v/>
      </c>
      <c r="M172" s="6">
        <f>IF(A172="","",IF(H172&lt;=I172,"Drop",IF(AND(J172&gt;0,IFERROR((H172-I172)/H172,0)&gt;=0.65),"Profit product",IF(IFERROR((H172-I172)/H172,0)&gt;=0.5,"Traffic product","Thin - rework"))))</f>
        <v/>
      </c>
    </row>
    <row r="173">
      <c r="G173" s="3" t="n"/>
      <c r="H173" s="3" t="n"/>
      <c r="I173" s="3" t="n"/>
      <c r="J173" s="4">
        <f>IF(A173="","",G173-H173)</f>
        <v/>
      </c>
      <c r="K173" s="4">
        <f>IF(A173="","",H173-I173)</f>
        <v/>
      </c>
      <c r="L173" s="5">
        <f>IF(A173="","",IFERROR((H173-I173)/H173,0))</f>
        <v/>
      </c>
      <c r="M173" s="6">
        <f>IF(A173="","",IF(H173&lt;=I173,"Drop",IF(AND(J173&gt;0,IFERROR((H173-I173)/H173,0)&gt;=0.65),"Profit product",IF(IFERROR((H173-I173)/H173,0)&gt;=0.5,"Traffic product","Thin - rework"))))</f>
        <v/>
      </c>
    </row>
    <row r="174">
      <c r="G174" s="3" t="n"/>
      <c r="H174" s="3" t="n"/>
      <c r="I174" s="3" t="n"/>
      <c r="J174" s="4">
        <f>IF(A174="","",G174-H174)</f>
        <v/>
      </c>
      <c r="K174" s="4">
        <f>IF(A174="","",H174-I174)</f>
        <v/>
      </c>
      <c r="L174" s="5">
        <f>IF(A174="","",IFERROR((H174-I174)/H174,0))</f>
        <v/>
      </c>
      <c r="M174" s="6">
        <f>IF(A174="","",IF(H174&lt;=I174,"Drop",IF(AND(J174&gt;0,IFERROR((H174-I174)/H174,0)&gt;=0.65),"Profit product",IF(IFERROR((H174-I174)/H174,0)&gt;=0.5,"Traffic product","Thin - rework"))))</f>
        <v/>
      </c>
    </row>
    <row r="175">
      <c r="G175" s="3" t="n"/>
      <c r="H175" s="3" t="n"/>
      <c r="I175" s="3" t="n"/>
      <c r="J175" s="4">
        <f>IF(A175="","",G175-H175)</f>
        <v/>
      </c>
      <c r="K175" s="4">
        <f>IF(A175="","",H175-I175)</f>
        <v/>
      </c>
      <c r="L175" s="5">
        <f>IF(A175="","",IFERROR((H175-I175)/H175,0))</f>
        <v/>
      </c>
      <c r="M175" s="6">
        <f>IF(A175="","",IF(H175&lt;=I175,"Drop",IF(AND(J175&gt;0,IFERROR((H175-I175)/H175,0)&gt;=0.65),"Profit product",IF(IFERROR((H175-I175)/H175,0)&gt;=0.5,"Traffic product","Thin - rework"))))</f>
        <v/>
      </c>
    </row>
    <row r="176">
      <c r="G176" s="3" t="n"/>
      <c r="H176" s="3" t="n"/>
      <c r="I176" s="3" t="n"/>
      <c r="J176" s="4">
        <f>IF(A176="","",G176-H176)</f>
        <v/>
      </c>
      <c r="K176" s="4">
        <f>IF(A176="","",H176-I176)</f>
        <v/>
      </c>
      <c r="L176" s="5">
        <f>IF(A176="","",IFERROR((H176-I176)/H176,0))</f>
        <v/>
      </c>
      <c r="M176" s="6">
        <f>IF(A176="","",IF(H176&lt;=I176,"Drop",IF(AND(J176&gt;0,IFERROR((H176-I176)/H176,0)&gt;=0.65),"Profit product",IF(IFERROR((H176-I176)/H176,0)&gt;=0.5,"Traffic product","Thin - rework"))))</f>
        <v/>
      </c>
    </row>
    <row r="177">
      <c r="G177" s="3" t="n"/>
      <c r="H177" s="3" t="n"/>
      <c r="I177" s="3" t="n"/>
      <c r="J177" s="4">
        <f>IF(A177="","",G177-H177)</f>
        <v/>
      </c>
      <c r="K177" s="4">
        <f>IF(A177="","",H177-I177)</f>
        <v/>
      </c>
      <c r="L177" s="5">
        <f>IF(A177="","",IFERROR((H177-I177)/H177,0))</f>
        <v/>
      </c>
      <c r="M177" s="6">
        <f>IF(A177="","",IF(H177&lt;=I177,"Drop",IF(AND(J177&gt;0,IFERROR((H177-I177)/H177,0)&gt;=0.65),"Profit product",IF(IFERROR((H177-I177)/H177,0)&gt;=0.5,"Traffic product","Thin - rework"))))</f>
        <v/>
      </c>
    </row>
    <row r="178">
      <c r="G178" s="3" t="n"/>
      <c r="H178" s="3" t="n"/>
      <c r="I178" s="3" t="n"/>
      <c r="J178" s="4">
        <f>IF(A178="","",G178-H178)</f>
        <v/>
      </c>
      <c r="K178" s="4">
        <f>IF(A178="","",H178-I178)</f>
        <v/>
      </c>
      <c r="L178" s="5">
        <f>IF(A178="","",IFERROR((H178-I178)/H178,0))</f>
        <v/>
      </c>
      <c r="M178" s="6">
        <f>IF(A178="","",IF(H178&lt;=I178,"Drop",IF(AND(J178&gt;0,IFERROR((H178-I178)/H178,0)&gt;=0.65),"Profit product",IF(IFERROR((H178-I178)/H178,0)&gt;=0.5,"Traffic product","Thin - rework"))))</f>
        <v/>
      </c>
    </row>
    <row r="179">
      <c r="G179" s="3" t="n"/>
      <c r="H179" s="3" t="n"/>
      <c r="I179" s="3" t="n"/>
      <c r="J179" s="4">
        <f>IF(A179="","",G179-H179)</f>
        <v/>
      </c>
      <c r="K179" s="4">
        <f>IF(A179="","",H179-I179)</f>
        <v/>
      </c>
      <c r="L179" s="5">
        <f>IF(A179="","",IFERROR((H179-I179)/H179,0))</f>
        <v/>
      </c>
      <c r="M179" s="6">
        <f>IF(A179="","",IF(H179&lt;=I179,"Drop",IF(AND(J179&gt;0,IFERROR((H179-I179)/H179,0)&gt;=0.65),"Profit product",IF(IFERROR((H179-I179)/H179,0)&gt;=0.5,"Traffic product","Thin - rework"))))</f>
        <v/>
      </c>
    </row>
    <row r="180">
      <c r="G180" s="3" t="n"/>
      <c r="H180" s="3" t="n"/>
      <c r="I180" s="3" t="n"/>
      <c r="J180" s="4">
        <f>IF(A180="","",G180-H180)</f>
        <v/>
      </c>
      <c r="K180" s="4">
        <f>IF(A180="","",H180-I180)</f>
        <v/>
      </c>
      <c r="L180" s="5">
        <f>IF(A180="","",IFERROR((H180-I180)/H180,0))</f>
        <v/>
      </c>
      <c r="M180" s="6">
        <f>IF(A180="","",IF(H180&lt;=I180,"Drop",IF(AND(J180&gt;0,IFERROR((H180-I180)/H180,0)&gt;=0.65),"Profit product",IF(IFERROR((H180-I180)/H180,0)&gt;=0.5,"Traffic product","Thin - rework"))))</f>
        <v/>
      </c>
    </row>
    <row r="181">
      <c r="G181" s="3" t="n"/>
      <c r="H181" s="3" t="n"/>
      <c r="I181" s="3" t="n"/>
      <c r="J181" s="4">
        <f>IF(A181="","",G181-H181)</f>
        <v/>
      </c>
      <c r="K181" s="4">
        <f>IF(A181="","",H181-I181)</f>
        <v/>
      </c>
      <c r="L181" s="5">
        <f>IF(A181="","",IFERROR((H181-I181)/H181,0))</f>
        <v/>
      </c>
      <c r="M181" s="6">
        <f>IF(A181="","",IF(H181&lt;=I181,"Drop",IF(AND(J181&gt;0,IFERROR((H181-I181)/H181,0)&gt;=0.65),"Profit product",IF(IFERROR((H181-I181)/H181,0)&gt;=0.5,"Traffic product","Thin - rework"))))</f>
        <v/>
      </c>
    </row>
    <row r="182">
      <c r="G182" s="3" t="n"/>
      <c r="H182" s="3" t="n"/>
      <c r="I182" s="3" t="n"/>
      <c r="J182" s="4">
        <f>IF(A182="","",G182-H182)</f>
        <v/>
      </c>
      <c r="K182" s="4">
        <f>IF(A182="","",H182-I182)</f>
        <v/>
      </c>
      <c r="L182" s="5">
        <f>IF(A182="","",IFERROR((H182-I182)/H182,0))</f>
        <v/>
      </c>
      <c r="M182" s="6">
        <f>IF(A182="","",IF(H182&lt;=I182,"Drop",IF(AND(J182&gt;0,IFERROR((H182-I182)/H182,0)&gt;=0.65),"Profit product",IF(IFERROR((H182-I182)/H182,0)&gt;=0.5,"Traffic product","Thin - rework"))))</f>
        <v/>
      </c>
    </row>
    <row r="183">
      <c r="G183" s="3" t="n"/>
      <c r="H183" s="3" t="n"/>
      <c r="I183" s="3" t="n"/>
      <c r="J183" s="4">
        <f>IF(A183="","",G183-H183)</f>
        <v/>
      </c>
      <c r="K183" s="4">
        <f>IF(A183="","",H183-I183)</f>
        <v/>
      </c>
      <c r="L183" s="5">
        <f>IF(A183="","",IFERROR((H183-I183)/H183,0))</f>
        <v/>
      </c>
      <c r="M183" s="6">
        <f>IF(A183="","",IF(H183&lt;=I183,"Drop",IF(AND(J183&gt;0,IFERROR((H183-I183)/H183,0)&gt;=0.65),"Profit product",IF(IFERROR((H183-I183)/H183,0)&gt;=0.5,"Traffic product","Thin - rework"))))</f>
        <v/>
      </c>
    </row>
    <row r="184">
      <c r="G184" s="3" t="n"/>
      <c r="H184" s="3" t="n"/>
      <c r="I184" s="3" t="n"/>
      <c r="J184" s="4">
        <f>IF(A184="","",G184-H184)</f>
        <v/>
      </c>
      <c r="K184" s="4">
        <f>IF(A184="","",H184-I184)</f>
        <v/>
      </c>
      <c r="L184" s="5">
        <f>IF(A184="","",IFERROR((H184-I184)/H184,0))</f>
        <v/>
      </c>
      <c r="M184" s="6">
        <f>IF(A184="","",IF(H184&lt;=I184,"Drop",IF(AND(J184&gt;0,IFERROR((H184-I184)/H184,0)&gt;=0.65),"Profit product",IF(IFERROR((H184-I184)/H184,0)&gt;=0.5,"Traffic product","Thin - rework"))))</f>
        <v/>
      </c>
    </row>
    <row r="185">
      <c r="G185" s="3" t="n"/>
      <c r="H185" s="3" t="n"/>
      <c r="I185" s="3" t="n"/>
      <c r="J185" s="4">
        <f>IF(A185="","",G185-H185)</f>
        <v/>
      </c>
      <c r="K185" s="4">
        <f>IF(A185="","",H185-I185)</f>
        <v/>
      </c>
      <c r="L185" s="5">
        <f>IF(A185="","",IFERROR((H185-I185)/H185,0))</f>
        <v/>
      </c>
      <c r="M185" s="6">
        <f>IF(A185="","",IF(H185&lt;=I185,"Drop",IF(AND(J185&gt;0,IFERROR((H185-I185)/H185,0)&gt;=0.65),"Profit product",IF(IFERROR((H185-I185)/H185,0)&gt;=0.5,"Traffic product","Thin - rework"))))</f>
        <v/>
      </c>
    </row>
    <row r="186">
      <c r="G186" s="3" t="n"/>
      <c r="H186" s="3" t="n"/>
      <c r="I186" s="3" t="n"/>
      <c r="J186" s="4">
        <f>IF(A186="","",G186-H186)</f>
        <v/>
      </c>
      <c r="K186" s="4">
        <f>IF(A186="","",H186-I186)</f>
        <v/>
      </c>
      <c r="L186" s="5">
        <f>IF(A186="","",IFERROR((H186-I186)/H186,0))</f>
        <v/>
      </c>
      <c r="M186" s="6">
        <f>IF(A186="","",IF(H186&lt;=I186,"Drop",IF(AND(J186&gt;0,IFERROR((H186-I186)/H186,0)&gt;=0.65),"Profit product",IF(IFERROR((H186-I186)/H186,0)&gt;=0.5,"Traffic product","Thin - rework"))))</f>
        <v/>
      </c>
    </row>
    <row r="187">
      <c r="G187" s="3" t="n"/>
      <c r="H187" s="3" t="n"/>
      <c r="I187" s="3" t="n"/>
      <c r="J187" s="4">
        <f>IF(A187="","",G187-H187)</f>
        <v/>
      </c>
      <c r="K187" s="4">
        <f>IF(A187="","",H187-I187)</f>
        <v/>
      </c>
      <c r="L187" s="5">
        <f>IF(A187="","",IFERROR((H187-I187)/H187,0))</f>
        <v/>
      </c>
      <c r="M187" s="6">
        <f>IF(A187="","",IF(H187&lt;=I187,"Drop",IF(AND(J187&gt;0,IFERROR((H187-I187)/H187,0)&gt;=0.65),"Profit product",IF(IFERROR((H187-I187)/H187,0)&gt;=0.5,"Traffic product","Thin - rework"))))</f>
        <v/>
      </c>
    </row>
    <row r="188">
      <c r="G188" s="3" t="n"/>
      <c r="H188" s="3" t="n"/>
      <c r="I188" s="3" t="n"/>
      <c r="J188" s="4">
        <f>IF(A188="","",G188-H188)</f>
        <v/>
      </c>
      <c r="K188" s="4">
        <f>IF(A188="","",H188-I188)</f>
        <v/>
      </c>
      <c r="L188" s="5">
        <f>IF(A188="","",IFERROR((H188-I188)/H188,0))</f>
        <v/>
      </c>
      <c r="M188" s="6">
        <f>IF(A188="","",IF(H188&lt;=I188,"Drop",IF(AND(J188&gt;0,IFERROR((H188-I188)/H188,0)&gt;=0.65),"Profit product",IF(IFERROR((H188-I188)/H188,0)&gt;=0.5,"Traffic product","Thin - rework"))))</f>
        <v/>
      </c>
    </row>
    <row r="189">
      <c r="G189" s="3" t="n"/>
      <c r="H189" s="3" t="n"/>
      <c r="I189" s="3" t="n"/>
      <c r="J189" s="4">
        <f>IF(A189="","",G189-H189)</f>
        <v/>
      </c>
      <c r="K189" s="4">
        <f>IF(A189="","",H189-I189)</f>
        <v/>
      </c>
      <c r="L189" s="5">
        <f>IF(A189="","",IFERROR((H189-I189)/H189,0))</f>
        <v/>
      </c>
      <c r="M189" s="6">
        <f>IF(A189="","",IF(H189&lt;=I189,"Drop",IF(AND(J189&gt;0,IFERROR((H189-I189)/H189,0)&gt;=0.65),"Profit product",IF(IFERROR((H189-I189)/H189,0)&gt;=0.5,"Traffic product","Thin - rework"))))</f>
        <v/>
      </c>
    </row>
    <row r="190">
      <c r="G190" s="3" t="n"/>
      <c r="H190" s="3" t="n"/>
      <c r="I190" s="3" t="n"/>
      <c r="J190" s="4">
        <f>IF(A190="","",G190-H190)</f>
        <v/>
      </c>
      <c r="K190" s="4">
        <f>IF(A190="","",H190-I190)</f>
        <v/>
      </c>
      <c r="L190" s="5">
        <f>IF(A190="","",IFERROR((H190-I190)/H190,0))</f>
        <v/>
      </c>
      <c r="M190" s="6">
        <f>IF(A190="","",IF(H190&lt;=I190,"Drop",IF(AND(J190&gt;0,IFERROR((H190-I190)/H190,0)&gt;=0.65),"Profit product",IF(IFERROR((H190-I190)/H190,0)&gt;=0.5,"Traffic product","Thin - rework"))))</f>
        <v/>
      </c>
    </row>
    <row r="191">
      <c r="G191" s="3" t="n"/>
      <c r="H191" s="3" t="n"/>
      <c r="I191" s="3" t="n"/>
      <c r="J191" s="4">
        <f>IF(A191="","",G191-H191)</f>
        <v/>
      </c>
      <c r="K191" s="4">
        <f>IF(A191="","",H191-I191)</f>
        <v/>
      </c>
      <c r="L191" s="5">
        <f>IF(A191="","",IFERROR((H191-I191)/H191,0))</f>
        <v/>
      </c>
      <c r="M191" s="6">
        <f>IF(A191="","",IF(H191&lt;=I191,"Drop",IF(AND(J191&gt;0,IFERROR((H191-I191)/H191,0)&gt;=0.65),"Profit product",IF(IFERROR((H191-I191)/H191,0)&gt;=0.5,"Traffic product","Thin - rework"))))</f>
        <v/>
      </c>
    </row>
    <row r="192">
      <c r="G192" s="3" t="n"/>
      <c r="H192" s="3" t="n"/>
      <c r="I192" s="3" t="n"/>
      <c r="J192" s="4">
        <f>IF(A192="","",G192-H192)</f>
        <v/>
      </c>
      <c r="K192" s="4">
        <f>IF(A192="","",H192-I192)</f>
        <v/>
      </c>
      <c r="L192" s="5">
        <f>IF(A192="","",IFERROR((H192-I192)/H192,0))</f>
        <v/>
      </c>
      <c r="M192" s="6">
        <f>IF(A192="","",IF(H192&lt;=I192,"Drop",IF(AND(J192&gt;0,IFERROR((H192-I192)/H192,0)&gt;=0.65),"Profit product",IF(IFERROR((H192-I192)/H192,0)&gt;=0.5,"Traffic product","Thin - rework"))))</f>
        <v/>
      </c>
    </row>
    <row r="193">
      <c r="G193" s="3" t="n"/>
      <c r="H193" s="3" t="n"/>
      <c r="I193" s="3" t="n"/>
      <c r="J193" s="4">
        <f>IF(A193="","",G193-H193)</f>
        <v/>
      </c>
      <c r="K193" s="4">
        <f>IF(A193="","",H193-I193)</f>
        <v/>
      </c>
      <c r="L193" s="5">
        <f>IF(A193="","",IFERROR((H193-I193)/H193,0))</f>
        <v/>
      </c>
      <c r="M193" s="6">
        <f>IF(A193="","",IF(H193&lt;=I193,"Drop",IF(AND(J193&gt;0,IFERROR((H193-I193)/H193,0)&gt;=0.65),"Profit product",IF(IFERROR((H193-I193)/H193,0)&gt;=0.5,"Traffic product","Thin - rework"))))</f>
        <v/>
      </c>
    </row>
    <row r="194">
      <c r="G194" s="3" t="n"/>
      <c r="H194" s="3" t="n"/>
      <c r="I194" s="3" t="n"/>
      <c r="J194" s="4">
        <f>IF(A194="","",G194-H194)</f>
        <v/>
      </c>
      <c r="K194" s="4">
        <f>IF(A194="","",H194-I194)</f>
        <v/>
      </c>
      <c r="L194" s="5">
        <f>IF(A194="","",IFERROR((H194-I194)/H194,0))</f>
        <v/>
      </c>
      <c r="M194" s="6">
        <f>IF(A194="","",IF(H194&lt;=I194,"Drop",IF(AND(J194&gt;0,IFERROR((H194-I194)/H194,0)&gt;=0.65),"Profit product",IF(IFERROR((H194-I194)/H194,0)&gt;=0.5,"Traffic product","Thin - rework"))))</f>
        <v/>
      </c>
    </row>
    <row r="195">
      <c r="G195" s="3" t="n"/>
      <c r="H195" s="3" t="n"/>
      <c r="I195" s="3" t="n"/>
      <c r="J195" s="4">
        <f>IF(A195="","",G195-H195)</f>
        <v/>
      </c>
      <c r="K195" s="4">
        <f>IF(A195="","",H195-I195)</f>
        <v/>
      </c>
      <c r="L195" s="5">
        <f>IF(A195="","",IFERROR((H195-I195)/H195,0))</f>
        <v/>
      </c>
      <c r="M195" s="6">
        <f>IF(A195="","",IF(H195&lt;=I195,"Drop",IF(AND(J195&gt;0,IFERROR((H195-I195)/H195,0)&gt;=0.65),"Profit product",IF(IFERROR((H195-I195)/H195,0)&gt;=0.5,"Traffic product","Thin - rework"))))</f>
        <v/>
      </c>
    </row>
    <row r="196">
      <c r="G196" s="3" t="n"/>
      <c r="H196" s="3" t="n"/>
      <c r="I196" s="3" t="n"/>
      <c r="J196" s="4">
        <f>IF(A196="","",G196-H196)</f>
        <v/>
      </c>
      <c r="K196" s="4">
        <f>IF(A196="","",H196-I196)</f>
        <v/>
      </c>
      <c r="L196" s="5">
        <f>IF(A196="","",IFERROR((H196-I196)/H196,0))</f>
        <v/>
      </c>
      <c r="M196" s="6">
        <f>IF(A196="","",IF(H196&lt;=I196,"Drop",IF(AND(J196&gt;0,IFERROR((H196-I196)/H196,0)&gt;=0.65),"Profit product",IF(IFERROR((H196-I196)/H196,0)&gt;=0.5,"Traffic product","Thin - rework"))))</f>
        <v/>
      </c>
    </row>
    <row r="197">
      <c r="G197" s="3" t="n"/>
      <c r="H197" s="3" t="n"/>
      <c r="I197" s="3" t="n"/>
      <c r="J197" s="4">
        <f>IF(A197="","",G197-H197)</f>
        <v/>
      </c>
      <c r="K197" s="4">
        <f>IF(A197="","",H197-I197)</f>
        <v/>
      </c>
      <c r="L197" s="5">
        <f>IF(A197="","",IFERROR((H197-I197)/H197,0))</f>
        <v/>
      </c>
      <c r="M197" s="6">
        <f>IF(A197="","",IF(H197&lt;=I197,"Drop",IF(AND(J197&gt;0,IFERROR((H197-I197)/H197,0)&gt;=0.65),"Profit product",IF(IFERROR((H197-I197)/H197,0)&gt;=0.5,"Traffic product","Thin - rework"))))</f>
        <v/>
      </c>
    </row>
    <row r="198">
      <c r="G198" s="3" t="n"/>
      <c r="H198" s="3" t="n"/>
      <c r="I198" s="3" t="n"/>
      <c r="J198" s="4">
        <f>IF(A198="","",G198-H198)</f>
        <v/>
      </c>
      <c r="K198" s="4">
        <f>IF(A198="","",H198-I198)</f>
        <v/>
      </c>
      <c r="L198" s="5">
        <f>IF(A198="","",IFERROR((H198-I198)/H198,0))</f>
        <v/>
      </c>
      <c r="M198" s="6">
        <f>IF(A198="","",IF(H198&lt;=I198,"Drop",IF(AND(J198&gt;0,IFERROR((H198-I198)/H198,0)&gt;=0.65),"Profit product",IF(IFERROR((H198-I198)/H198,0)&gt;=0.5,"Traffic product","Thin - rework"))))</f>
        <v/>
      </c>
    </row>
    <row r="199">
      <c r="G199" s="3" t="n"/>
      <c r="H199" s="3" t="n"/>
      <c r="I199" s="3" t="n"/>
      <c r="J199" s="4">
        <f>IF(A199="","",G199-H199)</f>
        <v/>
      </c>
      <c r="K199" s="4">
        <f>IF(A199="","",H199-I199)</f>
        <v/>
      </c>
      <c r="L199" s="5">
        <f>IF(A199="","",IFERROR((H199-I199)/H199,0))</f>
        <v/>
      </c>
      <c r="M199" s="6">
        <f>IF(A199="","",IF(H199&lt;=I199,"Drop",IF(AND(J199&gt;0,IFERROR((H199-I199)/H199,0)&gt;=0.65),"Profit product",IF(IFERROR((H199-I199)/H199,0)&gt;=0.5,"Traffic product","Thin - rework"))))</f>
        <v/>
      </c>
    </row>
    <row r="200">
      <c r="G200" s="3" t="n"/>
      <c r="H200" s="3" t="n"/>
      <c r="I200" s="3" t="n"/>
      <c r="J200" s="4">
        <f>IF(A200="","",G200-H200)</f>
        <v/>
      </c>
      <c r="K200" s="4">
        <f>IF(A200="","",H200-I200)</f>
        <v/>
      </c>
      <c r="L200" s="5">
        <f>IF(A200="","",IFERROR((H200-I200)/H200,0))</f>
        <v/>
      </c>
      <c r="M200" s="6">
        <f>IF(A200="","",IF(H200&lt;=I200,"Drop",IF(AND(J200&gt;0,IFERROR((H200-I200)/H200,0)&gt;=0.65),"Profit product",IF(IFERROR((H200-I200)/H200,0)&gt;=0.5,"Traffic product","Thin - rework"))))</f>
        <v/>
      </c>
    </row>
    <row r="201">
      <c r="G201" s="3" t="n"/>
      <c r="H201" s="3" t="n"/>
      <c r="I201" s="3" t="n"/>
      <c r="J201" s="4">
        <f>IF(A201="","",G201-H201)</f>
        <v/>
      </c>
      <c r="K201" s="4">
        <f>IF(A201="","",H201-I201)</f>
        <v/>
      </c>
      <c r="L201" s="5">
        <f>IF(A201="","",IFERROR((H201-I201)/H201,0))</f>
        <v/>
      </c>
      <c r="M201" s="6">
        <f>IF(A201="","",IF(H201&lt;=I201,"Drop",IF(AND(J201&gt;0,IFERROR((H201-I201)/H201,0)&gt;=0.65),"Profit product",IF(IFERROR((H201-I201)/H201,0)&gt;=0.5,"Traffic product","Thin - rework"))))</f>
        <v/>
      </c>
    </row>
    <row r="203">
      <c r="A203" s="7">
        <f>COUNTA(A2:A201)</f>
        <v/>
      </c>
    </row>
  </sheetData>
  <dataValidations count="1">
    <dataValidation sqref="O2:O201" showDropDown="0" showInputMessage="0" showErrorMessage="0" allowBlank="1" type="list">
      <formula1>"Test,Hold,Drop,Scale"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aiOS Grok Edition · Offer Scorecard (Product Selection Log)</t>
        </is>
      </c>
    </row>
    <row r="2">
      <c r="A2" t="inlineStr">
        <is>
          <t>Score every candidate on the three axes (pain value, true cost, content amplifiability) and price from value. Value gap decides: prioritize / traffic / drop.</t>
        </is>
      </c>
    </row>
    <row r="3">
      <c r="A3" t="inlineStr">
        <is>
          <t>Module 01 · see modules/ in https://github.com/daocoding/aios</t>
        </is>
      </c>
    </row>
    <row r="4">
      <c r="A4" t="inlineStr">
        <is>
          <t>Columns marked ƒ are formulas. Rows 2-4 hold examples; delete them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2026-10-16T04:44:14Z</dcterms:created>
  <dcterms:modified xmlns:dcterms="http://purl.org/dc/terms/" xmlns:xsi="http://www.w3.org/2001/XMLSchema-instance" xsi:type="dcterms:W3CDTF">2026-10-16T04:44:14Z</dcterms:modified>
</cp:coreProperties>
</file>