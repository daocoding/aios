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er Scorecard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164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20" customWidth="1" min="2" max="2"/>
    <col width="22.85714285714286" customWidth="1" min="3" max="3"/>
    <col width="15.71428571428571" customWidth="1" min="4" max="4"/>
    <col width="15.71428571428571" customWidth="1" min="5" max="5"/>
    <col width="28.57142857142857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18.57142857142857" customWidth="1" min="15" max="15"/>
    <col width="15.71428571428571" customWidth="1" min="16" max="16"/>
    <col width="15.71428571428571" customWidth="1" min="17" max="17"/>
    <col width="15.71428571428571" customWidth="1" min="18" max="18"/>
    <col width="15.71428571428571" customWidth="1" min="19" max="19"/>
    <col width="15.71428571428571" customWidth="1" min="20" max="20"/>
  </cols>
  <sheetData>
    <row r="1" ht="48" customHeight="1">
      <c r="A1" s="1" t="inlineStr">
        <is>
          <t>Offer / product</t>
        </is>
      </c>
      <c r="B1" s="1" t="inlineStr">
        <is>
          <t>Market / audience</t>
        </is>
      </c>
      <c r="C1" s="1" t="inlineStr">
        <is>
          <t>Source (copy only winners from the last 1-2 months; older ones are saturated)</t>
        </is>
      </c>
      <c r="D1" s="1" t="inlineStr">
        <is>
          <t>If copying a winner: its age (months)</t>
        </is>
      </c>
      <c r="E1" s="2" t="inlineStr">
        <is>
          <t>Recency check ƒ</t>
        </is>
      </c>
      <c r="F1" s="1" t="inlineStr">
        <is>
          <t>Core differentiator</t>
        </is>
      </c>
      <c r="G1" s="1" t="inlineStr">
        <is>
          <t>Pain value (1-5)</t>
        </is>
      </c>
      <c r="H1" s="1" t="inlineStr">
        <is>
          <t>Shows in 20s video? (1-5)</t>
        </is>
      </c>
      <c r="I1" s="1" t="inlineStr">
        <is>
          <t>Customer's current cost to solve ($)</t>
        </is>
      </c>
      <c r="J1" s="1" t="inlineStr">
        <is>
          <t>Proposed price ($)</t>
        </is>
      </c>
      <c r="K1" s="1" t="inlineStr">
        <is>
          <t>Full unit cost incl. fees ($)</t>
        </is>
      </c>
      <c r="L1" s="2" t="inlineStr">
        <is>
          <t>Consumer surplus ƒ</t>
        </is>
      </c>
      <c r="M1" s="2" t="inlineStr">
        <is>
          <t>Producer surplus ƒ</t>
        </is>
      </c>
      <c r="N1" s="2" t="inlineStr">
        <is>
          <t>Gross margin % ƒ</t>
        </is>
      </c>
      <c r="O1" s="2" t="inlineStr">
        <is>
          <t>Classification ƒ</t>
        </is>
      </c>
      <c r="P1" s="1" t="inlineStr">
        <is>
          <t>Cash tied up across batches in motion (stock + in transit + in production)</t>
        </is>
      </c>
      <c r="Q1" s="1" t="inlineStr">
        <is>
          <t>Max cash you can afford to lock up</t>
        </is>
      </c>
      <c r="R1" s="2" t="inlineStr">
        <is>
          <t>Cash exposure ƒ</t>
        </is>
      </c>
      <c r="S1" s="1" t="inlineStr">
        <is>
          <t>Independent signals (need ≥3)</t>
        </is>
      </c>
      <c r="T1" s="1" t="inlineStr">
        <is>
          <t>Decision</t>
        </is>
      </c>
    </row>
    <row r="2">
      <c r="A2" t="inlineStr">
        <is>
          <t>Example: at-home styling tool</t>
        </is>
      </c>
      <c r="B2" t="inlineStr">
        <is>
          <t>Women 25-45</t>
        </is>
      </c>
      <c r="C2" t="inlineStr">
        <is>
          <t>Review complaints on top 5 competitors</t>
        </is>
      </c>
      <c r="D2" t="n">
        <v>1</v>
      </c>
      <c r="E2" s="3">
        <f>IF(A2="","",IF(D2=0,"",IF(D2&gt;2,"Stale - likely saturated","Fresh")))</f>
        <v/>
      </c>
      <c r="F2" t="inlineStr">
        <is>
          <t>Salon result in 10 minutes</t>
        </is>
      </c>
      <c r="G2" t="n">
        <v>5</v>
      </c>
      <c r="H2" t="n">
        <v>5</v>
      </c>
      <c r="I2" s="4" t="n">
        <v>50</v>
      </c>
      <c r="J2" s="4" t="n">
        <v>49</v>
      </c>
      <c r="K2" s="4" t="n">
        <v>14</v>
      </c>
      <c r="L2" s="5">
        <f>IF(A2="","",I2-J2)</f>
        <v/>
      </c>
      <c r="M2" s="5">
        <f>IF(A2="","",J2-K2)</f>
        <v/>
      </c>
      <c r="N2" s="6">
        <f>IF(A2="","",IFERROR((J2-K2)/J2,0))</f>
        <v/>
      </c>
      <c r="O2" s="3">
        <f>IF(A2="","",IF(M2&lt;=0,"Drop",IF(AND(L2&gt;0,N2&gt;=0.6),"Profit product",IF(N2&gt;=0.5,"Traffic product","Thin - rework"))))</f>
        <v/>
      </c>
      <c r="P2" s="4" t="n">
        <v>6000</v>
      </c>
      <c r="Q2" s="4" t="n">
        <v>10000</v>
      </c>
      <c r="R2" s="3">
        <f>IF(A2="","",IF(Q2=0,"Set a cap",IF(P2&gt;Q2,"Over cap - shrink batch","OK")))</f>
        <v/>
      </c>
      <c r="S2" t="n">
        <v>1</v>
      </c>
      <c r="T2" t="inlineStr">
        <is>
          <t>Test</t>
        </is>
      </c>
    </row>
    <row r="3">
      <c r="E3" s="3">
        <f>IF(A3="","",IF(D3=0,"",IF(D3&gt;2,"Stale - likely saturated","Fresh")))</f>
        <v/>
      </c>
      <c r="I3" s="4" t="n"/>
      <c r="J3" s="4" t="n"/>
      <c r="K3" s="4" t="n"/>
      <c r="L3" s="5">
        <f>IF(A3="","",I3-J3)</f>
        <v/>
      </c>
      <c r="M3" s="5">
        <f>IF(A3="","",J3-K3)</f>
        <v/>
      </c>
      <c r="N3" s="6">
        <f>IF(A3="","",IFERROR((J3-K3)/J3,0))</f>
        <v/>
      </c>
      <c r="O3" s="3">
        <f>IF(A3="","",IF(M3&lt;=0,"Drop",IF(AND(L3&gt;0,N3&gt;=0.6),"Profit product",IF(N3&gt;=0.5,"Traffic product","Thin - rework"))))</f>
        <v/>
      </c>
      <c r="P3" s="4" t="n"/>
      <c r="Q3" s="4" t="n"/>
      <c r="R3" s="3">
        <f>IF(A3="","",IF(Q3=0,"Set a cap",IF(P3&gt;Q3,"Over cap - shrink batch","OK")))</f>
        <v/>
      </c>
    </row>
    <row r="4">
      <c r="E4" s="3">
        <f>IF(A4="","",IF(D4=0,"",IF(D4&gt;2,"Stale - likely saturated","Fresh")))</f>
        <v/>
      </c>
      <c r="I4" s="4" t="n"/>
      <c r="J4" s="4" t="n"/>
      <c r="K4" s="4" t="n"/>
      <c r="L4" s="5">
        <f>IF(A4="","",I4-J4)</f>
        <v/>
      </c>
      <c r="M4" s="5">
        <f>IF(A4="","",J4-K4)</f>
        <v/>
      </c>
      <c r="N4" s="6">
        <f>IF(A4="","",IFERROR((J4-K4)/J4,0))</f>
        <v/>
      </c>
      <c r="O4" s="3">
        <f>IF(A4="","",IF(M4&lt;=0,"Drop",IF(AND(L4&gt;0,N4&gt;=0.6),"Profit product",IF(N4&gt;=0.5,"Traffic product","Thin - rework"))))</f>
        <v/>
      </c>
      <c r="P4" s="4" t="n"/>
      <c r="Q4" s="4" t="n"/>
      <c r="R4" s="3">
        <f>IF(A4="","",IF(Q4=0,"Set a cap",IF(P4&gt;Q4,"Over cap - shrink batch","OK")))</f>
        <v/>
      </c>
    </row>
    <row r="5">
      <c r="E5" s="3">
        <f>IF(A5="","",IF(D5=0,"",IF(D5&gt;2,"Stale - likely saturated","Fresh")))</f>
        <v/>
      </c>
      <c r="I5" s="4" t="n"/>
      <c r="J5" s="4" t="n"/>
      <c r="K5" s="4" t="n"/>
      <c r="L5" s="5">
        <f>IF(A5="","",I5-J5)</f>
        <v/>
      </c>
      <c r="M5" s="5">
        <f>IF(A5="","",J5-K5)</f>
        <v/>
      </c>
      <c r="N5" s="6">
        <f>IF(A5="","",IFERROR((J5-K5)/J5,0))</f>
        <v/>
      </c>
      <c r="O5" s="3">
        <f>IF(A5="","",IF(M5&lt;=0,"Drop",IF(AND(L5&gt;0,N5&gt;=0.6),"Profit product",IF(N5&gt;=0.5,"Traffic product","Thin - rework"))))</f>
        <v/>
      </c>
      <c r="P5" s="4" t="n"/>
      <c r="Q5" s="4" t="n"/>
      <c r="R5" s="3">
        <f>IF(A5="","",IF(Q5=0,"Set a cap",IF(P5&gt;Q5,"Over cap - shrink batch","OK")))</f>
        <v/>
      </c>
    </row>
    <row r="6">
      <c r="E6" s="3">
        <f>IF(A6="","",IF(D6=0,"",IF(D6&gt;2,"Stale - likely saturated","Fresh")))</f>
        <v/>
      </c>
      <c r="I6" s="4" t="n"/>
      <c r="J6" s="4" t="n"/>
      <c r="K6" s="4" t="n"/>
      <c r="L6" s="5">
        <f>IF(A6="","",I6-J6)</f>
        <v/>
      </c>
      <c r="M6" s="5">
        <f>IF(A6="","",J6-K6)</f>
        <v/>
      </c>
      <c r="N6" s="6">
        <f>IF(A6="","",IFERROR((J6-K6)/J6,0))</f>
        <v/>
      </c>
      <c r="O6" s="3">
        <f>IF(A6="","",IF(M6&lt;=0,"Drop",IF(AND(L6&gt;0,N6&gt;=0.6),"Profit product",IF(N6&gt;=0.5,"Traffic product","Thin - rework"))))</f>
        <v/>
      </c>
      <c r="P6" s="4" t="n"/>
      <c r="Q6" s="4" t="n"/>
      <c r="R6" s="3">
        <f>IF(A6="","",IF(Q6=0,"Set a cap",IF(P6&gt;Q6,"Over cap - shrink batch","OK")))</f>
        <v/>
      </c>
    </row>
    <row r="7">
      <c r="E7" s="3">
        <f>IF(A7="","",IF(D7=0,"",IF(D7&gt;2,"Stale - likely saturated","Fresh")))</f>
        <v/>
      </c>
      <c r="I7" s="4" t="n"/>
      <c r="J7" s="4" t="n"/>
      <c r="K7" s="4" t="n"/>
      <c r="L7" s="5">
        <f>IF(A7="","",I7-J7)</f>
        <v/>
      </c>
      <c r="M7" s="5">
        <f>IF(A7="","",J7-K7)</f>
        <v/>
      </c>
      <c r="N7" s="6">
        <f>IF(A7="","",IFERROR((J7-K7)/J7,0))</f>
        <v/>
      </c>
      <c r="O7" s="3">
        <f>IF(A7="","",IF(M7&lt;=0,"Drop",IF(AND(L7&gt;0,N7&gt;=0.6),"Profit product",IF(N7&gt;=0.5,"Traffic product","Thin - rework"))))</f>
        <v/>
      </c>
      <c r="P7" s="4" t="n"/>
      <c r="Q7" s="4" t="n"/>
      <c r="R7" s="3">
        <f>IF(A7="","",IF(Q7=0,"Set a cap",IF(P7&gt;Q7,"Over cap - shrink batch","OK")))</f>
        <v/>
      </c>
    </row>
    <row r="8">
      <c r="E8" s="3">
        <f>IF(A8="","",IF(D8=0,"",IF(D8&gt;2,"Stale - likely saturated","Fresh")))</f>
        <v/>
      </c>
      <c r="I8" s="4" t="n"/>
      <c r="J8" s="4" t="n"/>
      <c r="K8" s="4" t="n"/>
      <c r="L8" s="5">
        <f>IF(A8="","",I8-J8)</f>
        <v/>
      </c>
      <c r="M8" s="5">
        <f>IF(A8="","",J8-K8)</f>
        <v/>
      </c>
      <c r="N8" s="6">
        <f>IF(A8="","",IFERROR((J8-K8)/J8,0))</f>
        <v/>
      </c>
      <c r="O8" s="3">
        <f>IF(A8="","",IF(M8&lt;=0,"Drop",IF(AND(L8&gt;0,N8&gt;=0.6),"Profit product",IF(N8&gt;=0.5,"Traffic product","Thin - rework"))))</f>
        <v/>
      </c>
      <c r="P8" s="4" t="n"/>
      <c r="Q8" s="4" t="n"/>
      <c r="R8" s="3">
        <f>IF(A8="","",IF(Q8=0,"Set a cap",IF(P8&gt;Q8,"Over cap - shrink batch","OK")))</f>
        <v/>
      </c>
    </row>
    <row r="9">
      <c r="E9" s="3">
        <f>IF(A9="","",IF(D9=0,"",IF(D9&gt;2,"Stale - likely saturated","Fresh")))</f>
        <v/>
      </c>
      <c r="I9" s="4" t="n"/>
      <c r="J9" s="4" t="n"/>
      <c r="K9" s="4" t="n"/>
      <c r="L9" s="5">
        <f>IF(A9="","",I9-J9)</f>
        <v/>
      </c>
      <c r="M9" s="5">
        <f>IF(A9="","",J9-K9)</f>
        <v/>
      </c>
      <c r="N9" s="6">
        <f>IF(A9="","",IFERROR((J9-K9)/J9,0))</f>
        <v/>
      </c>
      <c r="O9" s="3">
        <f>IF(A9="","",IF(M9&lt;=0,"Drop",IF(AND(L9&gt;0,N9&gt;=0.6),"Profit product",IF(N9&gt;=0.5,"Traffic product","Thin - rework"))))</f>
        <v/>
      </c>
      <c r="P9" s="4" t="n"/>
      <c r="Q9" s="4" t="n"/>
      <c r="R9" s="3">
        <f>IF(A9="","",IF(Q9=0,"Set a cap",IF(P9&gt;Q9,"Over cap - shrink batch","OK")))</f>
        <v/>
      </c>
    </row>
    <row r="10">
      <c r="E10" s="3">
        <f>IF(A10="","",IF(D10=0,"",IF(D10&gt;2,"Stale - likely saturated","Fresh")))</f>
        <v/>
      </c>
      <c r="I10" s="4" t="n"/>
      <c r="J10" s="4" t="n"/>
      <c r="K10" s="4" t="n"/>
      <c r="L10" s="5">
        <f>IF(A10="","",I10-J10)</f>
        <v/>
      </c>
      <c r="M10" s="5">
        <f>IF(A10="","",J10-K10)</f>
        <v/>
      </c>
      <c r="N10" s="6">
        <f>IF(A10="","",IFERROR((J10-K10)/J10,0))</f>
        <v/>
      </c>
      <c r="O10" s="3">
        <f>IF(A10="","",IF(M10&lt;=0,"Drop",IF(AND(L10&gt;0,N10&gt;=0.6),"Profit product",IF(N10&gt;=0.5,"Traffic product","Thin - rework"))))</f>
        <v/>
      </c>
      <c r="P10" s="4" t="n"/>
      <c r="Q10" s="4" t="n"/>
      <c r="R10" s="3">
        <f>IF(A10="","",IF(Q10=0,"Set a cap",IF(P10&gt;Q10,"Over cap - shrink batch","OK")))</f>
        <v/>
      </c>
    </row>
    <row r="11">
      <c r="E11" s="3">
        <f>IF(A11="","",IF(D11=0,"",IF(D11&gt;2,"Stale - likely saturated","Fresh")))</f>
        <v/>
      </c>
      <c r="I11" s="4" t="n"/>
      <c r="J11" s="4" t="n"/>
      <c r="K11" s="4" t="n"/>
      <c r="L11" s="5">
        <f>IF(A11="","",I11-J11)</f>
        <v/>
      </c>
      <c r="M11" s="5">
        <f>IF(A11="","",J11-K11)</f>
        <v/>
      </c>
      <c r="N11" s="6">
        <f>IF(A11="","",IFERROR((J11-K11)/J11,0))</f>
        <v/>
      </c>
      <c r="O11" s="3">
        <f>IF(A11="","",IF(M11&lt;=0,"Drop",IF(AND(L11&gt;0,N11&gt;=0.6),"Profit product",IF(N11&gt;=0.5,"Traffic product","Thin - rework"))))</f>
        <v/>
      </c>
      <c r="P11" s="4" t="n"/>
      <c r="Q11" s="4" t="n"/>
      <c r="R11" s="3">
        <f>IF(A11="","",IF(Q11=0,"Set a cap",IF(P11&gt;Q11,"Over cap - shrink batch","OK")))</f>
        <v/>
      </c>
    </row>
    <row r="12">
      <c r="E12" s="3">
        <f>IF(A12="","",IF(D12=0,"",IF(D12&gt;2,"Stale - likely saturated","Fresh")))</f>
        <v/>
      </c>
      <c r="I12" s="4" t="n"/>
      <c r="J12" s="4" t="n"/>
      <c r="K12" s="4" t="n"/>
      <c r="L12" s="5">
        <f>IF(A12="","",I12-J12)</f>
        <v/>
      </c>
      <c r="M12" s="5">
        <f>IF(A12="","",J12-K12)</f>
        <v/>
      </c>
      <c r="N12" s="6">
        <f>IF(A12="","",IFERROR((J12-K12)/J12,0))</f>
        <v/>
      </c>
      <c r="O12" s="3">
        <f>IF(A12="","",IF(M12&lt;=0,"Drop",IF(AND(L12&gt;0,N12&gt;=0.6),"Profit product",IF(N12&gt;=0.5,"Traffic product","Thin - rework"))))</f>
        <v/>
      </c>
      <c r="P12" s="4" t="n"/>
      <c r="Q12" s="4" t="n"/>
      <c r="R12" s="3">
        <f>IF(A12="","",IF(Q12=0,"Set a cap",IF(P12&gt;Q12,"Over cap - shrink batch","OK")))</f>
        <v/>
      </c>
    </row>
    <row r="13">
      <c r="E13" s="3">
        <f>IF(A13="","",IF(D13=0,"",IF(D13&gt;2,"Stale - likely saturated","Fresh")))</f>
        <v/>
      </c>
      <c r="I13" s="4" t="n"/>
      <c r="J13" s="4" t="n"/>
      <c r="K13" s="4" t="n"/>
      <c r="L13" s="5">
        <f>IF(A13="","",I13-J13)</f>
        <v/>
      </c>
      <c r="M13" s="5">
        <f>IF(A13="","",J13-K13)</f>
        <v/>
      </c>
      <c r="N13" s="6">
        <f>IF(A13="","",IFERROR((J13-K13)/J13,0))</f>
        <v/>
      </c>
      <c r="O13" s="3">
        <f>IF(A13="","",IF(M13&lt;=0,"Drop",IF(AND(L13&gt;0,N13&gt;=0.6),"Profit product",IF(N13&gt;=0.5,"Traffic product","Thin - rework"))))</f>
        <v/>
      </c>
      <c r="P13" s="4" t="n"/>
      <c r="Q13" s="4" t="n"/>
      <c r="R13" s="3">
        <f>IF(A13="","",IF(Q13=0,"Set a cap",IF(P13&gt;Q13,"Over cap - shrink batch","OK")))</f>
        <v/>
      </c>
    </row>
    <row r="14">
      <c r="E14" s="3">
        <f>IF(A14="","",IF(D14=0,"",IF(D14&gt;2,"Stale - likely saturated","Fresh")))</f>
        <v/>
      </c>
      <c r="I14" s="4" t="n"/>
      <c r="J14" s="4" t="n"/>
      <c r="K14" s="4" t="n"/>
      <c r="L14" s="5">
        <f>IF(A14="","",I14-J14)</f>
        <v/>
      </c>
      <c r="M14" s="5">
        <f>IF(A14="","",J14-K14)</f>
        <v/>
      </c>
      <c r="N14" s="6">
        <f>IF(A14="","",IFERROR((J14-K14)/J14,0))</f>
        <v/>
      </c>
      <c r="O14" s="3">
        <f>IF(A14="","",IF(M14&lt;=0,"Drop",IF(AND(L14&gt;0,N14&gt;=0.6),"Profit product",IF(N14&gt;=0.5,"Traffic product","Thin - rework"))))</f>
        <v/>
      </c>
      <c r="P14" s="4" t="n"/>
      <c r="Q14" s="4" t="n"/>
      <c r="R14" s="3">
        <f>IF(A14="","",IF(Q14=0,"Set a cap",IF(P14&gt;Q14,"Over cap - shrink batch","OK")))</f>
        <v/>
      </c>
    </row>
    <row r="15">
      <c r="E15" s="3">
        <f>IF(A15="","",IF(D15=0,"",IF(D15&gt;2,"Stale - likely saturated","Fresh")))</f>
        <v/>
      </c>
      <c r="I15" s="4" t="n"/>
      <c r="J15" s="4" t="n"/>
      <c r="K15" s="4" t="n"/>
      <c r="L15" s="5">
        <f>IF(A15="","",I15-J15)</f>
        <v/>
      </c>
      <c r="M15" s="5">
        <f>IF(A15="","",J15-K15)</f>
        <v/>
      </c>
      <c r="N15" s="6">
        <f>IF(A15="","",IFERROR((J15-K15)/J15,0))</f>
        <v/>
      </c>
      <c r="O15" s="3">
        <f>IF(A15="","",IF(M15&lt;=0,"Drop",IF(AND(L15&gt;0,N15&gt;=0.6),"Profit product",IF(N15&gt;=0.5,"Traffic product","Thin - rework"))))</f>
        <v/>
      </c>
      <c r="P15" s="4" t="n"/>
      <c r="Q15" s="4" t="n"/>
      <c r="R15" s="3">
        <f>IF(A15="","",IF(Q15=0,"Set a cap",IF(P15&gt;Q15,"Over cap - shrink batch","OK")))</f>
        <v/>
      </c>
    </row>
    <row r="16">
      <c r="E16" s="3">
        <f>IF(A16="","",IF(D16=0,"",IF(D16&gt;2,"Stale - likely saturated","Fresh")))</f>
        <v/>
      </c>
      <c r="I16" s="4" t="n"/>
      <c r="J16" s="4" t="n"/>
      <c r="K16" s="4" t="n"/>
      <c r="L16" s="5">
        <f>IF(A16="","",I16-J16)</f>
        <v/>
      </c>
      <c r="M16" s="5">
        <f>IF(A16="","",J16-K16)</f>
        <v/>
      </c>
      <c r="N16" s="6">
        <f>IF(A16="","",IFERROR((J16-K16)/J16,0))</f>
        <v/>
      </c>
      <c r="O16" s="3">
        <f>IF(A16="","",IF(M16&lt;=0,"Drop",IF(AND(L16&gt;0,N16&gt;=0.6),"Profit product",IF(N16&gt;=0.5,"Traffic product","Thin - rework"))))</f>
        <v/>
      </c>
      <c r="P16" s="4" t="n"/>
      <c r="Q16" s="4" t="n"/>
      <c r="R16" s="3">
        <f>IF(A16="","",IF(Q16=0,"Set a cap",IF(P16&gt;Q16,"Over cap - shrink batch","OK")))</f>
        <v/>
      </c>
    </row>
    <row r="17">
      <c r="E17" s="3">
        <f>IF(A17="","",IF(D17=0,"",IF(D17&gt;2,"Stale - likely saturated","Fresh")))</f>
        <v/>
      </c>
      <c r="I17" s="4" t="n"/>
      <c r="J17" s="4" t="n"/>
      <c r="K17" s="4" t="n"/>
      <c r="L17" s="5">
        <f>IF(A17="","",I17-J17)</f>
        <v/>
      </c>
      <c r="M17" s="5">
        <f>IF(A17="","",J17-K17)</f>
        <v/>
      </c>
      <c r="N17" s="6">
        <f>IF(A17="","",IFERROR((J17-K17)/J17,0))</f>
        <v/>
      </c>
      <c r="O17" s="3">
        <f>IF(A17="","",IF(M17&lt;=0,"Drop",IF(AND(L17&gt;0,N17&gt;=0.6),"Profit product",IF(N17&gt;=0.5,"Traffic product","Thin - rework"))))</f>
        <v/>
      </c>
      <c r="P17" s="4" t="n"/>
      <c r="Q17" s="4" t="n"/>
      <c r="R17" s="3">
        <f>IF(A17="","",IF(Q17=0,"Set a cap",IF(P17&gt;Q17,"Over cap - shrink batch","OK")))</f>
        <v/>
      </c>
    </row>
    <row r="18">
      <c r="E18" s="3">
        <f>IF(A18="","",IF(D18=0,"",IF(D18&gt;2,"Stale - likely saturated","Fresh")))</f>
        <v/>
      </c>
      <c r="I18" s="4" t="n"/>
      <c r="J18" s="4" t="n"/>
      <c r="K18" s="4" t="n"/>
      <c r="L18" s="5">
        <f>IF(A18="","",I18-J18)</f>
        <v/>
      </c>
      <c r="M18" s="5">
        <f>IF(A18="","",J18-K18)</f>
        <v/>
      </c>
      <c r="N18" s="6">
        <f>IF(A18="","",IFERROR((J18-K18)/J18,0))</f>
        <v/>
      </c>
      <c r="O18" s="3">
        <f>IF(A18="","",IF(M18&lt;=0,"Drop",IF(AND(L18&gt;0,N18&gt;=0.6),"Profit product",IF(N18&gt;=0.5,"Traffic product","Thin - rework"))))</f>
        <v/>
      </c>
      <c r="P18" s="4" t="n"/>
      <c r="Q18" s="4" t="n"/>
      <c r="R18" s="3">
        <f>IF(A18="","",IF(Q18=0,"Set a cap",IF(P18&gt;Q18,"Over cap - shrink batch","OK")))</f>
        <v/>
      </c>
    </row>
    <row r="19">
      <c r="E19" s="3">
        <f>IF(A19="","",IF(D19=0,"",IF(D19&gt;2,"Stale - likely saturated","Fresh")))</f>
        <v/>
      </c>
      <c r="I19" s="4" t="n"/>
      <c r="J19" s="4" t="n"/>
      <c r="K19" s="4" t="n"/>
      <c r="L19" s="5">
        <f>IF(A19="","",I19-J19)</f>
        <v/>
      </c>
      <c r="M19" s="5">
        <f>IF(A19="","",J19-K19)</f>
        <v/>
      </c>
      <c r="N19" s="6">
        <f>IF(A19="","",IFERROR((J19-K19)/J19,0))</f>
        <v/>
      </c>
      <c r="O19" s="3">
        <f>IF(A19="","",IF(M19&lt;=0,"Drop",IF(AND(L19&gt;0,N19&gt;=0.6),"Profit product",IF(N19&gt;=0.5,"Traffic product","Thin - rework"))))</f>
        <v/>
      </c>
      <c r="P19" s="4" t="n"/>
      <c r="Q19" s="4" t="n"/>
      <c r="R19" s="3">
        <f>IF(A19="","",IF(Q19=0,"Set a cap",IF(P19&gt;Q19,"Over cap - shrink batch","OK")))</f>
        <v/>
      </c>
    </row>
    <row r="20">
      <c r="E20" s="3">
        <f>IF(A20="","",IF(D20=0,"",IF(D20&gt;2,"Stale - likely saturated","Fresh")))</f>
        <v/>
      </c>
      <c r="I20" s="4" t="n"/>
      <c r="J20" s="4" t="n"/>
      <c r="K20" s="4" t="n"/>
      <c r="L20" s="5">
        <f>IF(A20="","",I20-J20)</f>
        <v/>
      </c>
      <c r="M20" s="5">
        <f>IF(A20="","",J20-K20)</f>
        <v/>
      </c>
      <c r="N20" s="6">
        <f>IF(A20="","",IFERROR((J20-K20)/J20,0))</f>
        <v/>
      </c>
      <c r="O20" s="3">
        <f>IF(A20="","",IF(M20&lt;=0,"Drop",IF(AND(L20&gt;0,N20&gt;=0.6),"Profit product",IF(N20&gt;=0.5,"Traffic product","Thin - rework"))))</f>
        <v/>
      </c>
      <c r="P20" s="4" t="n"/>
      <c r="Q20" s="4" t="n"/>
      <c r="R20" s="3">
        <f>IF(A20="","",IF(Q20=0,"Set a cap",IF(P20&gt;Q20,"Over cap - shrink batch","OK")))</f>
        <v/>
      </c>
    </row>
    <row r="21">
      <c r="E21" s="3">
        <f>IF(A21="","",IF(D21=0,"",IF(D21&gt;2,"Stale - likely saturated","Fresh")))</f>
        <v/>
      </c>
      <c r="I21" s="4" t="n"/>
      <c r="J21" s="4" t="n"/>
      <c r="K21" s="4" t="n"/>
      <c r="L21" s="5">
        <f>IF(A21="","",I21-J21)</f>
        <v/>
      </c>
      <c r="M21" s="5">
        <f>IF(A21="","",J21-K21)</f>
        <v/>
      </c>
      <c r="N21" s="6">
        <f>IF(A21="","",IFERROR((J21-K21)/J21,0))</f>
        <v/>
      </c>
      <c r="O21" s="3">
        <f>IF(A21="","",IF(M21&lt;=0,"Drop",IF(AND(L21&gt;0,N21&gt;=0.6),"Profit product",IF(N21&gt;=0.5,"Traffic product","Thin - rework"))))</f>
        <v/>
      </c>
      <c r="P21" s="4" t="n"/>
      <c r="Q21" s="4" t="n"/>
      <c r="R21" s="3">
        <f>IF(A21="","",IF(Q21=0,"Set a cap",IF(P21&gt;Q21,"Over cap - shrink batch","OK")))</f>
        <v/>
      </c>
    </row>
    <row r="22">
      <c r="E22" s="3">
        <f>IF(A22="","",IF(D22=0,"",IF(D22&gt;2,"Stale - likely saturated","Fresh")))</f>
        <v/>
      </c>
      <c r="I22" s="4" t="n"/>
      <c r="J22" s="4" t="n"/>
      <c r="K22" s="4" t="n"/>
      <c r="L22" s="5">
        <f>IF(A22="","",I22-J22)</f>
        <v/>
      </c>
      <c r="M22" s="5">
        <f>IF(A22="","",J22-K22)</f>
        <v/>
      </c>
      <c r="N22" s="6">
        <f>IF(A22="","",IFERROR((J22-K22)/J22,0))</f>
        <v/>
      </c>
      <c r="O22" s="3">
        <f>IF(A22="","",IF(M22&lt;=0,"Drop",IF(AND(L22&gt;0,N22&gt;=0.6),"Profit product",IF(N22&gt;=0.5,"Traffic product","Thin - rework"))))</f>
        <v/>
      </c>
      <c r="P22" s="4" t="n"/>
      <c r="Q22" s="4" t="n"/>
      <c r="R22" s="3">
        <f>IF(A22="","",IF(Q22=0,"Set a cap",IF(P22&gt;Q22,"Over cap - shrink batch","OK")))</f>
        <v/>
      </c>
    </row>
    <row r="23">
      <c r="E23" s="3">
        <f>IF(A23="","",IF(D23=0,"",IF(D23&gt;2,"Stale - likely saturated","Fresh")))</f>
        <v/>
      </c>
      <c r="I23" s="4" t="n"/>
      <c r="J23" s="4" t="n"/>
      <c r="K23" s="4" t="n"/>
      <c r="L23" s="5">
        <f>IF(A23="","",I23-J23)</f>
        <v/>
      </c>
      <c r="M23" s="5">
        <f>IF(A23="","",J23-K23)</f>
        <v/>
      </c>
      <c r="N23" s="6">
        <f>IF(A23="","",IFERROR((J23-K23)/J23,0))</f>
        <v/>
      </c>
      <c r="O23" s="3">
        <f>IF(A23="","",IF(M23&lt;=0,"Drop",IF(AND(L23&gt;0,N23&gt;=0.6),"Profit product",IF(N23&gt;=0.5,"Traffic product","Thin - rework"))))</f>
        <v/>
      </c>
      <c r="P23" s="4" t="n"/>
      <c r="Q23" s="4" t="n"/>
      <c r="R23" s="3">
        <f>IF(A23="","",IF(Q23=0,"Set a cap",IF(P23&gt;Q23,"Over cap - shrink batch","OK")))</f>
        <v/>
      </c>
    </row>
    <row r="24">
      <c r="E24" s="3">
        <f>IF(A24="","",IF(D24=0,"",IF(D24&gt;2,"Stale - likely saturated","Fresh")))</f>
        <v/>
      </c>
      <c r="I24" s="4" t="n"/>
      <c r="J24" s="4" t="n"/>
      <c r="K24" s="4" t="n"/>
      <c r="L24" s="5">
        <f>IF(A24="","",I24-J24)</f>
        <v/>
      </c>
      <c r="M24" s="5">
        <f>IF(A24="","",J24-K24)</f>
        <v/>
      </c>
      <c r="N24" s="6">
        <f>IF(A24="","",IFERROR((J24-K24)/J24,0))</f>
        <v/>
      </c>
      <c r="O24" s="3">
        <f>IF(A24="","",IF(M24&lt;=0,"Drop",IF(AND(L24&gt;0,N24&gt;=0.6),"Profit product",IF(N24&gt;=0.5,"Traffic product","Thin - rework"))))</f>
        <v/>
      </c>
      <c r="P24" s="4" t="n"/>
      <c r="Q24" s="4" t="n"/>
      <c r="R24" s="3">
        <f>IF(A24="","",IF(Q24=0,"Set a cap",IF(P24&gt;Q24,"Over cap - shrink batch","OK")))</f>
        <v/>
      </c>
    </row>
    <row r="25">
      <c r="E25" s="3">
        <f>IF(A25="","",IF(D25=0,"",IF(D25&gt;2,"Stale - likely saturated","Fresh")))</f>
        <v/>
      </c>
      <c r="I25" s="4" t="n"/>
      <c r="J25" s="4" t="n"/>
      <c r="K25" s="4" t="n"/>
      <c r="L25" s="5">
        <f>IF(A25="","",I25-J25)</f>
        <v/>
      </c>
      <c r="M25" s="5">
        <f>IF(A25="","",J25-K25)</f>
        <v/>
      </c>
      <c r="N25" s="6">
        <f>IF(A25="","",IFERROR((J25-K25)/J25,0))</f>
        <v/>
      </c>
      <c r="O25" s="3">
        <f>IF(A25="","",IF(M25&lt;=0,"Drop",IF(AND(L25&gt;0,N25&gt;=0.6),"Profit product",IF(N25&gt;=0.5,"Traffic product","Thin - rework"))))</f>
        <v/>
      </c>
      <c r="P25" s="4" t="n"/>
      <c r="Q25" s="4" t="n"/>
      <c r="R25" s="3">
        <f>IF(A25="","",IF(Q25=0,"Set a cap",IF(P25&gt;Q25,"Over cap - shrink batch","OK")))</f>
        <v/>
      </c>
    </row>
    <row r="26">
      <c r="E26" s="3">
        <f>IF(A26="","",IF(D26=0,"",IF(D26&gt;2,"Stale - likely saturated","Fresh")))</f>
        <v/>
      </c>
      <c r="I26" s="4" t="n"/>
      <c r="J26" s="4" t="n"/>
      <c r="K26" s="4" t="n"/>
      <c r="L26" s="5">
        <f>IF(A26="","",I26-J26)</f>
        <v/>
      </c>
      <c r="M26" s="5">
        <f>IF(A26="","",J26-K26)</f>
        <v/>
      </c>
      <c r="N26" s="6">
        <f>IF(A26="","",IFERROR((J26-K26)/J26,0))</f>
        <v/>
      </c>
      <c r="O26" s="3">
        <f>IF(A26="","",IF(M26&lt;=0,"Drop",IF(AND(L26&gt;0,N26&gt;=0.6),"Profit product",IF(N26&gt;=0.5,"Traffic product","Thin - rework"))))</f>
        <v/>
      </c>
      <c r="P26" s="4" t="n"/>
      <c r="Q26" s="4" t="n"/>
      <c r="R26" s="3">
        <f>IF(A26="","",IF(Q26=0,"Set a cap",IF(P26&gt;Q26,"Over cap - shrink batch","OK")))</f>
        <v/>
      </c>
    </row>
    <row r="27">
      <c r="E27" s="3">
        <f>IF(A27="","",IF(D27=0,"",IF(D27&gt;2,"Stale - likely saturated","Fresh")))</f>
        <v/>
      </c>
      <c r="I27" s="4" t="n"/>
      <c r="J27" s="4" t="n"/>
      <c r="K27" s="4" t="n"/>
      <c r="L27" s="5">
        <f>IF(A27="","",I27-J27)</f>
        <v/>
      </c>
      <c r="M27" s="5">
        <f>IF(A27="","",J27-K27)</f>
        <v/>
      </c>
      <c r="N27" s="6">
        <f>IF(A27="","",IFERROR((J27-K27)/J27,0))</f>
        <v/>
      </c>
      <c r="O27" s="3">
        <f>IF(A27="","",IF(M27&lt;=0,"Drop",IF(AND(L27&gt;0,N27&gt;=0.6),"Profit product",IF(N27&gt;=0.5,"Traffic product","Thin - rework"))))</f>
        <v/>
      </c>
      <c r="P27" s="4" t="n"/>
      <c r="Q27" s="4" t="n"/>
      <c r="R27" s="3">
        <f>IF(A27="","",IF(Q27=0,"Set a cap",IF(P27&gt;Q27,"Over cap - shrink batch","OK")))</f>
        <v/>
      </c>
    </row>
    <row r="28">
      <c r="E28" s="3">
        <f>IF(A28="","",IF(D28=0,"",IF(D28&gt;2,"Stale - likely saturated","Fresh")))</f>
        <v/>
      </c>
      <c r="I28" s="4" t="n"/>
      <c r="J28" s="4" t="n"/>
      <c r="K28" s="4" t="n"/>
      <c r="L28" s="5">
        <f>IF(A28="","",I28-J28)</f>
        <v/>
      </c>
      <c r="M28" s="5">
        <f>IF(A28="","",J28-K28)</f>
        <v/>
      </c>
      <c r="N28" s="6">
        <f>IF(A28="","",IFERROR((J28-K28)/J28,0))</f>
        <v/>
      </c>
      <c r="O28" s="3">
        <f>IF(A28="","",IF(M28&lt;=0,"Drop",IF(AND(L28&gt;0,N28&gt;=0.6),"Profit product",IF(N28&gt;=0.5,"Traffic product","Thin - rework"))))</f>
        <v/>
      </c>
      <c r="P28" s="4" t="n"/>
      <c r="Q28" s="4" t="n"/>
      <c r="R28" s="3">
        <f>IF(A28="","",IF(Q28=0,"Set a cap",IF(P28&gt;Q28,"Over cap - shrink batch","OK")))</f>
        <v/>
      </c>
    </row>
    <row r="29">
      <c r="E29" s="3">
        <f>IF(A29="","",IF(D29=0,"",IF(D29&gt;2,"Stale - likely saturated","Fresh")))</f>
        <v/>
      </c>
      <c r="I29" s="4" t="n"/>
      <c r="J29" s="4" t="n"/>
      <c r="K29" s="4" t="n"/>
      <c r="L29" s="5">
        <f>IF(A29="","",I29-J29)</f>
        <v/>
      </c>
      <c r="M29" s="5">
        <f>IF(A29="","",J29-K29)</f>
        <v/>
      </c>
      <c r="N29" s="6">
        <f>IF(A29="","",IFERROR((J29-K29)/J29,0))</f>
        <v/>
      </c>
      <c r="O29" s="3">
        <f>IF(A29="","",IF(M29&lt;=0,"Drop",IF(AND(L29&gt;0,N29&gt;=0.6),"Profit product",IF(N29&gt;=0.5,"Traffic product","Thin - rework"))))</f>
        <v/>
      </c>
      <c r="P29" s="4" t="n"/>
      <c r="Q29" s="4" t="n"/>
      <c r="R29" s="3">
        <f>IF(A29="","",IF(Q29=0,"Set a cap",IF(P29&gt;Q29,"Over cap - shrink batch","OK")))</f>
        <v/>
      </c>
    </row>
    <row r="30">
      <c r="E30" s="3">
        <f>IF(A30="","",IF(D30=0,"",IF(D30&gt;2,"Stale - likely saturated","Fresh")))</f>
        <v/>
      </c>
      <c r="I30" s="4" t="n"/>
      <c r="J30" s="4" t="n"/>
      <c r="K30" s="4" t="n"/>
      <c r="L30" s="5">
        <f>IF(A30="","",I30-J30)</f>
        <v/>
      </c>
      <c r="M30" s="5">
        <f>IF(A30="","",J30-K30)</f>
        <v/>
      </c>
      <c r="N30" s="6">
        <f>IF(A30="","",IFERROR((J30-K30)/J30,0))</f>
        <v/>
      </c>
      <c r="O30" s="3">
        <f>IF(A30="","",IF(M30&lt;=0,"Drop",IF(AND(L30&gt;0,N30&gt;=0.6),"Profit product",IF(N30&gt;=0.5,"Traffic product","Thin - rework"))))</f>
        <v/>
      </c>
      <c r="P30" s="4" t="n"/>
      <c r="Q30" s="4" t="n"/>
      <c r="R30" s="3">
        <f>IF(A30="","",IF(Q30=0,"Set a cap",IF(P30&gt;Q30,"Over cap - shrink batch","OK")))</f>
        <v/>
      </c>
    </row>
    <row r="31">
      <c r="E31" s="3">
        <f>IF(A31="","",IF(D31=0,"",IF(D31&gt;2,"Stale - likely saturated","Fresh")))</f>
        <v/>
      </c>
      <c r="I31" s="4" t="n"/>
      <c r="J31" s="4" t="n"/>
      <c r="K31" s="4" t="n"/>
      <c r="L31" s="5">
        <f>IF(A31="","",I31-J31)</f>
        <v/>
      </c>
      <c r="M31" s="5">
        <f>IF(A31="","",J31-K31)</f>
        <v/>
      </c>
      <c r="N31" s="6">
        <f>IF(A31="","",IFERROR((J31-K31)/J31,0))</f>
        <v/>
      </c>
      <c r="O31" s="3">
        <f>IF(A31="","",IF(M31&lt;=0,"Drop",IF(AND(L31&gt;0,N31&gt;=0.6),"Profit product",IF(N31&gt;=0.5,"Traffic product","Thin - rework"))))</f>
        <v/>
      </c>
      <c r="P31" s="4" t="n"/>
      <c r="Q31" s="4" t="n"/>
      <c r="R31" s="3">
        <f>IF(A31="","",IF(Q31=0,"Set a cap",IF(P31&gt;Q31,"Over cap - shrink batch","OK")))</f>
        <v/>
      </c>
    </row>
    <row r="32">
      <c r="E32" s="3">
        <f>IF(A32="","",IF(D32=0,"",IF(D32&gt;2,"Stale - likely saturated","Fresh")))</f>
        <v/>
      </c>
      <c r="I32" s="4" t="n"/>
      <c r="J32" s="4" t="n"/>
      <c r="K32" s="4" t="n"/>
      <c r="L32" s="5">
        <f>IF(A32="","",I32-J32)</f>
        <v/>
      </c>
      <c r="M32" s="5">
        <f>IF(A32="","",J32-K32)</f>
        <v/>
      </c>
      <c r="N32" s="6">
        <f>IF(A32="","",IFERROR((J32-K32)/J32,0))</f>
        <v/>
      </c>
      <c r="O32" s="3">
        <f>IF(A32="","",IF(M32&lt;=0,"Drop",IF(AND(L32&gt;0,N32&gt;=0.6),"Profit product",IF(N32&gt;=0.5,"Traffic product","Thin - rework"))))</f>
        <v/>
      </c>
      <c r="P32" s="4" t="n"/>
      <c r="Q32" s="4" t="n"/>
      <c r="R32" s="3">
        <f>IF(A32="","",IF(Q32=0,"Set a cap",IF(P32&gt;Q32,"Over cap - shrink batch","OK")))</f>
        <v/>
      </c>
    </row>
    <row r="33">
      <c r="E33" s="3">
        <f>IF(A33="","",IF(D33=0,"",IF(D33&gt;2,"Stale - likely saturated","Fresh")))</f>
        <v/>
      </c>
      <c r="I33" s="4" t="n"/>
      <c r="J33" s="4" t="n"/>
      <c r="K33" s="4" t="n"/>
      <c r="L33" s="5">
        <f>IF(A33="","",I33-J33)</f>
        <v/>
      </c>
      <c r="M33" s="5">
        <f>IF(A33="","",J33-K33)</f>
        <v/>
      </c>
      <c r="N33" s="6">
        <f>IF(A33="","",IFERROR((J33-K33)/J33,0))</f>
        <v/>
      </c>
      <c r="O33" s="3">
        <f>IF(A33="","",IF(M33&lt;=0,"Drop",IF(AND(L33&gt;0,N33&gt;=0.6),"Profit product",IF(N33&gt;=0.5,"Traffic product","Thin - rework"))))</f>
        <v/>
      </c>
      <c r="P33" s="4" t="n"/>
      <c r="Q33" s="4" t="n"/>
      <c r="R33" s="3">
        <f>IF(A33="","",IF(Q33=0,"Set a cap",IF(P33&gt;Q33,"Over cap - shrink batch","OK")))</f>
        <v/>
      </c>
    </row>
    <row r="34">
      <c r="E34" s="3">
        <f>IF(A34="","",IF(D34=0,"",IF(D34&gt;2,"Stale - likely saturated","Fresh")))</f>
        <v/>
      </c>
      <c r="I34" s="4" t="n"/>
      <c r="J34" s="4" t="n"/>
      <c r="K34" s="4" t="n"/>
      <c r="L34" s="5">
        <f>IF(A34="","",I34-J34)</f>
        <v/>
      </c>
      <c r="M34" s="5">
        <f>IF(A34="","",J34-K34)</f>
        <v/>
      </c>
      <c r="N34" s="6">
        <f>IF(A34="","",IFERROR((J34-K34)/J34,0))</f>
        <v/>
      </c>
      <c r="O34" s="3">
        <f>IF(A34="","",IF(M34&lt;=0,"Drop",IF(AND(L34&gt;0,N34&gt;=0.6),"Profit product",IF(N34&gt;=0.5,"Traffic product","Thin - rework"))))</f>
        <v/>
      </c>
      <c r="P34" s="4" t="n"/>
      <c r="Q34" s="4" t="n"/>
      <c r="R34" s="3">
        <f>IF(A34="","",IF(Q34=0,"Set a cap",IF(P34&gt;Q34,"Over cap - shrink batch","OK")))</f>
        <v/>
      </c>
    </row>
    <row r="35">
      <c r="E35" s="3">
        <f>IF(A35="","",IF(D35=0,"",IF(D35&gt;2,"Stale - likely saturated","Fresh")))</f>
        <v/>
      </c>
      <c r="I35" s="4" t="n"/>
      <c r="J35" s="4" t="n"/>
      <c r="K35" s="4" t="n"/>
      <c r="L35" s="5">
        <f>IF(A35="","",I35-J35)</f>
        <v/>
      </c>
      <c r="M35" s="5">
        <f>IF(A35="","",J35-K35)</f>
        <v/>
      </c>
      <c r="N35" s="6">
        <f>IF(A35="","",IFERROR((J35-K35)/J35,0))</f>
        <v/>
      </c>
      <c r="O35" s="3">
        <f>IF(A35="","",IF(M35&lt;=0,"Drop",IF(AND(L35&gt;0,N35&gt;=0.6),"Profit product",IF(N35&gt;=0.5,"Traffic product","Thin - rework"))))</f>
        <v/>
      </c>
      <c r="P35" s="4" t="n"/>
      <c r="Q35" s="4" t="n"/>
      <c r="R35" s="3">
        <f>IF(A35="","",IF(Q35=0,"Set a cap",IF(P35&gt;Q35,"Over cap - shrink batch","OK")))</f>
        <v/>
      </c>
    </row>
    <row r="36">
      <c r="E36" s="3">
        <f>IF(A36="","",IF(D36=0,"",IF(D36&gt;2,"Stale - likely saturated","Fresh")))</f>
        <v/>
      </c>
      <c r="I36" s="4" t="n"/>
      <c r="J36" s="4" t="n"/>
      <c r="K36" s="4" t="n"/>
      <c r="L36" s="5">
        <f>IF(A36="","",I36-J36)</f>
        <v/>
      </c>
      <c r="M36" s="5">
        <f>IF(A36="","",J36-K36)</f>
        <v/>
      </c>
      <c r="N36" s="6">
        <f>IF(A36="","",IFERROR((J36-K36)/J36,0))</f>
        <v/>
      </c>
      <c r="O36" s="3">
        <f>IF(A36="","",IF(M36&lt;=0,"Drop",IF(AND(L36&gt;0,N36&gt;=0.6),"Profit product",IF(N36&gt;=0.5,"Traffic product","Thin - rework"))))</f>
        <v/>
      </c>
      <c r="P36" s="4" t="n"/>
      <c r="Q36" s="4" t="n"/>
      <c r="R36" s="3">
        <f>IF(A36="","",IF(Q36=0,"Set a cap",IF(P36&gt;Q36,"Over cap - shrink batch","OK")))</f>
        <v/>
      </c>
    </row>
    <row r="37">
      <c r="E37" s="3">
        <f>IF(A37="","",IF(D37=0,"",IF(D37&gt;2,"Stale - likely saturated","Fresh")))</f>
        <v/>
      </c>
      <c r="I37" s="4" t="n"/>
      <c r="J37" s="4" t="n"/>
      <c r="K37" s="4" t="n"/>
      <c r="L37" s="5">
        <f>IF(A37="","",I37-J37)</f>
        <v/>
      </c>
      <c r="M37" s="5">
        <f>IF(A37="","",J37-K37)</f>
        <v/>
      </c>
      <c r="N37" s="6">
        <f>IF(A37="","",IFERROR((J37-K37)/J37,0))</f>
        <v/>
      </c>
      <c r="O37" s="3">
        <f>IF(A37="","",IF(M37&lt;=0,"Drop",IF(AND(L37&gt;0,N37&gt;=0.6),"Profit product",IF(N37&gt;=0.5,"Traffic product","Thin - rework"))))</f>
        <v/>
      </c>
      <c r="P37" s="4" t="n"/>
      <c r="Q37" s="4" t="n"/>
      <c r="R37" s="3">
        <f>IF(A37="","",IF(Q37=0,"Set a cap",IF(P37&gt;Q37,"Over cap - shrink batch","OK")))</f>
        <v/>
      </c>
    </row>
    <row r="38">
      <c r="E38" s="3">
        <f>IF(A38="","",IF(D38=0,"",IF(D38&gt;2,"Stale - likely saturated","Fresh")))</f>
        <v/>
      </c>
      <c r="I38" s="4" t="n"/>
      <c r="J38" s="4" t="n"/>
      <c r="K38" s="4" t="n"/>
      <c r="L38" s="5">
        <f>IF(A38="","",I38-J38)</f>
        <v/>
      </c>
      <c r="M38" s="5">
        <f>IF(A38="","",J38-K38)</f>
        <v/>
      </c>
      <c r="N38" s="6">
        <f>IF(A38="","",IFERROR((J38-K38)/J38,0))</f>
        <v/>
      </c>
      <c r="O38" s="3">
        <f>IF(A38="","",IF(M38&lt;=0,"Drop",IF(AND(L38&gt;0,N38&gt;=0.6),"Profit product",IF(N38&gt;=0.5,"Traffic product","Thin - rework"))))</f>
        <v/>
      </c>
      <c r="P38" s="4" t="n"/>
      <c r="Q38" s="4" t="n"/>
      <c r="R38" s="3">
        <f>IF(A38="","",IF(Q38=0,"Set a cap",IF(P38&gt;Q38,"Over cap - shrink batch","OK")))</f>
        <v/>
      </c>
    </row>
    <row r="39">
      <c r="E39" s="3">
        <f>IF(A39="","",IF(D39=0,"",IF(D39&gt;2,"Stale - likely saturated","Fresh")))</f>
        <v/>
      </c>
      <c r="I39" s="4" t="n"/>
      <c r="J39" s="4" t="n"/>
      <c r="K39" s="4" t="n"/>
      <c r="L39" s="5">
        <f>IF(A39="","",I39-J39)</f>
        <v/>
      </c>
      <c r="M39" s="5">
        <f>IF(A39="","",J39-K39)</f>
        <v/>
      </c>
      <c r="N39" s="6">
        <f>IF(A39="","",IFERROR((J39-K39)/J39,0))</f>
        <v/>
      </c>
      <c r="O39" s="3">
        <f>IF(A39="","",IF(M39&lt;=0,"Drop",IF(AND(L39&gt;0,N39&gt;=0.6),"Profit product",IF(N39&gt;=0.5,"Traffic product","Thin - rework"))))</f>
        <v/>
      </c>
      <c r="P39" s="4" t="n"/>
      <c r="Q39" s="4" t="n"/>
      <c r="R39" s="3">
        <f>IF(A39="","",IF(Q39=0,"Set a cap",IF(P39&gt;Q39,"Over cap - shrink batch","OK")))</f>
        <v/>
      </c>
    </row>
    <row r="40">
      <c r="E40" s="3">
        <f>IF(A40="","",IF(D40=0,"",IF(D40&gt;2,"Stale - likely saturated","Fresh")))</f>
        <v/>
      </c>
      <c r="I40" s="4" t="n"/>
      <c r="J40" s="4" t="n"/>
      <c r="K40" s="4" t="n"/>
      <c r="L40" s="5">
        <f>IF(A40="","",I40-J40)</f>
        <v/>
      </c>
      <c r="M40" s="5">
        <f>IF(A40="","",J40-K40)</f>
        <v/>
      </c>
      <c r="N40" s="6">
        <f>IF(A40="","",IFERROR((J40-K40)/J40,0))</f>
        <v/>
      </c>
      <c r="O40" s="3">
        <f>IF(A40="","",IF(M40&lt;=0,"Drop",IF(AND(L40&gt;0,N40&gt;=0.6),"Profit product",IF(N40&gt;=0.5,"Traffic product","Thin - rework"))))</f>
        <v/>
      </c>
      <c r="P40" s="4" t="n"/>
      <c r="Q40" s="4" t="n"/>
      <c r="R40" s="3">
        <f>IF(A40="","",IF(Q40=0,"Set a cap",IF(P40&gt;Q40,"Over cap - shrink batch","OK")))</f>
        <v/>
      </c>
    </row>
    <row r="41">
      <c r="E41" s="3">
        <f>IF(A41="","",IF(D41=0,"",IF(D41&gt;2,"Stale - likely saturated","Fresh")))</f>
        <v/>
      </c>
      <c r="I41" s="4" t="n"/>
      <c r="J41" s="4" t="n"/>
      <c r="K41" s="4" t="n"/>
      <c r="L41" s="5">
        <f>IF(A41="","",I41-J41)</f>
        <v/>
      </c>
      <c r="M41" s="5">
        <f>IF(A41="","",J41-K41)</f>
        <v/>
      </c>
      <c r="N41" s="6">
        <f>IF(A41="","",IFERROR((J41-K41)/J41,0))</f>
        <v/>
      </c>
      <c r="O41" s="3">
        <f>IF(A41="","",IF(M41&lt;=0,"Drop",IF(AND(L41&gt;0,N41&gt;=0.6),"Profit product",IF(N41&gt;=0.5,"Traffic product","Thin - rework"))))</f>
        <v/>
      </c>
      <c r="P41" s="4" t="n"/>
      <c r="Q41" s="4" t="n"/>
      <c r="R41" s="3">
        <f>IF(A41="","",IF(Q41=0,"Set a cap",IF(P41&gt;Q41,"Over cap - shrink batch","OK")))</f>
        <v/>
      </c>
    </row>
    <row r="42">
      <c r="E42" s="3">
        <f>IF(A42="","",IF(D42=0,"",IF(D42&gt;2,"Stale - likely saturated","Fresh")))</f>
        <v/>
      </c>
      <c r="I42" s="4" t="n"/>
      <c r="J42" s="4" t="n"/>
      <c r="K42" s="4" t="n"/>
      <c r="L42" s="5">
        <f>IF(A42="","",I42-J42)</f>
        <v/>
      </c>
      <c r="M42" s="5">
        <f>IF(A42="","",J42-K42)</f>
        <v/>
      </c>
      <c r="N42" s="6">
        <f>IF(A42="","",IFERROR((J42-K42)/J42,0))</f>
        <v/>
      </c>
      <c r="O42" s="3">
        <f>IF(A42="","",IF(M42&lt;=0,"Drop",IF(AND(L42&gt;0,N42&gt;=0.6),"Profit product",IF(N42&gt;=0.5,"Traffic product","Thin - rework"))))</f>
        <v/>
      </c>
      <c r="P42" s="4" t="n"/>
      <c r="Q42" s="4" t="n"/>
      <c r="R42" s="3">
        <f>IF(A42="","",IF(Q42=0,"Set a cap",IF(P42&gt;Q42,"Over cap - shrink batch","OK")))</f>
        <v/>
      </c>
    </row>
    <row r="43">
      <c r="E43" s="3">
        <f>IF(A43="","",IF(D43=0,"",IF(D43&gt;2,"Stale - likely saturated","Fresh")))</f>
        <v/>
      </c>
      <c r="I43" s="4" t="n"/>
      <c r="J43" s="4" t="n"/>
      <c r="K43" s="4" t="n"/>
      <c r="L43" s="5">
        <f>IF(A43="","",I43-J43)</f>
        <v/>
      </c>
      <c r="M43" s="5">
        <f>IF(A43="","",J43-K43)</f>
        <v/>
      </c>
      <c r="N43" s="6">
        <f>IF(A43="","",IFERROR((J43-K43)/J43,0))</f>
        <v/>
      </c>
      <c r="O43" s="3">
        <f>IF(A43="","",IF(M43&lt;=0,"Drop",IF(AND(L43&gt;0,N43&gt;=0.6),"Profit product",IF(N43&gt;=0.5,"Traffic product","Thin - rework"))))</f>
        <v/>
      </c>
      <c r="P43" s="4" t="n"/>
      <c r="Q43" s="4" t="n"/>
      <c r="R43" s="3">
        <f>IF(A43="","",IF(Q43=0,"Set a cap",IF(P43&gt;Q43,"Over cap - shrink batch","OK")))</f>
        <v/>
      </c>
    </row>
    <row r="44">
      <c r="E44" s="3">
        <f>IF(A44="","",IF(D44=0,"",IF(D44&gt;2,"Stale - likely saturated","Fresh")))</f>
        <v/>
      </c>
      <c r="I44" s="4" t="n"/>
      <c r="J44" s="4" t="n"/>
      <c r="K44" s="4" t="n"/>
      <c r="L44" s="5">
        <f>IF(A44="","",I44-J44)</f>
        <v/>
      </c>
      <c r="M44" s="5">
        <f>IF(A44="","",J44-K44)</f>
        <v/>
      </c>
      <c r="N44" s="6">
        <f>IF(A44="","",IFERROR((J44-K44)/J44,0))</f>
        <v/>
      </c>
      <c r="O44" s="3">
        <f>IF(A44="","",IF(M44&lt;=0,"Drop",IF(AND(L44&gt;0,N44&gt;=0.6),"Profit product",IF(N44&gt;=0.5,"Traffic product","Thin - rework"))))</f>
        <v/>
      </c>
      <c r="P44" s="4" t="n"/>
      <c r="Q44" s="4" t="n"/>
      <c r="R44" s="3">
        <f>IF(A44="","",IF(Q44=0,"Set a cap",IF(P44&gt;Q44,"Over cap - shrink batch","OK")))</f>
        <v/>
      </c>
    </row>
    <row r="45">
      <c r="E45" s="3">
        <f>IF(A45="","",IF(D45=0,"",IF(D45&gt;2,"Stale - likely saturated","Fresh")))</f>
        <v/>
      </c>
      <c r="I45" s="4" t="n"/>
      <c r="J45" s="4" t="n"/>
      <c r="K45" s="4" t="n"/>
      <c r="L45" s="5">
        <f>IF(A45="","",I45-J45)</f>
        <v/>
      </c>
      <c r="M45" s="5">
        <f>IF(A45="","",J45-K45)</f>
        <v/>
      </c>
      <c r="N45" s="6">
        <f>IF(A45="","",IFERROR((J45-K45)/J45,0))</f>
        <v/>
      </c>
      <c r="O45" s="3">
        <f>IF(A45="","",IF(M45&lt;=0,"Drop",IF(AND(L45&gt;0,N45&gt;=0.6),"Profit product",IF(N45&gt;=0.5,"Traffic product","Thin - rework"))))</f>
        <v/>
      </c>
      <c r="P45" s="4" t="n"/>
      <c r="Q45" s="4" t="n"/>
      <c r="R45" s="3">
        <f>IF(A45="","",IF(Q45=0,"Set a cap",IF(P45&gt;Q45,"Over cap - shrink batch","OK")))</f>
        <v/>
      </c>
    </row>
    <row r="46">
      <c r="E46" s="3">
        <f>IF(A46="","",IF(D46=0,"",IF(D46&gt;2,"Stale - likely saturated","Fresh")))</f>
        <v/>
      </c>
      <c r="I46" s="4" t="n"/>
      <c r="J46" s="4" t="n"/>
      <c r="K46" s="4" t="n"/>
      <c r="L46" s="5">
        <f>IF(A46="","",I46-J46)</f>
        <v/>
      </c>
      <c r="M46" s="5">
        <f>IF(A46="","",J46-K46)</f>
        <v/>
      </c>
      <c r="N46" s="6">
        <f>IF(A46="","",IFERROR((J46-K46)/J46,0))</f>
        <v/>
      </c>
      <c r="O46" s="3">
        <f>IF(A46="","",IF(M46&lt;=0,"Drop",IF(AND(L46&gt;0,N46&gt;=0.6),"Profit product",IF(N46&gt;=0.5,"Traffic product","Thin - rework"))))</f>
        <v/>
      </c>
      <c r="P46" s="4" t="n"/>
      <c r="Q46" s="4" t="n"/>
      <c r="R46" s="3">
        <f>IF(A46="","",IF(Q46=0,"Set a cap",IF(P46&gt;Q46,"Over cap - shrink batch","OK")))</f>
        <v/>
      </c>
    </row>
    <row r="47">
      <c r="E47" s="3">
        <f>IF(A47="","",IF(D47=0,"",IF(D47&gt;2,"Stale - likely saturated","Fresh")))</f>
        <v/>
      </c>
      <c r="I47" s="4" t="n"/>
      <c r="J47" s="4" t="n"/>
      <c r="K47" s="4" t="n"/>
      <c r="L47" s="5">
        <f>IF(A47="","",I47-J47)</f>
        <v/>
      </c>
      <c r="M47" s="5">
        <f>IF(A47="","",J47-K47)</f>
        <v/>
      </c>
      <c r="N47" s="6">
        <f>IF(A47="","",IFERROR((J47-K47)/J47,0))</f>
        <v/>
      </c>
      <c r="O47" s="3">
        <f>IF(A47="","",IF(M47&lt;=0,"Drop",IF(AND(L47&gt;0,N47&gt;=0.6),"Profit product",IF(N47&gt;=0.5,"Traffic product","Thin - rework"))))</f>
        <v/>
      </c>
      <c r="P47" s="4" t="n"/>
      <c r="Q47" s="4" t="n"/>
      <c r="R47" s="3">
        <f>IF(A47="","",IF(Q47=0,"Set a cap",IF(P47&gt;Q47,"Over cap - shrink batch","OK")))</f>
        <v/>
      </c>
    </row>
    <row r="48">
      <c r="E48" s="3">
        <f>IF(A48="","",IF(D48=0,"",IF(D48&gt;2,"Stale - likely saturated","Fresh")))</f>
        <v/>
      </c>
      <c r="I48" s="4" t="n"/>
      <c r="J48" s="4" t="n"/>
      <c r="K48" s="4" t="n"/>
      <c r="L48" s="5">
        <f>IF(A48="","",I48-J48)</f>
        <v/>
      </c>
      <c r="M48" s="5">
        <f>IF(A48="","",J48-K48)</f>
        <v/>
      </c>
      <c r="N48" s="6">
        <f>IF(A48="","",IFERROR((J48-K48)/J48,0))</f>
        <v/>
      </c>
      <c r="O48" s="3">
        <f>IF(A48="","",IF(M48&lt;=0,"Drop",IF(AND(L48&gt;0,N48&gt;=0.6),"Profit product",IF(N48&gt;=0.5,"Traffic product","Thin - rework"))))</f>
        <v/>
      </c>
      <c r="P48" s="4" t="n"/>
      <c r="Q48" s="4" t="n"/>
      <c r="R48" s="3">
        <f>IF(A48="","",IF(Q48=0,"Set a cap",IF(P48&gt;Q48,"Over cap - shrink batch","OK")))</f>
        <v/>
      </c>
    </row>
    <row r="49">
      <c r="E49" s="3">
        <f>IF(A49="","",IF(D49=0,"",IF(D49&gt;2,"Stale - likely saturated","Fresh")))</f>
        <v/>
      </c>
      <c r="I49" s="4" t="n"/>
      <c r="J49" s="4" t="n"/>
      <c r="K49" s="4" t="n"/>
      <c r="L49" s="5">
        <f>IF(A49="","",I49-J49)</f>
        <v/>
      </c>
      <c r="M49" s="5">
        <f>IF(A49="","",J49-K49)</f>
        <v/>
      </c>
      <c r="N49" s="6">
        <f>IF(A49="","",IFERROR((J49-K49)/J49,0))</f>
        <v/>
      </c>
      <c r="O49" s="3">
        <f>IF(A49="","",IF(M49&lt;=0,"Drop",IF(AND(L49&gt;0,N49&gt;=0.6),"Profit product",IF(N49&gt;=0.5,"Traffic product","Thin - rework"))))</f>
        <v/>
      </c>
      <c r="P49" s="4" t="n"/>
      <c r="Q49" s="4" t="n"/>
      <c r="R49" s="3">
        <f>IF(A49="","",IF(Q49=0,"Set a cap",IF(P49&gt;Q49,"Over cap - shrink batch","OK")))</f>
        <v/>
      </c>
    </row>
    <row r="50">
      <c r="E50" s="3">
        <f>IF(A50="","",IF(D50=0,"",IF(D50&gt;2,"Stale - likely saturated","Fresh")))</f>
        <v/>
      </c>
      <c r="I50" s="4" t="n"/>
      <c r="J50" s="4" t="n"/>
      <c r="K50" s="4" t="n"/>
      <c r="L50" s="5">
        <f>IF(A50="","",I50-J50)</f>
        <v/>
      </c>
      <c r="M50" s="5">
        <f>IF(A50="","",J50-K50)</f>
        <v/>
      </c>
      <c r="N50" s="6">
        <f>IF(A50="","",IFERROR((J50-K50)/J50,0))</f>
        <v/>
      </c>
      <c r="O50" s="3">
        <f>IF(A50="","",IF(M50&lt;=0,"Drop",IF(AND(L50&gt;0,N50&gt;=0.6),"Profit product",IF(N50&gt;=0.5,"Traffic product","Thin - rework"))))</f>
        <v/>
      </c>
      <c r="P50" s="4" t="n"/>
      <c r="Q50" s="4" t="n"/>
      <c r="R50" s="3">
        <f>IF(A50="","",IF(Q50=0,"Set a cap",IF(P50&gt;Q50,"Over cap - shrink batch","OK")))</f>
        <v/>
      </c>
    </row>
    <row r="51">
      <c r="E51" s="3">
        <f>IF(A51="","",IF(D51=0,"",IF(D51&gt;2,"Stale - likely saturated","Fresh")))</f>
        <v/>
      </c>
      <c r="I51" s="4" t="n"/>
      <c r="J51" s="4" t="n"/>
      <c r="K51" s="4" t="n"/>
      <c r="L51" s="5">
        <f>IF(A51="","",I51-J51)</f>
        <v/>
      </c>
      <c r="M51" s="5">
        <f>IF(A51="","",J51-K51)</f>
        <v/>
      </c>
      <c r="N51" s="6">
        <f>IF(A51="","",IFERROR((J51-K51)/J51,0))</f>
        <v/>
      </c>
      <c r="O51" s="3">
        <f>IF(A51="","",IF(M51&lt;=0,"Drop",IF(AND(L51&gt;0,N51&gt;=0.6),"Profit product",IF(N51&gt;=0.5,"Traffic product","Thin - rework"))))</f>
        <v/>
      </c>
      <c r="P51" s="4" t="n"/>
      <c r="Q51" s="4" t="n"/>
      <c r="R51" s="3">
        <f>IF(A51="","",IF(Q51=0,"Set a cap",IF(P51&gt;Q51,"Over cap - shrink batch","OK")))</f>
        <v/>
      </c>
    </row>
    <row r="52">
      <c r="E52" s="3">
        <f>IF(A52="","",IF(D52=0,"",IF(D52&gt;2,"Stale - likely saturated","Fresh")))</f>
        <v/>
      </c>
      <c r="I52" s="4" t="n"/>
      <c r="J52" s="4" t="n"/>
      <c r="K52" s="4" t="n"/>
      <c r="L52" s="5">
        <f>IF(A52="","",I52-J52)</f>
        <v/>
      </c>
      <c r="M52" s="5">
        <f>IF(A52="","",J52-K52)</f>
        <v/>
      </c>
      <c r="N52" s="6">
        <f>IF(A52="","",IFERROR((J52-K52)/J52,0))</f>
        <v/>
      </c>
      <c r="O52" s="3">
        <f>IF(A52="","",IF(M52&lt;=0,"Drop",IF(AND(L52&gt;0,N52&gt;=0.6),"Profit product",IF(N52&gt;=0.5,"Traffic product","Thin - rework"))))</f>
        <v/>
      </c>
      <c r="P52" s="4" t="n"/>
      <c r="Q52" s="4" t="n"/>
      <c r="R52" s="3">
        <f>IF(A52="","",IF(Q52=0,"Set a cap",IF(P52&gt;Q52,"Over cap - shrink batch","OK")))</f>
        <v/>
      </c>
    </row>
    <row r="53">
      <c r="E53" s="3">
        <f>IF(A53="","",IF(D53=0,"",IF(D53&gt;2,"Stale - likely saturated","Fresh")))</f>
        <v/>
      </c>
      <c r="I53" s="4" t="n"/>
      <c r="J53" s="4" t="n"/>
      <c r="K53" s="4" t="n"/>
      <c r="L53" s="5">
        <f>IF(A53="","",I53-J53)</f>
        <v/>
      </c>
      <c r="M53" s="5">
        <f>IF(A53="","",J53-K53)</f>
        <v/>
      </c>
      <c r="N53" s="6">
        <f>IF(A53="","",IFERROR((J53-K53)/J53,0))</f>
        <v/>
      </c>
      <c r="O53" s="3">
        <f>IF(A53="","",IF(M53&lt;=0,"Drop",IF(AND(L53&gt;0,N53&gt;=0.6),"Profit product",IF(N53&gt;=0.5,"Traffic product","Thin - rework"))))</f>
        <v/>
      </c>
      <c r="P53" s="4" t="n"/>
      <c r="Q53" s="4" t="n"/>
      <c r="R53" s="3">
        <f>IF(A53="","",IF(Q53=0,"Set a cap",IF(P53&gt;Q53,"Over cap - shrink batch","OK")))</f>
        <v/>
      </c>
    </row>
    <row r="54">
      <c r="E54" s="3">
        <f>IF(A54="","",IF(D54=0,"",IF(D54&gt;2,"Stale - likely saturated","Fresh")))</f>
        <v/>
      </c>
      <c r="I54" s="4" t="n"/>
      <c r="J54" s="4" t="n"/>
      <c r="K54" s="4" t="n"/>
      <c r="L54" s="5">
        <f>IF(A54="","",I54-J54)</f>
        <v/>
      </c>
      <c r="M54" s="5">
        <f>IF(A54="","",J54-K54)</f>
        <v/>
      </c>
      <c r="N54" s="6">
        <f>IF(A54="","",IFERROR((J54-K54)/J54,0))</f>
        <v/>
      </c>
      <c r="O54" s="3">
        <f>IF(A54="","",IF(M54&lt;=0,"Drop",IF(AND(L54&gt;0,N54&gt;=0.6),"Profit product",IF(N54&gt;=0.5,"Traffic product","Thin - rework"))))</f>
        <v/>
      </c>
      <c r="P54" s="4" t="n"/>
      <c r="Q54" s="4" t="n"/>
      <c r="R54" s="3">
        <f>IF(A54="","",IF(Q54=0,"Set a cap",IF(P54&gt;Q54,"Over cap - shrink batch","OK")))</f>
        <v/>
      </c>
    </row>
    <row r="55">
      <c r="E55" s="3">
        <f>IF(A55="","",IF(D55=0,"",IF(D55&gt;2,"Stale - likely saturated","Fresh")))</f>
        <v/>
      </c>
      <c r="I55" s="4" t="n"/>
      <c r="J55" s="4" t="n"/>
      <c r="K55" s="4" t="n"/>
      <c r="L55" s="5">
        <f>IF(A55="","",I55-J55)</f>
        <v/>
      </c>
      <c r="M55" s="5">
        <f>IF(A55="","",J55-K55)</f>
        <v/>
      </c>
      <c r="N55" s="6">
        <f>IF(A55="","",IFERROR((J55-K55)/J55,0))</f>
        <v/>
      </c>
      <c r="O55" s="3">
        <f>IF(A55="","",IF(M55&lt;=0,"Drop",IF(AND(L55&gt;0,N55&gt;=0.6),"Profit product",IF(N55&gt;=0.5,"Traffic product","Thin - rework"))))</f>
        <v/>
      </c>
      <c r="P55" s="4" t="n"/>
      <c r="Q55" s="4" t="n"/>
      <c r="R55" s="3">
        <f>IF(A55="","",IF(Q55=0,"Set a cap",IF(P55&gt;Q55,"Over cap - shrink batch","OK")))</f>
        <v/>
      </c>
    </row>
    <row r="56">
      <c r="E56" s="3">
        <f>IF(A56="","",IF(D56=0,"",IF(D56&gt;2,"Stale - likely saturated","Fresh")))</f>
        <v/>
      </c>
      <c r="I56" s="4" t="n"/>
      <c r="J56" s="4" t="n"/>
      <c r="K56" s="4" t="n"/>
      <c r="L56" s="5">
        <f>IF(A56="","",I56-J56)</f>
        <v/>
      </c>
      <c r="M56" s="5">
        <f>IF(A56="","",J56-K56)</f>
        <v/>
      </c>
      <c r="N56" s="6">
        <f>IF(A56="","",IFERROR((J56-K56)/J56,0))</f>
        <v/>
      </c>
      <c r="O56" s="3">
        <f>IF(A56="","",IF(M56&lt;=0,"Drop",IF(AND(L56&gt;0,N56&gt;=0.6),"Profit product",IF(N56&gt;=0.5,"Traffic product","Thin - rework"))))</f>
        <v/>
      </c>
      <c r="P56" s="4" t="n"/>
      <c r="Q56" s="4" t="n"/>
      <c r="R56" s="3">
        <f>IF(A56="","",IF(Q56=0,"Set a cap",IF(P56&gt;Q56,"Over cap - shrink batch","OK")))</f>
        <v/>
      </c>
    </row>
    <row r="57">
      <c r="E57" s="3">
        <f>IF(A57="","",IF(D57=0,"",IF(D57&gt;2,"Stale - likely saturated","Fresh")))</f>
        <v/>
      </c>
      <c r="I57" s="4" t="n"/>
      <c r="J57" s="4" t="n"/>
      <c r="K57" s="4" t="n"/>
      <c r="L57" s="5">
        <f>IF(A57="","",I57-J57)</f>
        <v/>
      </c>
      <c r="M57" s="5">
        <f>IF(A57="","",J57-K57)</f>
        <v/>
      </c>
      <c r="N57" s="6">
        <f>IF(A57="","",IFERROR((J57-K57)/J57,0))</f>
        <v/>
      </c>
      <c r="O57" s="3">
        <f>IF(A57="","",IF(M57&lt;=0,"Drop",IF(AND(L57&gt;0,N57&gt;=0.6),"Profit product",IF(N57&gt;=0.5,"Traffic product","Thin - rework"))))</f>
        <v/>
      </c>
      <c r="P57" s="4" t="n"/>
      <c r="Q57" s="4" t="n"/>
      <c r="R57" s="3">
        <f>IF(A57="","",IF(Q57=0,"Set a cap",IF(P57&gt;Q57,"Over cap - shrink batch","OK")))</f>
        <v/>
      </c>
    </row>
    <row r="58">
      <c r="E58" s="3">
        <f>IF(A58="","",IF(D58=0,"",IF(D58&gt;2,"Stale - likely saturated","Fresh")))</f>
        <v/>
      </c>
      <c r="I58" s="4" t="n"/>
      <c r="J58" s="4" t="n"/>
      <c r="K58" s="4" t="n"/>
      <c r="L58" s="5">
        <f>IF(A58="","",I58-J58)</f>
        <v/>
      </c>
      <c r="M58" s="5">
        <f>IF(A58="","",J58-K58)</f>
        <v/>
      </c>
      <c r="N58" s="6">
        <f>IF(A58="","",IFERROR((J58-K58)/J58,0))</f>
        <v/>
      </c>
      <c r="O58" s="3">
        <f>IF(A58="","",IF(M58&lt;=0,"Drop",IF(AND(L58&gt;0,N58&gt;=0.6),"Profit product",IF(N58&gt;=0.5,"Traffic product","Thin - rework"))))</f>
        <v/>
      </c>
      <c r="P58" s="4" t="n"/>
      <c r="Q58" s="4" t="n"/>
      <c r="R58" s="3">
        <f>IF(A58="","",IF(Q58=0,"Set a cap",IF(P58&gt;Q58,"Over cap - shrink batch","OK")))</f>
        <v/>
      </c>
    </row>
    <row r="59">
      <c r="E59" s="3">
        <f>IF(A59="","",IF(D59=0,"",IF(D59&gt;2,"Stale - likely saturated","Fresh")))</f>
        <v/>
      </c>
      <c r="I59" s="4" t="n"/>
      <c r="J59" s="4" t="n"/>
      <c r="K59" s="4" t="n"/>
      <c r="L59" s="5">
        <f>IF(A59="","",I59-J59)</f>
        <v/>
      </c>
      <c r="M59" s="5">
        <f>IF(A59="","",J59-K59)</f>
        <v/>
      </c>
      <c r="N59" s="6">
        <f>IF(A59="","",IFERROR((J59-K59)/J59,0))</f>
        <v/>
      </c>
      <c r="O59" s="3">
        <f>IF(A59="","",IF(M59&lt;=0,"Drop",IF(AND(L59&gt;0,N59&gt;=0.6),"Profit product",IF(N59&gt;=0.5,"Traffic product","Thin - rework"))))</f>
        <v/>
      </c>
      <c r="P59" s="4" t="n"/>
      <c r="Q59" s="4" t="n"/>
      <c r="R59" s="3">
        <f>IF(A59="","",IF(Q59=0,"Set a cap",IF(P59&gt;Q59,"Over cap - shrink batch","OK")))</f>
        <v/>
      </c>
    </row>
    <row r="60">
      <c r="E60" s="3">
        <f>IF(A60="","",IF(D60=0,"",IF(D60&gt;2,"Stale - likely saturated","Fresh")))</f>
        <v/>
      </c>
      <c r="I60" s="4" t="n"/>
      <c r="J60" s="4" t="n"/>
      <c r="K60" s="4" t="n"/>
      <c r="L60" s="5">
        <f>IF(A60="","",I60-J60)</f>
        <v/>
      </c>
      <c r="M60" s="5">
        <f>IF(A60="","",J60-K60)</f>
        <v/>
      </c>
      <c r="N60" s="6">
        <f>IF(A60="","",IFERROR((J60-K60)/J60,0))</f>
        <v/>
      </c>
      <c r="O60" s="3">
        <f>IF(A60="","",IF(M60&lt;=0,"Drop",IF(AND(L60&gt;0,N60&gt;=0.6),"Profit product",IF(N60&gt;=0.5,"Traffic product","Thin - rework"))))</f>
        <v/>
      </c>
      <c r="P60" s="4" t="n"/>
      <c r="Q60" s="4" t="n"/>
      <c r="R60" s="3">
        <f>IF(A60="","",IF(Q60=0,"Set a cap",IF(P60&gt;Q60,"Over cap - shrink batch","OK")))</f>
        <v/>
      </c>
    </row>
    <row r="61">
      <c r="E61" s="3">
        <f>IF(A61="","",IF(D61=0,"",IF(D61&gt;2,"Stale - likely saturated","Fresh")))</f>
        <v/>
      </c>
      <c r="I61" s="4" t="n"/>
      <c r="J61" s="4" t="n"/>
      <c r="K61" s="4" t="n"/>
      <c r="L61" s="5">
        <f>IF(A61="","",I61-J61)</f>
        <v/>
      </c>
      <c r="M61" s="5">
        <f>IF(A61="","",J61-K61)</f>
        <v/>
      </c>
      <c r="N61" s="6">
        <f>IF(A61="","",IFERROR((J61-K61)/J61,0))</f>
        <v/>
      </c>
      <c r="O61" s="3">
        <f>IF(A61="","",IF(M61&lt;=0,"Drop",IF(AND(L61&gt;0,N61&gt;=0.6),"Profit product",IF(N61&gt;=0.5,"Traffic product","Thin - rework"))))</f>
        <v/>
      </c>
      <c r="P61" s="4" t="n"/>
      <c r="Q61" s="4" t="n"/>
      <c r="R61" s="3">
        <f>IF(A61="","",IF(Q61=0,"Set a cap",IF(P61&gt;Q61,"Over cap - shrink batch","OK")))</f>
        <v/>
      </c>
    </row>
    <row r="62">
      <c r="E62" s="3">
        <f>IF(A62="","",IF(D62=0,"",IF(D62&gt;2,"Stale - likely saturated","Fresh")))</f>
        <v/>
      </c>
      <c r="I62" s="4" t="n"/>
      <c r="J62" s="4" t="n"/>
      <c r="K62" s="4" t="n"/>
      <c r="L62" s="5">
        <f>IF(A62="","",I62-J62)</f>
        <v/>
      </c>
      <c r="M62" s="5">
        <f>IF(A62="","",J62-K62)</f>
        <v/>
      </c>
      <c r="N62" s="6">
        <f>IF(A62="","",IFERROR((J62-K62)/J62,0))</f>
        <v/>
      </c>
      <c r="O62" s="3">
        <f>IF(A62="","",IF(M62&lt;=0,"Drop",IF(AND(L62&gt;0,N62&gt;=0.6),"Profit product",IF(N62&gt;=0.5,"Traffic product","Thin - rework"))))</f>
        <v/>
      </c>
      <c r="P62" s="4" t="n"/>
      <c r="Q62" s="4" t="n"/>
      <c r="R62" s="3">
        <f>IF(A62="","",IF(Q62=0,"Set a cap",IF(P62&gt;Q62,"Over cap - shrink batch","OK")))</f>
        <v/>
      </c>
    </row>
    <row r="63">
      <c r="E63" s="3">
        <f>IF(A63="","",IF(D63=0,"",IF(D63&gt;2,"Stale - likely saturated","Fresh")))</f>
        <v/>
      </c>
      <c r="I63" s="4" t="n"/>
      <c r="J63" s="4" t="n"/>
      <c r="K63" s="4" t="n"/>
      <c r="L63" s="5">
        <f>IF(A63="","",I63-J63)</f>
        <v/>
      </c>
      <c r="M63" s="5">
        <f>IF(A63="","",J63-K63)</f>
        <v/>
      </c>
      <c r="N63" s="6">
        <f>IF(A63="","",IFERROR((J63-K63)/J63,0))</f>
        <v/>
      </c>
      <c r="O63" s="3">
        <f>IF(A63="","",IF(M63&lt;=0,"Drop",IF(AND(L63&gt;0,N63&gt;=0.6),"Profit product",IF(N63&gt;=0.5,"Traffic product","Thin - rework"))))</f>
        <v/>
      </c>
      <c r="P63" s="4" t="n"/>
      <c r="Q63" s="4" t="n"/>
      <c r="R63" s="3">
        <f>IF(A63="","",IF(Q63=0,"Set a cap",IF(P63&gt;Q63,"Over cap - shrink batch","OK")))</f>
        <v/>
      </c>
    </row>
    <row r="64">
      <c r="E64" s="3">
        <f>IF(A64="","",IF(D64=0,"",IF(D64&gt;2,"Stale - likely saturated","Fresh")))</f>
        <v/>
      </c>
      <c r="I64" s="4" t="n"/>
      <c r="J64" s="4" t="n"/>
      <c r="K64" s="4" t="n"/>
      <c r="L64" s="5">
        <f>IF(A64="","",I64-J64)</f>
        <v/>
      </c>
      <c r="M64" s="5">
        <f>IF(A64="","",J64-K64)</f>
        <v/>
      </c>
      <c r="N64" s="6">
        <f>IF(A64="","",IFERROR((J64-K64)/J64,0))</f>
        <v/>
      </c>
      <c r="O64" s="3">
        <f>IF(A64="","",IF(M64&lt;=0,"Drop",IF(AND(L64&gt;0,N64&gt;=0.6),"Profit product",IF(N64&gt;=0.5,"Traffic product","Thin - rework"))))</f>
        <v/>
      </c>
      <c r="P64" s="4" t="n"/>
      <c r="Q64" s="4" t="n"/>
      <c r="R64" s="3">
        <f>IF(A64="","",IF(Q64=0,"Set a cap",IF(P64&gt;Q64,"Over cap - shrink batch","OK")))</f>
        <v/>
      </c>
    </row>
    <row r="65">
      <c r="E65" s="3">
        <f>IF(A65="","",IF(D65=0,"",IF(D65&gt;2,"Stale - likely saturated","Fresh")))</f>
        <v/>
      </c>
      <c r="I65" s="4" t="n"/>
      <c r="J65" s="4" t="n"/>
      <c r="K65" s="4" t="n"/>
      <c r="L65" s="5">
        <f>IF(A65="","",I65-J65)</f>
        <v/>
      </c>
      <c r="M65" s="5">
        <f>IF(A65="","",J65-K65)</f>
        <v/>
      </c>
      <c r="N65" s="6">
        <f>IF(A65="","",IFERROR((J65-K65)/J65,0))</f>
        <v/>
      </c>
      <c r="O65" s="3">
        <f>IF(A65="","",IF(M65&lt;=0,"Drop",IF(AND(L65&gt;0,N65&gt;=0.6),"Profit product",IF(N65&gt;=0.5,"Traffic product","Thin - rework"))))</f>
        <v/>
      </c>
      <c r="P65" s="4" t="n"/>
      <c r="Q65" s="4" t="n"/>
      <c r="R65" s="3">
        <f>IF(A65="","",IF(Q65=0,"Set a cap",IF(P65&gt;Q65,"Over cap - shrink batch","OK")))</f>
        <v/>
      </c>
    </row>
    <row r="66">
      <c r="E66" s="3">
        <f>IF(A66="","",IF(D66=0,"",IF(D66&gt;2,"Stale - likely saturated","Fresh")))</f>
        <v/>
      </c>
      <c r="I66" s="4" t="n"/>
      <c r="J66" s="4" t="n"/>
      <c r="K66" s="4" t="n"/>
      <c r="L66" s="5">
        <f>IF(A66="","",I66-J66)</f>
        <v/>
      </c>
      <c r="M66" s="5">
        <f>IF(A66="","",J66-K66)</f>
        <v/>
      </c>
      <c r="N66" s="6">
        <f>IF(A66="","",IFERROR((J66-K66)/J66,0))</f>
        <v/>
      </c>
      <c r="O66" s="3">
        <f>IF(A66="","",IF(M66&lt;=0,"Drop",IF(AND(L66&gt;0,N66&gt;=0.6),"Profit product",IF(N66&gt;=0.5,"Traffic product","Thin - rework"))))</f>
        <v/>
      </c>
      <c r="P66" s="4" t="n"/>
      <c r="Q66" s="4" t="n"/>
      <c r="R66" s="3">
        <f>IF(A66="","",IF(Q66=0,"Set a cap",IF(P66&gt;Q66,"Over cap - shrink batch","OK")))</f>
        <v/>
      </c>
    </row>
    <row r="67">
      <c r="E67" s="3">
        <f>IF(A67="","",IF(D67=0,"",IF(D67&gt;2,"Stale - likely saturated","Fresh")))</f>
        <v/>
      </c>
      <c r="I67" s="4" t="n"/>
      <c r="J67" s="4" t="n"/>
      <c r="K67" s="4" t="n"/>
      <c r="L67" s="5">
        <f>IF(A67="","",I67-J67)</f>
        <v/>
      </c>
      <c r="M67" s="5">
        <f>IF(A67="","",J67-K67)</f>
        <v/>
      </c>
      <c r="N67" s="6">
        <f>IF(A67="","",IFERROR((J67-K67)/J67,0))</f>
        <v/>
      </c>
      <c r="O67" s="3">
        <f>IF(A67="","",IF(M67&lt;=0,"Drop",IF(AND(L67&gt;0,N67&gt;=0.6),"Profit product",IF(N67&gt;=0.5,"Traffic product","Thin - rework"))))</f>
        <v/>
      </c>
      <c r="P67" s="4" t="n"/>
      <c r="Q67" s="4" t="n"/>
      <c r="R67" s="3">
        <f>IF(A67="","",IF(Q67=0,"Set a cap",IF(P67&gt;Q67,"Over cap - shrink batch","OK")))</f>
        <v/>
      </c>
    </row>
    <row r="68">
      <c r="E68" s="3">
        <f>IF(A68="","",IF(D68=0,"",IF(D68&gt;2,"Stale - likely saturated","Fresh")))</f>
        <v/>
      </c>
      <c r="I68" s="4" t="n"/>
      <c r="J68" s="4" t="n"/>
      <c r="K68" s="4" t="n"/>
      <c r="L68" s="5">
        <f>IF(A68="","",I68-J68)</f>
        <v/>
      </c>
      <c r="M68" s="5">
        <f>IF(A68="","",J68-K68)</f>
        <v/>
      </c>
      <c r="N68" s="6">
        <f>IF(A68="","",IFERROR((J68-K68)/J68,0))</f>
        <v/>
      </c>
      <c r="O68" s="3">
        <f>IF(A68="","",IF(M68&lt;=0,"Drop",IF(AND(L68&gt;0,N68&gt;=0.6),"Profit product",IF(N68&gt;=0.5,"Traffic product","Thin - rework"))))</f>
        <v/>
      </c>
      <c r="P68" s="4" t="n"/>
      <c r="Q68" s="4" t="n"/>
      <c r="R68" s="3">
        <f>IF(A68="","",IF(Q68=0,"Set a cap",IF(P68&gt;Q68,"Over cap - shrink batch","OK")))</f>
        <v/>
      </c>
    </row>
    <row r="69">
      <c r="E69" s="3">
        <f>IF(A69="","",IF(D69=0,"",IF(D69&gt;2,"Stale - likely saturated","Fresh")))</f>
        <v/>
      </c>
      <c r="I69" s="4" t="n"/>
      <c r="J69" s="4" t="n"/>
      <c r="K69" s="4" t="n"/>
      <c r="L69" s="5">
        <f>IF(A69="","",I69-J69)</f>
        <v/>
      </c>
      <c r="M69" s="5">
        <f>IF(A69="","",J69-K69)</f>
        <v/>
      </c>
      <c r="N69" s="6">
        <f>IF(A69="","",IFERROR((J69-K69)/J69,0))</f>
        <v/>
      </c>
      <c r="O69" s="3">
        <f>IF(A69="","",IF(M69&lt;=0,"Drop",IF(AND(L69&gt;0,N69&gt;=0.6),"Profit product",IF(N69&gt;=0.5,"Traffic product","Thin - rework"))))</f>
        <v/>
      </c>
      <c r="P69" s="4" t="n"/>
      <c r="Q69" s="4" t="n"/>
      <c r="R69" s="3">
        <f>IF(A69="","",IF(Q69=0,"Set a cap",IF(P69&gt;Q69,"Over cap - shrink batch","OK")))</f>
        <v/>
      </c>
    </row>
    <row r="70">
      <c r="E70" s="3">
        <f>IF(A70="","",IF(D70=0,"",IF(D70&gt;2,"Stale - likely saturated","Fresh")))</f>
        <v/>
      </c>
      <c r="I70" s="4" t="n"/>
      <c r="J70" s="4" t="n"/>
      <c r="K70" s="4" t="n"/>
      <c r="L70" s="5">
        <f>IF(A70="","",I70-J70)</f>
        <v/>
      </c>
      <c r="M70" s="5">
        <f>IF(A70="","",J70-K70)</f>
        <v/>
      </c>
      <c r="N70" s="6">
        <f>IF(A70="","",IFERROR((J70-K70)/J70,0))</f>
        <v/>
      </c>
      <c r="O70" s="3">
        <f>IF(A70="","",IF(M70&lt;=0,"Drop",IF(AND(L70&gt;0,N70&gt;=0.6),"Profit product",IF(N70&gt;=0.5,"Traffic product","Thin - rework"))))</f>
        <v/>
      </c>
      <c r="P70" s="4" t="n"/>
      <c r="Q70" s="4" t="n"/>
      <c r="R70" s="3">
        <f>IF(A70="","",IF(Q70=0,"Set a cap",IF(P70&gt;Q70,"Over cap - shrink batch","OK")))</f>
        <v/>
      </c>
    </row>
    <row r="71">
      <c r="E71" s="3">
        <f>IF(A71="","",IF(D71=0,"",IF(D71&gt;2,"Stale - likely saturated","Fresh")))</f>
        <v/>
      </c>
      <c r="I71" s="4" t="n"/>
      <c r="J71" s="4" t="n"/>
      <c r="K71" s="4" t="n"/>
      <c r="L71" s="5">
        <f>IF(A71="","",I71-J71)</f>
        <v/>
      </c>
      <c r="M71" s="5">
        <f>IF(A71="","",J71-K71)</f>
        <v/>
      </c>
      <c r="N71" s="6">
        <f>IF(A71="","",IFERROR((J71-K71)/J71,0))</f>
        <v/>
      </c>
      <c r="O71" s="3">
        <f>IF(A71="","",IF(M71&lt;=0,"Drop",IF(AND(L71&gt;0,N71&gt;=0.6),"Profit product",IF(N71&gt;=0.5,"Traffic product","Thin - rework"))))</f>
        <v/>
      </c>
      <c r="P71" s="4" t="n"/>
      <c r="Q71" s="4" t="n"/>
      <c r="R71" s="3">
        <f>IF(A71="","",IF(Q71=0,"Set a cap",IF(P71&gt;Q71,"Over cap - shrink batch","OK")))</f>
        <v/>
      </c>
    </row>
    <row r="72">
      <c r="E72" s="3">
        <f>IF(A72="","",IF(D72=0,"",IF(D72&gt;2,"Stale - likely saturated","Fresh")))</f>
        <v/>
      </c>
      <c r="I72" s="4" t="n"/>
      <c r="J72" s="4" t="n"/>
      <c r="K72" s="4" t="n"/>
      <c r="L72" s="5">
        <f>IF(A72="","",I72-J72)</f>
        <v/>
      </c>
      <c r="M72" s="5">
        <f>IF(A72="","",J72-K72)</f>
        <v/>
      </c>
      <c r="N72" s="6">
        <f>IF(A72="","",IFERROR((J72-K72)/J72,0))</f>
        <v/>
      </c>
      <c r="O72" s="3">
        <f>IF(A72="","",IF(M72&lt;=0,"Drop",IF(AND(L72&gt;0,N72&gt;=0.6),"Profit product",IF(N72&gt;=0.5,"Traffic product","Thin - rework"))))</f>
        <v/>
      </c>
      <c r="P72" s="4" t="n"/>
      <c r="Q72" s="4" t="n"/>
      <c r="R72" s="3">
        <f>IF(A72="","",IF(Q72=0,"Set a cap",IF(P72&gt;Q72,"Over cap - shrink batch","OK")))</f>
        <v/>
      </c>
    </row>
    <row r="73">
      <c r="E73" s="3">
        <f>IF(A73="","",IF(D73=0,"",IF(D73&gt;2,"Stale - likely saturated","Fresh")))</f>
        <v/>
      </c>
      <c r="I73" s="4" t="n"/>
      <c r="J73" s="4" t="n"/>
      <c r="K73" s="4" t="n"/>
      <c r="L73" s="5">
        <f>IF(A73="","",I73-J73)</f>
        <v/>
      </c>
      <c r="M73" s="5">
        <f>IF(A73="","",J73-K73)</f>
        <v/>
      </c>
      <c r="N73" s="6">
        <f>IF(A73="","",IFERROR((J73-K73)/J73,0))</f>
        <v/>
      </c>
      <c r="O73" s="3">
        <f>IF(A73="","",IF(M73&lt;=0,"Drop",IF(AND(L73&gt;0,N73&gt;=0.6),"Profit product",IF(N73&gt;=0.5,"Traffic product","Thin - rework"))))</f>
        <v/>
      </c>
      <c r="P73" s="4" t="n"/>
      <c r="Q73" s="4" t="n"/>
      <c r="R73" s="3">
        <f>IF(A73="","",IF(Q73=0,"Set a cap",IF(P73&gt;Q73,"Over cap - shrink batch","OK")))</f>
        <v/>
      </c>
    </row>
    <row r="74">
      <c r="E74" s="3">
        <f>IF(A74="","",IF(D74=0,"",IF(D74&gt;2,"Stale - likely saturated","Fresh")))</f>
        <v/>
      </c>
      <c r="I74" s="4" t="n"/>
      <c r="J74" s="4" t="n"/>
      <c r="K74" s="4" t="n"/>
      <c r="L74" s="5">
        <f>IF(A74="","",I74-J74)</f>
        <v/>
      </c>
      <c r="M74" s="5">
        <f>IF(A74="","",J74-K74)</f>
        <v/>
      </c>
      <c r="N74" s="6">
        <f>IF(A74="","",IFERROR((J74-K74)/J74,0))</f>
        <v/>
      </c>
      <c r="O74" s="3">
        <f>IF(A74="","",IF(M74&lt;=0,"Drop",IF(AND(L74&gt;0,N74&gt;=0.6),"Profit product",IF(N74&gt;=0.5,"Traffic product","Thin - rework"))))</f>
        <v/>
      </c>
      <c r="P74" s="4" t="n"/>
      <c r="Q74" s="4" t="n"/>
      <c r="R74" s="3">
        <f>IF(A74="","",IF(Q74=0,"Set a cap",IF(P74&gt;Q74,"Over cap - shrink batch","OK")))</f>
        <v/>
      </c>
    </row>
    <row r="75">
      <c r="E75" s="3">
        <f>IF(A75="","",IF(D75=0,"",IF(D75&gt;2,"Stale - likely saturated","Fresh")))</f>
        <v/>
      </c>
      <c r="I75" s="4" t="n"/>
      <c r="J75" s="4" t="n"/>
      <c r="K75" s="4" t="n"/>
      <c r="L75" s="5">
        <f>IF(A75="","",I75-J75)</f>
        <v/>
      </c>
      <c r="M75" s="5">
        <f>IF(A75="","",J75-K75)</f>
        <v/>
      </c>
      <c r="N75" s="6">
        <f>IF(A75="","",IFERROR((J75-K75)/J75,0))</f>
        <v/>
      </c>
      <c r="O75" s="3">
        <f>IF(A75="","",IF(M75&lt;=0,"Drop",IF(AND(L75&gt;0,N75&gt;=0.6),"Profit product",IF(N75&gt;=0.5,"Traffic product","Thin - rework"))))</f>
        <v/>
      </c>
      <c r="P75" s="4" t="n"/>
      <c r="Q75" s="4" t="n"/>
      <c r="R75" s="3">
        <f>IF(A75="","",IF(Q75=0,"Set a cap",IF(P75&gt;Q75,"Over cap - shrink batch","OK")))</f>
        <v/>
      </c>
    </row>
    <row r="76">
      <c r="E76" s="3">
        <f>IF(A76="","",IF(D76=0,"",IF(D76&gt;2,"Stale - likely saturated","Fresh")))</f>
        <v/>
      </c>
      <c r="I76" s="4" t="n"/>
      <c r="J76" s="4" t="n"/>
      <c r="K76" s="4" t="n"/>
      <c r="L76" s="5">
        <f>IF(A76="","",I76-J76)</f>
        <v/>
      </c>
      <c r="M76" s="5">
        <f>IF(A76="","",J76-K76)</f>
        <v/>
      </c>
      <c r="N76" s="6">
        <f>IF(A76="","",IFERROR((J76-K76)/J76,0))</f>
        <v/>
      </c>
      <c r="O76" s="3">
        <f>IF(A76="","",IF(M76&lt;=0,"Drop",IF(AND(L76&gt;0,N76&gt;=0.6),"Profit product",IF(N76&gt;=0.5,"Traffic product","Thin - rework"))))</f>
        <v/>
      </c>
      <c r="P76" s="4" t="n"/>
      <c r="Q76" s="4" t="n"/>
      <c r="R76" s="3">
        <f>IF(A76="","",IF(Q76=0,"Set a cap",IF(P76&gt;Q76,"Over cap - shrink batch","OK")))</f>
        <v/>
      </c>
    </row>
    <row r="77">
      <c r="E77" s="3">
        <f>IF(A77="","",IF(D77=0,"",IF(D77&gt;2,"Stale - likely saturated","Fresh")))</f>
        <v/>
      </c>
      <c r="I77" s="4" t="n"/>
      <c r="J77" s="4" t="n"/>
      <c r="K77" s="4" t="n"/>
      <c r="L77" s="5">
        <f>IF(A77="","",I77-J77)</f>
        <v/>
      </c>
      <c r="M77" s="5">
        <f>IF(A77="","",J77-K77)</f>
        <v/>
      </c>
      <c r="N77" s="6">
        <f>IF(A77="","",IFERROR((J77-K77)/J77,0))</f>
        <v/>
      </c>
      <c r="O77" s="3">
        <f>IF(A77="","",IF(M77&lt;=0,"Drop",IF(AND(L77&gt;0,N77&gt;=0.6),"Profit product",IF(N77&gt;=0.5,"Traffic product","Thin - rework"))))</f>
        <v/>
      </c>
      <c r="P77" s="4" t="n"/>
      <c r="Q77" s="4" t="n"/>
      <c r="R77" s="3">
        <f>IF(A77="","",IF(Q77=0,"Set a cap",IF(P77&gt;Q77,"Over cap - shrink batch","OK")))</f>
        <v/>
      </c>
    </row>
    <row r="78">
      <c r="E78" s="3">
        <f>IF(A78="","",IF(D78=0,"",IF(D78&gt;2,"Stale - likely saturated","Fresh")))</f>
        <v/>
      </c>
      <c r="I78" s="4" t="n"/>
      <c r="J78" s="4" t="n"/>
      <c r="K78" s="4" t="n"/>
      <c r="L78" s="5">
        <f>IF(A78="","",I78-J78)</f>
        <v/>
      </c>
      <c r="M78" s="5">
        <f>IF(A78="","",J78-K78)</f>
        <v/>
      </c>
      <c r="N78" s="6">
        <f>IF(A78="","",IFERROR((J78-K78)/J78,0))</f>
        <v/>
      </c>
      <c r="O78" s="3">
        <f>IF(A78="","",IF(M78&lt;=0,"Drop",IF(AND(L78&gt;0,N78&gt;=0.6),"Profit product",IF(N78&gt;=0.5,"Traffic product","Thin - rework"))))</f>
        <v/>
      </c>
      <c r="P78" s="4" t="n"/>
      <c r="Q78" s="4" t="n"/>
      <c r="R78" s="3">
        <f>IF(A78="","",IF(Q78=0,"Set a cap",IF(P78&gt;Q78,"Over cap - shrink batch","OK")))</f>
        <v/>
      </c>
    </row>
    <row r="79">
      <c r="E79" s="3">
        <f>IF(A79="","",IF(D79=0,"",IF(D79&gt;2,"Stale - likely saturated","Fresh")))</f>
        <v/>
      </c>
      <c r="I79" s="4" t="n"/>
      <c r="J79" s="4" t="n"/>
      <c r="K79" s="4" t="n"/>
      <c r="L79" s="5">
        <f>IF(A79="","",I79-J79)</f>
        <v/>
      </c>
      <c r="M79" s="5">
        <f>IF(A79="","",J79-K79)</f>
        <v/>
      </c>
      <c r="N79" s="6">
        <f>IF(A79="","",IFERROR((J79-K79)/J79,0))</f>
        <v/>
      </c>
      <c r="O79" s="3">
        <f>IF(A79="","",IF(M79&lt;=0,"Drop",IF(AND(L79&gt;0,N79&gt;=0.6),"Profit product",IF(N79&gt;=0.5,"Traffic product","Thin - rework"))))</f>
        <v/>
      </c>
      <c r="P79" s="4" t="n"/>
      <c r="Q79" s="4" t="n"/>
      <c r="R79" s="3">
        <f>IF(A79="","",IF(Q79=0,"Set a cap",IF(P79&gt;Q79,"Over cap - shrink batch","OK")))</f>
        <v/>
      </c>
    </row>
    <row r="80">
      <c r="E80" s="3">
        <f>IF(A80="","",IF(D80=0,"",IF(D80&gt;2,"Stale - likely saturated","Fresh")))</f>
        <v/>
      </c>
      <c r="I80" s="4" t="n"/>
      <c r="J80" s="4" t="n"/>
      <c r="K80" s="4" t="n"/>
      <c r="L80" s="5">
        <f>IF(A80="","",I80-J80)</f>
        <v/>
      </c>
      <c r="M80" s="5">
        <f>IF(A80="","",J80-K80)</f>
        <v/>
      </c>
      <c r="N80" s="6">
        <f>IF(A80="","",IFERROR((J80-K80)/J80,0))</f>
        <v/>
      </c>
      <c r="O80" s="3">
        <f>IF(A80="","",IF(M80&lt;=0,"Drop",IF(AND(L80&gt;0,N80&gt;=0.6),"Profit product",IF(N80&gt;=0.5,"Traffic product","Thin - rework"))))</f>
        <v/>
      </c>
      <c r="P80" s="4" t="n"/>
      <c r="Q80" s="4" t="n"/>
      <c r="R80" s="3">
        <f>IF(A80="","",IF(Q80=0,"Set a cap",IF(P80&gt;Q80,"Over cap - shrink batch","OK")))</f>
        <v/>
      </c>
    </row>
    <row r="81">
      <c r="E81" s="3">
        <f>IF(A81="","",IF(D81=0,"",IF(D81&gt;2,"Stale - likely saturated","Fresh")))</f>
        <v/>
      </c>
      <c r="I81" s="4" t="n"/>
      <c r="J81" s="4" t="n"/>
      <c r="K81" s="4" t="n"/>
      <c r="L81" s="5">
        <f>IF(A81="","",I81-J81)</f>
        <v/>
      </c>
      <c r="M81" s="5">
        <f>IF(A81="","",J81-K81)</f>
        <v/>
      </c>
      <c r="N81" s="6">
        <f>IF(A81="","",IFERROR((J81-K81)/J81,0))</f>
        <v/>
      </c>
      <c r="O81" s="3">
        <f>IF(A81="","",IF(M81&lt;=0,"Drop",IF(AND(L81&gt;0,N81&gt;=0.6),"Profit product",IF(N81&gt;=0.5,"Traffic product","Thin - rework"))))</f>
        <v/>
      </c>
      <c r="P81" s="4" t="n"/>
      <c r="Q81" s="4" t="n"/>
      <c r="R81" s="3">
        <f>IF(A81="","",IF(Q81=0,"Set a cap",IF(P81&gt;Q81,"Over cap - shrink batch","OK")))</f>
        <v/>
      </c>
    </row>
    <row r="82">
      <c r="E82" s="3">
        <f>IF(A82="","",IF(D82=0,"",IF(D82&gt;2,"Stale - likely saturated","Fresh")))</f>
        <v/>
      </c>
      <c r="I82" s="4" t="n"/>
      <c r="J82" s="4" t="n"/>
      <c r="K82" s="4" t="n"/>
      <c r="L82" s="5">
        <f>IF(A82="","",I82-J82)</f>
        <v/>
      </c>
      <c r="M82" s="5">
        <f>IF(A82="","",J82-K82)</f>
        <v/>
      </c>
      <c r="N82" s="6">
        <f>IF(A82="","",IFERROR((J82-K82)/J82,0))</f>
        <v/>
      </c>
      <c r="O82" s="3">
        <f>IF(A82="","",IF(M82&lt;=0,"Drop",IF(AND(L82&gt;0,N82&gt;=0.6),"Profit product",IF(N82&gt;=0.5,"Traffic product","Thin - rework"))))</f>
        <v/>
      </c>
      <c r="P82" s="4" t="n"/>
      <c r="Q82" s="4" t="n"/>
      <c r="R82" s="3">
        <f>IF(A82="","",IF(Q82=0,"Set a cap",IF(P82&gt;Q82,"Over cap - shrink batch","OK")))</f>
        <v/>
      </c>
    </row>
    <row r="83">
      <c r="E83" s="3">
        <f>IF(A83="","",IF(D83=0,"",IF(D83&gt;2,"Stale - likely saturated","Fresh")))</f>
        <v/>
      </c>
      <c r="I83" s="4" t="n"/>
      <c r="J83" s="4" t="n"/>
      <c r="K83" s="4" t="n"/>
      <c r="L83" s="5">
        <f>IF(A83="","",I83-J83)</f>
        <v/>
      </c>
      <c r="M83" s="5">
        <f>IF(A83="","",J83-K83)</f>
        <v/>
      </c>
      <c r="N83" s="6">
        <f>IF(A83="","",IFERROR((J83-K83)/J83,0))</f>
        <v/>
      </c>
      <c r="O83" s="3">
        <f>IF(A83="","",IF(M83&lt;=0,"Drop",IF(AND(L83&gt;0,N83&gt;=0.6),"Profit product",IF(N83&gt;=0.5,"Traffic product","Thin - rework"))))</f>
        <v/>
      </c>
      <c r="P83" s="4" t="n"/>
      <c r="Q83" s="4" t="n"/>
      <c r="R83" s="3">
        <f>IF(A83="","",IF(Q83=0,"Set a cap",IF(P83&gt;Q83,"Over cap - shrink batch","OK")))</f>
        <v/>
      </c>
    </row>
    <row r="84">
      <c r="E84" s="3">
        <f>IF(A84="","",IF(D84=0,"",IF(D84&gt;2,"Stale - likely saturated","Fresh")))</f>
        <v/>
      </c>
      <c r="I84" s="4" t="n"/>
      <c r="J84" s="4" t="n"/>
      <c r="K84" s="4" t="n"/>
      <c r="L84" s="5">
        <f>IF(A84="","",I84-J84)</f>
        <v/>
      </c>
      <c r="M84" s="5">
        <f>IF(A84="","",J84-K84)</f>
        <v/>
      </c>
      <c r="N84" s="6">
        <f>IF(A84="","",IFERROR((J84-K84)/J84,0))</f>
        <v/>
      </c>
      <c r="O84" s="3">
        <f>IF(A84="","",IF(M84&lt;=0,"Drop",IF(AND(L84&gt;0,N84&gt;=0.6),"Profit product",IF(N84&gt;=0.5,"Traffic product","Thin - rework"))))</f>
        <v/>
      </c>
      <c r="P84" s="4" t="n"/>
      <c r="Q84" s="4" t="n"/>
      <c r="R84" s="3">
        <f>IF(A84="","",IF(Q84=0,"Set a cap",IF(P84&gt;Q84,"Over cap - shrink batch","OK")))</f>
        <v/>
      </c>
    </row>
    <row r="85">
      <c r="E85" s="3">
        <f>IF(A85="","",IF(D85=0,"",IF(D85&gt;2,"Stale - likely saturated","Fresh")))</f>
        <v/>
      </c>
      <c r="I85" s="4" t="n"/>
      <c r="J85" s="4" t="n"/>
      <c r="K85" s="4" t="n"/>
      <c r="L85" s="5">
        <f>IF(A85="","",I85-J85)</f>
        <v/>
      </c>
      <c r="M85" s="5">
        <f>IF(A85="","",J85-K85)</f>
        <v/>
      </c>
      <c r="N85" s="6">
        <f>IF(A85="","",IFERROR((J85-K85)/J85,0))</f>
        <v/>
      </c>
      <c r="O85" s="3">
        <f>IF(A85="","",IF(M85&lt;=0,"Drop",IF(AND(L85&gt;0,N85&gt;=0.6),"Profit product",IF(N85&gt;=0.5,"Traffic product","Thin - rework"))))</f>
        <v/>
      </c>
      <c r="P85" s="4" t="n"/>
      <c r="Q85" s="4" t="n"/>
      <c r="R85" s="3">
        <f>IF(A85="","",IF(Q85=0,"Set a cap",IF(P85&gt;Q85,"Over cap - shrink batch","OK")))</f>
        <v/>
      </c>
    </row>
    <row r="86">
      <c r="E86" s="3">
        <f>IF(A86="","",IF(D86=0,"",IF(D86&gt;2,"Stale - likely saturated","Fresh")))</f>
        <v/>
      </c>
      <c r="I86" s="4" t="n"/>
      <c r="J86" s="4" t="n"/>
      <c r="K86" s="4" t="n"/>
      <c r="L86" s="5">
        <f>IF(A86="","",I86-J86)</f>
        <v/>
      </c>
      <c r="M86" s="5">
        <f>IF(A86="","",J86-K86)</f>
        <v/>
      </c>
      <c r="N86" s="6">
        <f>IF(A86="","",IFERROR((J86-K86)/J86,0))</f>
        <v/>
      </c>
      <c r="O86" s="3">
        <f>IF(A86="","",IF(M86&lt;=0,"Drop",IF(AND(L86&gt;0,N86&gt;=0.6),"Profit product",IF(N86&gt;=0.5,"Traffic product","Thin - rework"))))</f>
        <v/>
      </c>
      <c r="P86" s="4" t="n"/>
      <c r="Q86" s="4" t="n"/>
      <c r="R86" s="3">
        <f>IF(A86="","",IF(Q86=0,"Set a cap",IF(P86&gt;Q86,"Over cap - shrink batch","OK")))</f>
        <v/>
      </c>
    </row>
    <row r="87">
      <c r="E87" s="3">
        <f>IF(A87="","",IF(D87=0,"",IF(D87&gt;2,"Stale - likely saturated","Fresh")))</f>
        <v/>
      </c>
      <c r="I87" s="4" t="n"/>
      <c r="J87" s="4" t="n"/>
      <c r="K87" s="4" t="n"/>
      <c r="L87" s="5">
        <f>IF(A87="","",I87-J87)</f>
        <v/>
      </c>
      <c r="M87" s="5">
        <f>IF(A87="","",J87-K87)</f>
        <v/>
      </c>
      <c r="N87" s="6">
        <f>IF(A87="","",IFERROR((J87-K87)/J87,0))</f>
        <v/>
      </c>
      <c r="O87" s="3">
        <f>IF(A87="","",IF(M87&lt;=0,"Drop",IF(AND(L87&gt;0,N87&gt;=0.6),"Profit product",IF(N87&gt;=0.5,"Traffic product","Thin - rework"))))</f>
        <v/>
      </c>
      <c r="P87" s="4" t="n"/>
      <c r="Q87" s="4" t="n"/>
      <c r="R87" s="3">
        <f>IF(A87="","",IF(Q87=0,"Set a cap",IF(P87&gt;Q87,"Over cap - shrink batch","OK")))</f>
        <v/>
      </c>
    </row>
    <row r="88">
      <c r="E88" s="3">
        <f>IF(A88="","",IF(D88=0,"",IF(D88&gt;2,"Stale - likely saturated","Fresh")))</f>
        <v/>
      </c>
      <c r="I88" s="4" t="n"/>
      <c r="J88" s="4" t="n"/>
      <c r="K88" s="4" t="n"/>
      <c r="L88" s="5">
        <f>IF(A88="","",I88-J88)</f>
        <v/>
      </c>
      <c r="M88" s="5">
        <f>IF(A88="","",J88-K88)</f>
        <v/>
      </c>
      <c r="N88" s="6">
        <f>IF(A88="","",IFERROR((J88-K88)/J88,0))</f>
        <v/>
      </c>
      <c r="O88" s="3">
        <f>IF(A88="","",IF(M88&lt;=0,"Drop",IF(AND(L88&gt;0,N88&gt;=0.6),"Profit product",IF(N88&gt;=0.5,"Traffic product","Thin - rework"))))</f>
        <v/>
      </c>
      <c r="P88" s="4" t="n"/>
      <c r="Q88" s="4" t="n"/>
      <c r="R88" s="3">
        <f>IF(A88="","",IF(Q88=0,"Set a cap",IF(P88&gt;Q88,"Over cap - shrink batch","OK")))</f>
        <v/>
      </c>
    </row>
    <row r="89">
      <c r="E89" s="3">
        <f>IF(A89="","",IF(D89=0,"",IF(D89&gt;2,"Stale - likely saturated","Fresh")))</f>
        <v/>
      </c>
      <c r="I89" s="4" t="n"/>
      <c r="J89" s="4" t="n"/>
      <c r="K89" s="4" t="n"/>
      <c r="L89" s="5">
        <f>IF(A89="","",I89-J89)</f>
        <v/>
      </c>
      <c r="M89" s="5">
        <f>IF(A89="","",J89-K89)</f>
        <v/>
      </c>
      <c r="N89" s="6">
        <f>IF(A89="","",IFERROR((J89-K89)/J89,0))</f>
        <v/>
      </c>
      <c r="O89" s="3">
        <f>IF(A89="","",IF(M89&lt;=0,"Drop",IF(AND(L89&gt;0,N89&gt;=0.6),"Profit product",IF(N89&gt;=0.5,"Traffic product","Thin - rework"))))</f>
        <v/>
      </c>
      <c r="P89" s="4" t="n"/>
      <c r="Q89" s="4" t="n"/>
      <c r="R89" s="3">
        <f>IF(A89="","",IF(Q89=0,"Set a cap",IF(P89&gt;Q89,"Over cap - shrink batch","OK")))</f>
        <v/>
      </c>
    </row>
    <row r="90">
      <c r="E90" s="3">
        <f>IF(A90="","",IF(D90=0,"",IF(D90&gt;2,"Stale - likely saturated","Fresh")))</f>
        <v/>
      </c>
      <c r="I90" s="4" t="n"/>
      <c r="J90" s="4" t="n"/>
      <c r="K90" s="4" t="n"/>
      <c r="L90" s="5">
        <f>IF(A90="","",I90-J90)</f>
        <v/>
      </c>
      <c r="M90" s="5">
        <f>IF(A90="","",J90-K90)</f>
        <v/>
      </c>
      <c r="N90" s="6">
        <f>IF(A90="","",IFERROR((J90-K90)/J90,0))</f>
        <v/>
      </c>
      <c r="O90" s="3">
        <f>IF(A90="","",IF(M90&lt;=0,"Drop",IF(AND(L90&gt;0,N90&gt;=0.6),"Profit product",IF(N90&gt;=0.5,"Traffic product","Thin - rework"))))</f>
        <v/>
      </c>
      <c r="P90" s="4" t="n"/>
      <c r="Q90" s="4" t="n"/>
      <c r="R90" s="3">
        <f>IF(A90="","",IF(Q90=0,"Set a cap",IF(P90&gt;Q90,"Over cap - shrink batch","OK")))</f>
        <v/>
      </c>
    </row>
    <row r="91">
      <c r="E91" s="3">
        <f>IF(A91="","",IF(D91=0,"",IF(D91&gt;2,"Stale - likely saturated","Fresh")))</f>
        <v/>
      </c>
      <c r="I91" s="4" t="n"/>
      <c r="J91" s="4" t="n"/>
      <c r="K91" s="4" t="n"/>
      <c r="L91" s="5">
        <f>IF(A91="","",I91-J91)</f>
        <v/>
      </c>
      <c r="M91" s="5">
        <f>IF(A91="","",J91-K91)</f>
        <v/>
      </c>
      <c r="N91" s="6">
        <f>IF(A91="","",IFERROR((J91-K91)/J91,0))</f>
        <v/>
      </c>
      <c r="O91" s="3">
        <f>IF(A91="","",IF(M91&lt;=0,"Drop",IF(AND(L91&gt;0,N91&gt;=0.6),"Profit product",IF(N91&gt;=0.5,"Traffic product","Thin - rework"))))</f>
        <v/>
      </c>
      <c r="P91" s="4" t="n"/>
      <c r="Q91" s="4" t="n"/>
      <c r="R91" s="3">
        <f>IF(A91="","",IF(Q91=0,"Set a cap",IF(P91&gt;Q91,"Over cap - shrink batch","OK")))</f>
        <v/>
      </c>
    </row>
    <row r="92">
      <c r="E92" s="3">
        <f>IF(A92="","",IF(D92=0,"",IF(D92&gt;2,"Stale - likely saturated","Fresh")))</f>
        <v/>
      </c>
      <c r="I92" s="4" t="n"/>
      <c r="J92" s="4" t="n"/>
      <c r="K92" s="4" t="n"/>
      <c r="L92" s="5">
        <f>IF(A92="","",I92-J92)</f>
        <v/>
      </c>
      <c r="M92" s="5">
        <f>IF(A92="","",J92-K92)</f>
        <v/>
      </c>
      <c r="N92" s="6">
        <f>IF(A92="","",IFERROR((J92-K92)/J92,0))</f>
        <v/>
      </c>
      <c r="O92" s="3">
        <f>IF(A92="","",IF(M92&lt;=0,"Drop",IF(AND(L92&gt;0,N92&gt;=0.6),"Profit product",IF(N92&gt;=0.5,"Traffic product","Thin - rework"))))</f>
        <v/>
      </c>
      <c r="P92" s="4" t="n"/>
      <c r="Q92" s="4" t="n"/>
      <c r="R92" s="3">
        <f>IF(A92="","",IF(Q92=0,"Set a cap",IF(P92&gt;Q92,"Over cap - shrink batch","OK")))</f>
        <v/>
      </c>
    </row>
    <row r="93">
      <c r="E93" s="3">
        <f>IF(A93="","",IF(D93=0,"",IF(D93&gt;2,"Stale - likely saturated","Fresh")))</f>
        <v/>
      </c>
      <c r="I93" s="4" t="n"/>
      <c r="J93" s="4" t="n"/>
      <c r="K93" s="4" t="n"/>
      <c r="L93" s="5">
        <f>IF(A93="","",I93-J93)</f>
        <v/>
      </c>
      <c r="M93" s="5">
        <f>IF(A93="","",J93-K93)</f>
        <v/>
      </c>
      <c r="N93" s="6">
        <f>IF(A93="","",IFERROR((J93-K93)/J93,0))</f>
        <v/>
      </c>
      <c r="O93" s="3">
        <f>IF(A93="","",IF(M93&lt;=0,"Drop",IF(AND(L93&gt;0,N93&gt;=0.6),"Profit product",IF(N93&gt;=0.5,"Traffic product","Thin - rework"))))</f>
        <v/>
      </c>
      <c r="P93" s="4" t="n"/>
      <c r="Q93" s="4" t="n"/>
      <c r="R93" s="3">
        <f>IF(A93="","",IF(Q93=0,"Set a cap",IF(P93&gt;Q93,"Over cap - shrink batch","OK")))</f>
        <v/>
      </c>
    </row>
    <row r="94">
      <c r="E94" s="3">
        <f>IF(A94="","",IF(D94=0,"",IF(D94&gt;2,"Stale - likely saturated","Fresh")))</f>
        <v/>
      </c>
      <c r="I94" s="4" t="n"/>
      <c r="J94" s="4" t="n"/>
      <c r="K94" s="4" t="n"/>
      <c r="L94" s="5">
        <f>IF(A94="","",I94-J94)</f>
        <v/>
      </c>
      <c r="M94" s="5">
        <f>IF(A94="","",J94-K94)</f>
        <v/>
      </c>
      <c r="N94" s="6">
        <f>IF(A94="","",IFERROR((J94-K94)/J94,0))</f>
        <v/>
      </c>
      <c r="O94" s="3">
        <f>IF(A94="","",IF(M94&lt;=0,"Drop",IF(AND(L94&gt;0,N94&gt;=0.6),"Profit product",IF(N94&gt;=0.5,"Traffic product","Thin - rework"))))</f>
        <v/>
      </c>
      <c r="P94" s="4" t="n"/>
      <c r="Q94" s="4" t="n"/>
      <c r="R94" s="3">
        <f>IF(A94="","",IF(Q94=0,"Set a cap",IF(P94&gt;Q94,"Over cap - shrink batch","OK")))</f>
        <v/>
      </c>
    </row>
    <row r="95">
      <c r="E95" s="3">
        <f>IF(A95="","",IF(D95=0,"",IF(D95&gt;2,"Stale - likely saturated","Fresh")))</f>
        <v/>
      </c>
      <c r="I95" s="4" t="n"/>
      <c r="J95" s="4" t="n"/>
      <c r="K95" s="4" t="n"/>
      <c r="L95" s="5">
        <f>IF(A95="","",I95-J95)</f>
        <v/>
      </c>
      <c r="M95" s="5">
        <f>IF(A95="","",J95-K95)</f>
        <v/>
      </c>
      <c r="N95" s="6">
        <f>IF(A95="","",IFERROR((J95-K95)/J95,0))</f>
        <v/>
      </c>
      <c r="O95" s="3">
        <f>IF(A95="","",IF(M95&lt;=0,"Drop",IF(AND(L95&gt;0,N95&gt;=0.6),"Profit product",IF(N95&gt;=0.5,"Traffic product","Thin - rework"))))</f>
        <v/>
      </c>
      <c r="P95" s="4" t="n"/>
      <c r="Q95" s="4" t="n"/>
      <c r="R95" s="3">
        <f>IF(A95="","",IF(Q95=0,"Set a cap",IF(P95&gt;Q95,"Over cap - shrink batch","OK")))</f>
        <v/>
      </c>
    </row>
    <row r="96">
      <c r="E96" s="3">
        <f>IF(A96="","",IF(D96=0,"",IF(D96&gt;2,"Stale - likely saturated","Fresh")))</f>
        <v/>
      </c>
      <c r="I96" s="4" t="n"/>
      <c r="J96" s="4" t="n"/>
      <c r="K96" s="4" t="n"/>
      <c r="L96" s="5">
        <f>IF(A96="","",I96-J96)</f>
        <v/>
      </c>
      <c r="M96" s="5">
        <f>IF(A96="","",J96-K96)</f>
        <v/>
      </c>
      <c r="N96" s="6">
        <f>IF(A96="","",IFERROR((J96-K96)/J96,0))</f>
        <v/>
      </c>
      <c r="O96" s="3">
        <f>IF(A96="","",IF(M96&lt;=0,"Drop",IF(AND(L96&gt;0,N96&gt;=0.6),"Profit product",IF(N96&gt;=0.5,"Traffic product","Thin - rework"))))</f>
        <v/>
      </c>
      <c r="P96" s="4" t="n"/>
      <c r="Q96" s="4" t="n"/>
      <c r="R96" s="3">
        <f>IF(A96="","",IF(Q96=0,"Set a cap",IF(P96&gt;Q96,"Over cap - shrink batch","OK")))</f>
        <v/>
      </c>
    </row>
    <row r="97">
      <c r="E97" s="3">
        <f>IF(A97="","",IF(D97=0,"",IF(D97&gt;2,"Stale - likely saturated","Fresh")))</f>
        <v/>
      </c>
      <c r="I97" s="4" t="n"/>
      <c r="J97" s="4" t="n"/>
      <c r="K97" s="4" t="n"/>
      <c r="L97" s="5">
        <f>IF(A97="","",I97-J97)</f>
        <v/>
      </c>
      <c r="M97" s="5">
        <f>IF(A97="","",J97-K97)</f>
        <v/>
      </c>
      <c r="N97" s="6">
        <f>IF(A97="","",IFERROR((J97-K97)/J97,0))</f>
        <v/>
      </c>
      <c r="O97" s="3">
        <f>IF(A97="","",IF(M97&lt;=0,"Drop",IF(AND(L97&gt;0,N97&gt;=0.6),"Profit product",IF(N97&gt;=0.5,"Traffic product","Thin - rework"))))</f>
        <v/>
      </c>
      <c r="P97" s="4" t="n"/>
      <c r="Q97" s="4" t="n"/>
      <c r="R97" s="3">
        <f>IF(A97="","",IF(Q97=0,"Set a cap",IF(P97&gt;Q97,"Over cap - shrink batch","OK")))</f>
        <v/>
      </c>
    </row>
    <row r="98">
      <c r="E98" s="3">
        <f>IF(A98="","",IF(D98=0,"",IF(D98&gt;2,"Stale - likely saturated","Fresh")))</f>
        <v/>
      </c>
      <c r="I98" s="4" t="n"/>
      <c r="J98" s="4" t="n"/>
      <c r="K98" s="4" t="n"/>
      <c r="L98" s="5">
        <f>IF(A98="","",I98-J98)</f>
        <v/>
      </c>
      <c r="M98" s="5">
        <f>IF(A98="","",J98-K98)</f>
        <v/>
      </c>
      <c r="N98" s="6">
        <f>IF(A98="","",IFERROR((J98-K98)/J98,0))</f>
        <v/>
      </c>
      <c r="O98" s="3">
        <f>IF(A98="","",IF(M98&lt;=0,"Drop",IF(AND(L98&gt;0,N98&gt;=0.6),"Profit product",IF(N98&gt;=0.5,"Traffic product","Thin - rework"))))</f>
        <v/>
      </c>
      <c r="P98" s="4" t="n"/>
      <c r="Q98" s="4" t="n"/>
      <c r="R98" s="3">
        <f>IF(A98="","",IF(Q98=0,"Set a cap",IF(P98&gt;Q98,"Over cap - shrink batch","OK")))</f>
        <v/>
      </c>
    </row>
    <row r="99">
      <c r="E99" s="3">
        <f>IF(A99="","",IF(D99=0,"",IF(D99&gt;2,"Stale - likely saturated","Fresh")))</f>
        <v/>
      </c>
      <c r="I99" s="4" t="n"/>
      <c r="J99" s="4" t="n"/>
      <c r="K99" s="4" t="n"/>
      <c r="L99" s="5">
        <f>IF(A99="","",I99-J99)</f>
        <v/>
      </c>
      <c r="M99" s="5">
        <f>IF(A99="","",J99-K99)</f>
        <v/>
      </c>
      <c r="N99" s="6">
        <f>IF(A99="","",IFERROR((J99-K99)/J99,0))</f>
        <v/>
      </c>
      <c r="O99" s="3">
        <f>IF(A99="","",IF(M99&lt;=0,"Drop",IF(AND(L99&gt;0,N99&gt;=0.6),"Profit product",IF(N99&gt;=0.5,"Traffic product","Thin - rework"))))</f>
        <v/>
      </c>
      <c r="P99" s="4" t="n"/>
      <c r="Q99" s="4" t="n"/>
      <c r="R99" s="3">
        <f>IF(A99="","",IF(Q99=0,"Set a cap",IF(P99&gt;Q99,"Over cap - shrink batch","OK")))</f>
        <v/>
      </c>
    </row>
    <row r="100">
      <c r="E100" s="3">
        <f>IF(A100="","",IF(D100=0,"",IF(D100&gt;2,"Stale - likely saturated","Fresh")))</f>
        <v/>
      </c>
      <c r="I100" s="4" t="n"/>
      <c r="J100" s="4" t="n"/>
      <c r="K100" s="4" t="n"/>
      <c r="L100" s="5">
        <f>IF(A100="","",I100-J100)</f>
        <v/>
      </c>
      <c r="M100" s="5">
        <f>IF(A100="","",J100-K100)</f>
        <v/>
      </c>
      <c r="N100" s="6">
        <f>IF(A100="","",IFERROR((J100-K100)/J100,0))</f>
        <v/>
      </c>
      <c r="O100" s="3">
        <f>IF(A100="","",IF(M100&lt;=0,"Drop",IF(AND(L100&gt;0,N100&gt;=0.6),"Profit product",IF(N100&gt;=0.5,"Traffic product","Thin - rework"))))</f>
        <v/>
      </c>
      <c r="P100" s="4" t="n"/>
      <c r="Q100" s="4" t="n"/>
      <c r="R100" s="3">
        <f>IF(A100="","",IF(Q100=0,"Set a cap",IF(P100&gt;Q100,"Over cap - shrink batch","OK")))</f>
        <v/>
      </c>
    </row>
    <row r="101">
      <c r="E101" s="3">
        <f>IF(A101="","",IF(D101=0,"",IF(D101&gt;2,"Stale - likely saturated","Fresh")))</f>
        <v/>
      </c>
      <c r="I101" s="4" t="n"/>
      <c r="J101" s="4" t="n"/>
      <c r="K101" s="4" t="n"/>
      <c r="L101" s="5">
        <f>IF(A101="","",I101-J101)</f>
        <v/>
      </c>
      <c r="M101" s="5">
        <f>IF(A101="","",J101-K101)</f>
        <v/>
      </c>
      <c r="N101" s="6">
        <f>IF(A101="","",IFERROR((J101-K101)/J101,0))</f>
        <v/>
      </c>
      <c r="O101" s="3">
        <f>IF(A101="","",IF(M101&lt;=0,"Drop",IF(AND(L101&gt;0,N101&gt;=0.6),"Profit product",IF(N101&gt;=0.5,"Traffic product","Thin - rework"))))</f>
        <v/>
      </c>
      <c r="P101" s="4" t="n"/>
      <c r="Q101" s="4" t="n"/>
      <c r="R101" s="3">
        <f>IF(A101="","",IF(Q101=0,"Set a cap",IF(P101&gt;Q101,"Over cap - shrink batch","OK")))</f>
        <v/>
      </c>
    </row>
    <row r="102">
      <c r="E102" s="3">
        <f>IF(A102="","",IF(D102=0,"",IF(D102&gt;2,"Stale - likely saturated","Fresh")))</f>
        <v/>
      </c>
      <c r="I102" s="4" t="n"/>
      <c r="J102" s="4" t="n"/>
      <c r="K102" s="4" t="n"/>
      <c r="L102" s="5">
        <f>IF(A102="","",I102-J102)</f>
        <v/>
      </c>
      <c r="M102" s="5">
        <f>IF(A102="","",J102-K102)</f>
        <v/>
      </c>
      <c r="N102" s="6">
        <f>IF(A102="","",IFERROR((J102-K102)/J102,0))</f>
        <v/>
      </c>
      <c r="O102" s="3">
        <f>IF(A102="","",IF(M102&lt;=0,"Drop",IF(AND(L102&gt;0,N102&gt;=0.6),"Profit product",IF(N102&gt;=0.5,"Traffic product","Thin - rework"))))</f>
        <v/>
      </c>
      <c r="P102" s="4" t="n"/>
      <c r="Q102" s="4" t="n"/>
      <c r="R102" s="3">
        <f>IF(A102="","",IF(Q102=0,"Set a cap",IF(P102&gt;Q102,"Over cap - shrink batch","OK")))</f>
        <v/>
      </c>
    </row>
    <row r="103">
      <c r="E103" s="3">
        <f>IF(A103="","",IF(D103=0,"",IF(D103&gt;2,"Stale - likely saturated","Fresh")))</f>
        <v/>
      </c>
      <c r="I103" s="4" t="n"/>
      <c r="J103" s="4" t="n"/>
      <c r="K103" s="4" t="n"/>
      <c r="L103" s="5">
        <f>IF(A103="","",I103-J103)</f>
        <v/>
      </c>
      <c r="M103" s="5">
        <f>IF(A103="","",J103-K103)</f>
        <v/>
      </c>
      <c r="N103" s="6">
        <f>IF(A103="","",IFERROR((J103-K103)/J103,0))</f>
        <v/>
      </c>
      <c r="O103" s="3">
        <f>IF(A103="","",IF(M103&lt;=0,"Drop",IF(AND(L103&gt;0,N103&gt;=0.6),"Profit product",IF(N103&gt;=0.5,"Traffic product","Thin - rework"))))</f>
        <v/>
      </c>
      <c r="P103" s="4" t="n"/>
      <c r="Q103" s="4" t="n"/>
      <c r="R103" s="3">
        <f>IF(A103="","",IF(Q103=0,"Set a cap",IF(P103&gt;Q103,"Over cap - shrink batch","OK")))</f>
        <v/>
      </c>
    </row>
    <row r="104">
      <c r="E104" s="3">
        <f>IF(A104="","",IF(D104=0,"",IF(D104&gt;2,"Stale - likely saturated","Fresh")))</f>
        <v/>
      </c>
      <c r="I104" s="4" t="n"/>
      <c r="J104" s="4" t="n"/>
      <c r="K104" s="4" t="n"/>
      <c r="L104" s="5">
        <f>IF(A104="","",I104-J104)</f>
        <v/>
      </c>
      <c r="M104" s="5">
        <f>IF(A104="","",J104-K104)</f>
        <v/>
      </c>
      <c r="N104" s="6">
        <f>IF(A104="","",IFERROR((J104-K104)/J104,0))</f>
        <v/>
      </c>
      <c r="O104" s="3">
        <f>IF(A104="","",IF(M104&lt;=0,"Drop",IF(AND(L104&gt;0,N104&gt;=0.6),"Profit product",IF(N104&gt;=0.5,"Traffic product","Thin - rework"))))</f>
        <v/>
      </c>
      <c r="P104" s="4" t="n"/>
      <c r="Q104" s="4" t="n"/>
      <c r="R104" s="3">
        <f>IF(A104="","",IF(Q104=0,"Set a cap",IF(P104&gt;Q104,"Over cap - shrink batch","OK")))</f>
        <v/>
      </c>
    </row>
    <row r="105">
      <c r="E105" s="3">
        <f>IF(A105="","",IF(D105=0,"",IF(D105&gt;2,"Stale - likely saturated","Fresh")))</f>
        <v/>
      </c>
      <c r="I105" s="4" t="n"/>
      <c r="J105" s="4" t="n"/>
      <c r="K105" s="4" t="n"/>
      <c r="L105" s="5">
        <f>IF(A105="","",I105-J105)</f>
        <v/>
      </c>
      <c r="M105" s="5">
        <f>IF(A105="","",J105-K105)</f>
        <v/>
      </c>
      <c r="N105" s="6">
        <f>IF(A105="","",IFERROR((J105-K105)/J105,0))</f>
        <v/>
      </c>
      <c r="O105" s="3">
        <f>IF(A105="","",IF(M105&lt;=0,"Drop",IF(AND(L105&gt;0,N105&gt;=0.6),"Profit product",IF(N105&gt;=0.5,"Traffic product","Thin - rework"))))</f>
        <v/>
      </c>
      <c r="P105" s="4" t="n"/>
      <c r="Q105" s="4" t="n"/>
      <c r="R105" s="3">
        <f>IF(A105="","",IF(Q105=0,"Set a cap",IF(P105&gt;Q105,"Over cap - shrink batch","OK")))</f>
        <v/>
      </c>
    </row>
    <row r="106">
      <c r="E106" s="3">
        <f>IF(A106="","",IF(D106=0,"",IF(D106&gt;2,"Stale - likely saturated","Fresh")))</f>
        <v/>
      </c>
      <c r="I106" s="4" t="n"/>
      <c r="J106" s="4" t="n"/>
      <c r="K106" s="4" t="n"/>
      <c r="L106" s="5">
        <f>IF(A106="","",I106-J106)</f>
        <v/>
      </c>
      <c r="M106" s="5">
        <f>IF(A106="","",J106-K106)</f>
        <v/>
      </c>
      <c r="N106" s="6">
        <f>IF(A106="","",IFERROR((J106-K106)/J106,0))</f>
        <v/>
      </c>
      <c r="O106" s="3">
        <f>IF(A106="","",IF(M106&lt;=0,"Drop",IF(AND(L106&gt;0,N106&gt;=0.6),"Profit product",IF(N106&gt;=0.5,"Traffic product","Thin - rework"))))</f>
        <v/>
      </c>
      <c r="P106" s="4" t="n"/>
      <c r="Q106" s="4" t="n"/>
      <c r="R106" s="3">
        <f>IF(A106="","",IF(Q106=0,"Set a cap",IF(P106&gt;Q106,"Over cap - shrink batch","OK")))</f>
        <v/>
      </c>
    </row>
    <row r="107">
      <c r="E107" s="3">
        <f>IF(A107="","",IF(D107=0,"",IF(D107&gt;2,"Stale - likely saturated","Fresh")))</f>
        <v/>
      </c>
      <c r="I107" s="4" t="n"/>
      <c r="J107" s="4" t="n"/>
      <c r="K107" s="4" t="n"/>
      <c r="L107" s="5">
        <f>IF(A107="","",I107-J107)</f>
        <v/>
      </c>
      <c r="M107" s="5">
        <f>IF(A107="","",J107-K107)</f>
        <v/>
      </c>
      <c r="N107" s="6">
        <f>IF(A107="","",IFERROR((J107-K107)/J107,0))</f>
        <v/>
      </c>
      <c r="O107" s="3">
        <f>IF(A107="","",IF(M107&lt;=0,"Drop",IF(AND(L107&gt;0,N107&gt;=0.6),"Profit product",IF(N107&gt;=0.5,"Traffic product","Thin - rework"))))</f>
        <v/>
      </c>
      <c r="P107" s="4" t="n"/>
      <c r="Q107" s="4" t="n"/>
      <c r="R107" s="3">
        <f>IF(A107="","",IF(Q107=0,"Set a cap",IF(P107&gt;Q107,"Over cap - shrink batch","OK")))</f>
        <v/>
      </c>
    </row>
    <row r="108">
      <c r="E108" s="3">
        <f>IF(A108="","",IF(D108=0,"",IF(D108&gt;2,"Stale - likely saturated","Fresh")))</f>
        <v/>
      </c>
      <c r="I108" s="4" t="n"/>
      <c r="J108" s="4" t="n"/>
      <c r="K108" s="4" t="n"/>
      <c r="L108" s="5">
        <f>IF(A108="","",I108-J108)</f>
        <v/>
      </c>
      <c r="M108" s="5">
        <f>IF(A108="","",J108-K108)</f>
        <v/>
      </c>
      <c r="N108" s="6">
        <f>IF(A108="","",IFERROR((J108-K108)/J108,0))</f>
        <v/>
      </c>
      <c r="O108" s="3">
        <f>IF(A108="","",IF(M108&lt;=0,"Drop",IF(AND(L108&gt;0,N108&gt;=0.6),"Profit product",IF(N108&gt;=0.5,"Traffic product","Thin - rework"))))</f>
        <v/>
      </c>
      <c r="P108" s="4" t="n"/>
      <c r="Q108" s="4" t="n"/>
      <c r="R108" s="3">
        <f>IF(A108="","",IF(Q108=0,"Set a cap",IF(P108&gt;Q108,"Over cap - shrink batch","OK")))</f>
        <v/>
      </c>
    </row>
    <row r="109">
      <c r="E109" s="3">
        <f>IF(A109="","",IF(D109=0,"",IF(D109&gt;2,"Stale - likely saturated","Fresh")))</f>
        <v/>
      </c>
      <c r="I109" s="4" t="n"/>
      <c r="J109" s="4" t="n"/>
      <c r="K109" s="4" t="n"/>
      <c r="L109" s="5">
        <f>IF(A109="","",I109-J109)</f>
        <v/>
      </c>
      <c r="M109" s="5">
        <f>IF(A109="","",J109-K109)</f>
        <v/>
      </c>
      <c r="N109" s="6">
        <f>IF(A109="","",IFERROR((J109-K109)/J109,0))</f>
        <v/>
      </c>
      <c r="O109" s="3">
        <f>IF(A109="","",IF(M109&lt;=0,"Drop",IF(AND(L109&gt;0,N109&gt;=0.6),"Profit product",IF(N109&gt;=0.5,"Traffic product","Thin - rework"))))</f>
        <v/>
      </c>
      <c r="P109" s="4" t="n"/>
      <c r="Q109" s="4" t="n"/>
      <c r="R109" s="3">
        <f>IF(A109="","",IF(Q109=0,"Set a cap",IF(P109&gt;Q109,"Over cap - shrink batch","OK")))</f>
        <v/>
      </c>
    </row>
    <row r="110">
      <c r="E110" s="3">
        <f>IF(A110="","",IF(D110=0,"",IF(D110&gt;2,"Stale - likely saturated","Fresh")))</f>
        <v/>
      </c>
      <c r="I110" s="4" t="n"/>
      <c r="J110" s="4" t="n"/>
      <c r="K110" s="4" t="n"/>
      <c r="L110" s="5">
        <f>IF(A110="","",I110-J110)</f>
        <v/>
      </c>
      <c r="M110" s="5">
        <f>IF(A110="","",J110-K110)</f>
        <v/>
      </c>
      <c r="N110" s="6">
        <f>IF(A110="","",IFERROR((J110-K110)/J110,0))</f>
        <v/>
      </c>
      <c r="O110" s="3">
        <f>IF(A110="","",IF(M110&lt;=0,"Drop",IF(AND(L110&gt;0,N110&gt;=0.6),"Profit product",IF(N110&gt;=0.5,"Traffic product","Thin - rework"))))</f>
        <v/>
      </c>
      <c r="P110" s="4" t="n"/>
      <c r="Q110" s="4" t="n"/>
      <c r="R110" s="3">
        <f>IF(A110="","",IF(Q110=0,"Set a cap",IF(P110&gt;Q110,"Over cap - shrink batch","OK")))</f>
        <v/>
      </c>
    </row>
    <row r="111">
      <c r="E111" s="3">
        <f>IF(A111="","",IF(D111=0,"",IF(D111&gt;2,"Stale - likely saturated","Fresh")))</f>
        <v/>
      </c>
      <c r="I111" s="4" t="n"/>
      <c r="J111" s="4" t="n"/>
      <c r="K111" s="4" t="n"/>
      <c r="L111" s="5">
        <f>IF(A111="","",I111-J111)</f>
        <v/>
      </c>
      <c r="M111" s="5">
        <f>IF(A111="","",J111-K111)</f>
        <v/>
      </c>
      <c r="N111" s="6">
        <f>IF(A111="","",IFERROR((J111-K111)/J111,0))</f>
        <v/>
      </c>
      <c r="O111" s="3">
        <f>IF(A111="","",IF(M111&lt;=0,"Drop",IF(AND(L111&gt;0,N111&gt;=0.6),"Profit product",IF(N111&gt;=0.5,"Traffic product","Thin - rework"))))</f>
        <v/>
      </c>
      <c r="P111" s="4" t="n"/>
      <c r="Q111" s="4" t="n"/>
      <c r="R111" s="3">
        <f>IF(A111="","",IF(Q111=0,"Set a cap",IF(P111&gt;Q111,"Over cap - shrink batch","OK")))</f>
        <v/>
      </c>
    </row>
    <row r="112">
      <c r="E112" s="3">
        <f>IF(A112="","",IF(D112=0,"",IF(D112&gt;2,"Stale - likely saturated","Fresh")))</f>
        <v/>
      </c>
      <c r="I112" s="4" t="n"/>
      <c r="J112" s="4" t="n"/>
      <c r="K112" s="4" t="n"/>
      <c r="L112" s="5">
        <f>IF(A112="","",I112-J112)</f>
        <v/>
      </c>
      <c r="M112" s="5">
        <f>IF(A112="","",J112-K112)</f>
        <v/>
      </c>
      <c r="N112" s="6">
        <f>IF(A112="","",IFERROR((J112-K112)/J112,0))</f>
        <v/>
      </c>
      <c r="O112" s="3">
        <f>IF(A112="","",IF(M112&lt;=0,"Drop",IF(AND(L112&gt;0,N112&gt;=0.6),"Profit product",IF(N112&gt;=0.5,"Traffic product","Thin - rework"))))</f>
        <v/>
      </c>
      <c r="P112" s="4" t="n"/>
      <c r="Q112" s="4" t="n"/>
      <c r="R112" s="3">
        <f>IF(A112="","",IF(Q112=0,"Set a cap",IF(P112&gt;Q112,"Over cap - shrink batch","OK")))</f>
        <v/>
      </c>
    </row>
    <row r="113">
      <c r="E113" s="3">
        <f>IF(A113="","",IF(D113=0,"",IF(D113&gt;2,"Stale - likely saturated","Fresh")))</f>
        <v/>
      </c>
      <c r="I113" s="4" t="n"/>
      <c r="J113" s="4" t="n"/>
      <c r="K113" s="4" t="n"/>
      <c r="L113" s="5">
        <f>IF(A113="","",I113-J113)</f>
        <v/>
      </c>
      <c r="M113" s="5">
        <f>IF(A113="","",J113-K113)</f>
        <v/>
      </c>
      <c r="N113" s="6">
        <f>IF(A113="","",IFERROR((J113-K113)/J113,0))</f>
        <v/>
      </c>
      <c r="O113" s="3">
        <f>IF(A113="","",IF(M113&lt;=0,"Drop",IF(AND(L113&gt;0,N113&gt;=0.6),"Profit product",IF(N113&gt;=0.5,"Traffic product","Thin - rework"))))</f>
        <v/>
      </c>
      <c r="P113" s="4" t="n"/>
      <c r="Q113" s="4" t="n"/>
      <c r="R113" s="3">
        <f>IF(A113="","",IF(Q113=0,"Set a cap",IF(P113&gt;Q113,"Over cap - shrink batch","OK")))</f>
        <v/>
      </c>
    </row>
    <row r="114">
      <c r="E114" s="3">
        <f>IF(A114="","",IF(D114=0,"",IF(D114&gt;2,"Stale - likely saturated","Fresh")))</f>
        <v/>
      </c>
      <c r="I114" s="4" t="n"/>
      <c r="J114" s="4" t="n"/>
      <c r="K114" s="4" t="n"/>
      <c r="L114" s="5">
        <f>IF(A114="","",I114-J114)</f>
        <v/>
      </c>
      <c r="M114" s="5">
        <f>IF(A114="","",J114-K114)</f>
        <v/>
      </c>
      <c r="N114" s="6">
        <f>IF(A114="","",IFERROR((J114-K114)/J114,0))</f>
        <v/>
      </c>
      <c r="O114" s="3">
        <f>IF(A114="","",IF(M114&lt;=0,"Drop",IF(AND(L114&gt;0,N114&gt;=0.6),"Profit product",IF(N114&gt;=0.5,"Traffic product","Thin - rework"))))</f>
        <v/>
      </c>
      <c r="P114" s="4" t="n"/>
      <c r="Q114" s="4" t="n"/>
      <c r="R114" s="3">
        <f>IF(A114="","",IF(Q114=0,"Set a cap",IF(P114&gt;Q114,"Over cap - shrink batch","OK")))</f>
        <v/>
      </c>
    </row>
    <row r="115">
      <c r="E115" s="3">
        <f>IF(A115="","",IF(D115=0,"",IF(D115&gt;2,"Stale - likely saturated","Fresh")))</f>
        <v/>
      </c>
      <c r="I115" s="4" t="n"/>
      <c r="J115" s="4" t="n"/>
      <c r="K115" s="4" t="n"/>
      <c r="L115" s="5">
        <f>IF(A115="","",I115-J115)</f>
        <v/>
      </c>
      <c r="M115" s="5">
        <f>IF(A115="","",J115-K115)</f>
        <v/>
      </c>
      <c r="N115" s="6">
        <f>IF(A115="","",IFERROR((J115-K115)/J115,0))</f>
        <v/>
      </c>
      <c r="O115" s="3">
        <f>IF(A115="","",IF(M115&lt;=0,"Drop",IF(AND(L115&gt;0,N115&gt;=0.6),"Profit product",IF(N115&gt;=0.5,"Traffic product","Thin - rework"))))</f>
        <v/>
      </c>
      <c r="P115" s="4" t="n"/>
      <c r="Q115" s="4" t="n"/>
      <c r="R115" s="3">
        <f>IF(A115="","",IF(Q115=0,"Set a cap",IF(P115&gt;Q115,"Over cap - shrink batch","OK")))</f>
        <v/>
      </c>
    </row>
    <row r="116">
      <c r="E116" s="3">
        <f>IF(A116="","",IF(D116=0,"",IF(D116&gt;2,"Stale - likely saturated","Fresh")))</f>
        <v/>
      </c>
      <c r="I116" s="4" t="n"/>
      <c r="J116" s="4" t="n"/>
      <c r="K116" s="4" t="n"/>
      <c r="L116" s="5">
        <f>IF(A116="","",I116-J116)</f>
        <v/>
      </c>
      <c r="M116" s="5">
        <f>IF(A116="","",J116-K116)</f>
        <v/>
      </c>
      <c r="N116" s="6">
        <f>IF(A116="","",IFERROR((J116-K116)/J116,0))</f>
        <v/>
      </c>
      <c r="O116" s="3">
        <f>IF(A116="","",IF(M116&lt;=0,"Drop",IF(AND(L116&gt;0,N116&gt;=0.6),"Profit product",IF(N116&gt;=0.5,"Traffic product","Thin - rework"))))</f>
        <v/>
      </c>
      <c r="P116" s="4" t="n"/>
      <c r="Q116" s="4" t="n"/>
      <c r="R116" s="3">
        <f>IF(A116="","",IF(Q116=0,"Set a cap",IF(P116&gt;Q116,"Over cap - shrink batch","OK")))</f>
        <v/>
      </c>
    </row>
    <row r="117">
      <c r="E117" s="3">
        <f>IF(A117="","",IF(D117=0,"",IF(D117&gt;2,"Stale - likely saturated","Fresh")))</f>
        <v/>
      </c>
      <c r="I117" s="4" t="n"/>
      <c r="J117" s="4" t="n"/>
      <c r="K117" s="4" t="n"/>
      <c r="L117" s="5">
        <f>IF(A117="","",I117-J117)</f>
        <v/>
      </c>
      <c r="M117" s="5">
        <f>IF(A117="","",J117-K117)</f>
        <v/>
      </c>
      <c r="N117" s="6">
        <f>IF(A117="","",IFERROR((J117-K117)/J117,0))</f>
        <v/>
      </c>
      <c r="O117" s="3">
        <f>IF(A117="","",IF(M117&lt;=0,"Drop",IF(AND(L117&gt;0,N117&gt;=0.6),"Profit product",IF(N117&gt;=0.5,"Traffic product","Thin - rework"))))</f>
        <v/>
      </c>
      <c r="P117" s="4" t="n"/>
      <c r="Q117" s="4" t="n"/>
      <c r="R117" s="3">
        <f>IF(A117="","",IF(Q117=0,"Set a cap",IF(P117&gt;Q117,"Over cap - shrink batch","OK")))</f>
        <v/>
      </c>
    </row>
    <row r="118">
      <c r="E118" s="3">
        <f>IF(A118="","",IF(D118=0,"",IF(D118&gt;2,"Stale - likely saturated","Fresh")))</f>
        <v/>
      </c>
      <c r="I118" s="4" t="n"/>
      <c r="J118" s="4" t="n"/>
      <c r="K118" s="4" t="n"/>
      <c r="L118" s="5">
        <f>IF(A118="","",I118-J118)</f>
        <v/>
      </c>
      <c r="M118" s="5">
        <f>IF(A118="","",J118-K118)</f>
        <v/>
      </c>
      <c r="N118" s="6">
        <f>IF(A118="","",IFERROR((J118-K118)/J118,0))</f>
        <v/>
      </c>
      <c r="O118" s="3">
        <f>IF(A118="","",IF(M118&lt;=0,"Drop",IF(AND(L118&gt;0,N118&gt;=0.6),"Profit product",IF(N118&gt;=0.5,"Traffic product","Thin - rework"))))</f>
        <v/>
      </c>
      <c r="P118" s="4" t="n"/>
      <c r="Q118" s="4" t="n"/>
      <c r="R118" s="3">
        <f>IF(A118="","",IF(Q118=0,"Set a cap",IF(P118&gt;Q118,"Over cap - shrink batch","OK")))</f>
        <v/>
      </c>
    </row>
    <row r="119">
      <c r="E119" s="3">
        <f>IF(A119="","",IF(D119=0,"",IF(D119&gt;2,"Stale - likely saturated","Fresh")))</f>
        <v/>
      </c>
      <c r="I119" s="4" t="n"/>
      <c r="J119" s="4" t="n"/>
      <c r="K119" s="4" t="n"/>
      <c r="L119" s="5">
        <f>IF(A119="","",I119-J119)</f>
        <v/>
      </c>
      <c r="M119" s="5">
        <f>IF(A119="","",J119-K119)</f>
        <v/>
      </c>
      <c r="N119" s="6">
        <f>IF(A119="","",IFERROR((J119-K119)/J119,0))</f>
        <v/>
      </c>
      <c r="O119" s="3">
        <f>IF(A119="","",IF(M119&lt;=0,"Drop",IF(AND(L119&gt;0,N119&gt;=0.6),"Profit product",IF(N119&gt;=0.5,"Traffic product","Thin - rework"))))</f>
        <v/>
      </c>
      <c r="P119" s="4" t="n"/>
      <c r="Q119" s="4" t="n"/>
      <c r="R119" s="3">
        <f>IF(A119="","",IF(Q119=0,"Set a cap",IF(P119&gt;Q119,"Over cap - shrink batch","OK")))</f>
        <v/>
      </c>
    </row>
    <row r="120">
      <c r="E120" s="3">
        <f>IF(A120="","",IF(D120=0,"",IF(D120&gt;2,"Stale - likely saturated","Fresh")))</f>
        <v/>
      </c>
      <c r="I120" s="4" t="n"/>
      <c r="J120" s="4" t="n"/>
      <c r="K120" s="4" t="n"/>
      <c r="L120" s="5">
        <f>IF(A120="","",I120-J120)</f>
        <v/>
      </c>
      <c r="M120" s="5">
        <f>IF(A120="","",J120-K120)</f>
        <v/>
      </c>
      <c r="N120" s="6">
        <f>IF(A120="","",IFERROR((J120-K120)/J120,0))</f>
        <v/>
      </c>
      <c r="O120" s="3">
        <f>IF(A120="","",IF(M120&lt;=0,"Drop",IF(AND(L120&gt;0,N120&gt;=0.6),"Profit product",IF(N120&gt;=0.5,"Traffic product","Thin - rework"))))</f>
        <v/>
      </c>
      <c r="P120" s="4" t="n"/>
      <c r="Q120" s="4" t="n"/>
      <c r="R120" s="3">
        <f>IF(A120="","",IF(Q120=0,"Set a cap",IF(P120&gt;Q120,"Over cap - shrink batch","OK")))</f>
        <v/>
      </c>
    </row>
    <row r="121">
      <c r="E121" s="3">
        <f>IF(A121="","",IF(D121=0,"",IF(D121&gt;2,"Stale - likely saturated","Fresh")))</f>
        <v/>
      </c>
      <c r="I121" s="4" t="n"/>
      <c r="J121" s="4" t="n"/>
      <c r="K121" s="4" t="n"/>
      <c r="L121" s="5">
        <f>IF(A121="","",I121-J121)</f>
        <v/>
      </c>
      <c r="M121" s="5">
        <f>IF(A121="","",J121-K121)</f>
        <v/>
      </c>
      <c r="N121" s="6">
        <f>IF(A121="","",IFERROR((J121-K121)/J121,0))</f>
        <v/>
      </c>
      <c r="O121" s="3">
        <f>IF(A121="","",IF(M121&lt;=0,"Drop",IF(AND(L121&gt;0,N121&gt;=0.6),"Profit product",IF(N121&gt;=0.5,"Traffic product","Thin - rework"))))</f>
        <v/>
      </c>
      <c r="P121" s="4" t="n"/>
      <c r="Q121" s="4" t="n"/>
      <c r="R121" s="3">
        <f>IF(A121="","",IF(Q121=0,"Set a cap",IF(P121&gt;Q121,"Over cap - shrink batch","OK")))</f>
        <v/>
      </c>
    </row>
    <row r="122">
      <c r="E122" s="3">
        <f>IF(A122="","",IF(D122=0,"",IF(D122&gt;2,"Stale - likely saturated","Fresh")))</f>
        <v/>
      </c>
      <c r="I122" s="4" t="n"/>
      <c r="J122" s="4" t="n"/>
      <c r="K122" s="4" t="n"/>
      <c r="L122" s="5">
        <f>IF(A122="","",I122-J122)</f>
        <v/>
      </c>
      <c r="M122" s="5">
        <f>IF(A122="","",J122-K122)</f>
        <v/>
      </c>
      <c r="N122" s="6">
        <f>IF(A122="","",IFERROR((J122-K122)/J122,0))</f>
        <v/>
      </c>
      <c r="O122" s="3">
        <f>IF(A122="","",IF(M122&lt;=0,"Drop",IF(AND(L122&gt;0,N122&gt;=0.6),"Profit product",IF(N122&gt;=0.5,"Traffic product","Thin - rework"))))</f>
        <v/>
      </c>
      <c r="P122" s="4" t="n"/>
      <c r="Q122" s="4" t="n"/>
      <c r="R122" s="3">
        <f>IF(A122="","",IF(Q122=0,"Set a cap",IF(P122&gt;Q122,"Over cap - shrink batch","OK")))</f>
        <v/>
      </c>
    </row>
    <row r="123">
      <c r="E123" s="3">
        <f>IF(A123="","",IF(D123=0,"",IF(D123&gt;2,"Stale - likely saturated","Fresh")))</f>
        <v/>
      </c>
      <c r="I123" s="4" t="n"/>
      <c r="J123" s="4" t="n"/>
      <c r="K123" s="4" t="n"/>
      <c r="L123" s="5">
        <f>IF(A123="","",I123-J123)</f>
        <v/>
      </c>
      <c r="M123" s="5">
        <f>IF(A123="","",J123-K123)</f>
        <v/>
      </c>
      <c r="N123" s="6">
        <f>IF(A123="","",IFERROR((J123-K123)/J123,0))</f>
        <v/>
      </c>
      <c r="O123" s="3">
        <f>IF(A123="","",IF(M123&lt;=0,"Drop",IF(AND(L123&gt;0,N123&gt;=0.6),"Profit product",IF(N123&gt;=0.5,"Traffic product","Thin - rework"))))</f>
        <v/>
      </c>
      <c r="P123" s="4" t="n"/>
      <c r="Q123" s="4" t="n"/>
      <c r="R123" s="3">
        <f>IF(A123="","",IF(Q123=0,"Set a cap",IF(P123&gt;Q123,"Over cap - shrink batch","OK")))</f>
        <v/>
      </c>
    </row>
    <row r="124">
      <c r="E124" s="3">
        <f>IF(A124="","",IF(D124=0,"",IF(D124&gt;2,"Stale - likely saturated","Fresh")))</f>
        <v/>
      </c>
      <c r="I124" s="4" t="n"/>
      <c r="J124" s="4" t="n"/>
      <c r="K124" s="4" t="n"/>
      <c r="L124" s="5">
        <f>IF(A124="","",I124-J124)</f>
        <v/>
      </c>
      <c r="M124" s="5">
        <f>IF(A124="","",J124-K124)</f>
        <v/>
      </c>
      <c r="N124" s="6">
        <f>IF(A124="","",IFERROR((J124-K124)/J124,0))</f>
        <v/>
      </c>
      <c r="O124" s="3">
        <f>IF(A124="","",IF(M124&lt;=0,"Drop",IF(AND(L124&gt;0,N124&gt;=0.6),"Profit product",IF(N124&gt;=0.5,"Traffic product","Thin - rework"))))</f>
        <v/>
      </c>
      <c r="P124" s="4" t="n"/>
      <c r="Q124" s="4" t="n"/>
      <c r="R124" s="3">
        <f>IF(A124="","",IF(Q124=0,"Set a cap",IF(P124&gt;Q124,"Over cap - shrink batch","OK")))</f>
        <v/>
      </c>
    </row>
    <row r="125">
      <c r="E125" s="3">
        <f>IF(A125="","",IF(D125=0,"",IF(D125&gt;2,"Stale - likely saturated","Fresh")))</f>
        <v/>
      </c>
      <c r="I125" s="4" t="n"/>
      <c r="J125" s="4" t="n"/>
      <c r="K125" s="4" t="n"/>
      <c r="L125" s="5">
        <f>IF(A125="","",I125-J125)</f>
        <v/>
      </c>
      <c r="M125" s="5">
        <f>IF(A125="","",J125-K125)</f>
        <v/>
      </c>
      <c r="N125" s="6">
        <f>IF(A125="","",IFERROR((J125-K125)/J125,0))</f>
        <v/>
      </c>
      <c r="O125" s="3">
        <f>IF(A125="","",IF(M125&lt;=0,"Drop",IF(AND(L125&gt;0,N125&gt;=0.6),"Profit product",IF(N125&gt;=0.5,"Traffic product","Thin - rework"))))</f>
        <v/>
      </c>
      <c r="P125" s="4" t="n"/>
      <c r="Q125" s="4" t="n"/>
      <c r="R125" s="3">
        <f>IF(A125="","",IF(Q125=0,"Set a cap",IF(P125&gt;Q125,"Over cap - shrink batch","OK")))</f>
        <v/>
      </c>
    </row>
    <row r="126">
      <c r="E126" s="3">
        <f>IF(A126="","",IF(D126=0,"",IF(D126&gt;2,"Stale - likely saturated","Fresh")))</f>
        <v/>
      </c>
      <c r="I126" s="4" t="n"/>
      <c r="J126" s="4" t="n"/>
      <c r="K126" s="4" t="n"/>
      <c r="L126" s="5">
        <f>IF(A126="","",I126-J126)</f>
        <v/>
      </c>
      <c r="M126" s="5">
        <f>IF(A126="","",J126-K126)</f>
        <v/>
      </c>
      <c r="N126" s="6">
        <f>IF(A126="","",IFERROR((J126-K126)/J126,0))</f>
        <v/>
      </c>
      <c r="O126" s="3">
        <f>IF(A126="","",IF(M126&lt;=0,"Drop",IF(AND(L126&gt;0,N126&gt;=0.6),"Profit product",IF(N126&gt;=0.5,"Traffic product","Thin - rework"))))</f>
        <v/>
      </c>
      <c r="P126" s="4" t="n"/>
      <c r="Q126" s="4" t="n"/>
      <c r="R126" s="3">
        <f>IF(A126="","",IF(Q126=0,"Set a cap",IF(P126&gt;Q126,"Over cap - shrink batch","OK")))</f>
        <v/>
      </c>
    </row>
    <row r="127">
      <c r="E127" s="3">
        <f>IF(A127="","",IF(D127=0,"",IF(D127&gt;2,"Stale - likely saturated","Fresh")))</f>
        <v/>
      </c>
      <c r="I127" s="4" t="n"/>
      <c r="J127" s="4" t="n"/>
      <c r="K127" s="4" t="n"/>
      <c r="L127" s="5">
        <f>IF(A127="","",I127-J127)</f>
        <v/>
      </c>
      <c r="M127" s="5">
        <f>IF(A127="","",J127-K127)</f>
        <v/>
      </c>
      <c r="N127" s="6">
        <f>IF(A127="","",IFERROR((J127-K127)/J127,0))</f>
        <v/>
      </c>
      <c r="O127" s="3">
        <f>IF(A127="","",IF(M127&lt;=0,"Drop",IF(AND(L127&gt;0,N127&gt;=0.6),"Profit product",IF(N127&gt;=0.5,"Traffic product","Thin - rework"))))</f>
        <v/>
      </c>
      <c r="P127" s="4" t="n"/>
      <c r="Q127" s="4" t="n"/>
      <c r="R127" s="3">
        <f>IF(A127="","",IF(Q127=0,"Set a cap",IF(P127&gt;Q127,"Over cap - shrink batch","OK")))</f>
        <v/>
      </c>
    </row>
    <row r="128">
      <c r="E128" s="3">
        <f>IF(A128="","",IF(D128=0,"",IF(D128&gt;2,"Stale - likely saturated","Fresh")))</f>
        <v/>
      </c>
      <c r="I128" s="4" t="n"/>
      <c r="J128" s="4" t="n"/>
      <c r="K128" s="4" t="n"/>
      <c r="L128" s="5">
        <f>IF(A128="","",I128-J128)</f>
        <v/>
      </c>
      <c r="M128" s="5">
        <f>IF(A128="","",J128-K128)</f>
        <v/>
      </c>
      <c r="N128" s="6">
        <f>IF(A128="","",IFERROR((J128-K128)/J128,0))</f>
        <v/>
      </c>
      <c r="O128" s="3">
        <f>IF(A128="","",IF(M128&lt;=0,"Drop",IF(AND(L128&gt;0,N128&gt;=0.6),"Profit product",IF(N128&gt;=0.5,"Traffic product","Thin - rework"))))</f>
        <v/>
      </c>
      <c r="P128" s="4" t="n"/>
      <c r="Q128" s="4" t="n"/>
      <c r="R128" s="3">
        <f>IF(A128="","",IF(Q128=0,"Set a cap",IF(P128&gt;Q128,"Over cap - shrink batch","OK")))</f>
        <v/>
      </c>
    </row>
    <row r="129">
      <c r="E129" s="3">
        <f>IF(A129="","",IF(D129=0,"",IF(D129&gt;2,"Stale - likely saturated","Fresh")))</f>
        <v/>
      </c>
      <c r="I129" s="4" t="n"/>
      <c r="J129" s="4" t="n"/>
      <c r="K129" s="4" t="n"/>
      <c r="L129" s="5">
        <f>IF(A129="","",I129-J129)</f>
        <v/>
      </c>
      <c r="M129" s="5">
        <f>IF(A129="","",J129-K129)</f>
        <v/>
      </c>
      <c r="N129" s="6">
        <f>IF(A129="","",IFERROR((J129-K129)/J129,0))</f>
        <v/>
      </c>
      <c r="O129" s="3">
        <f>IF(A129="","",IF(M129&lt;=0,"Drop",IF(AND(L129&gt;0,N129&gt;=0.6),"Profit product",IF(N129&gt;=0.5,"Traffic product","Thin - rework"))))</f>
        <v/>
      </c>
      <c r="P129" s="4" t="n"/>
      <c r="Q129" s="4" t="n"/>
      <c r="R129" s="3">
        <f>IF(A129="","",IF(Q129=0,"Set a cap",IF(P129&gt;Q129,"Over cap - shrink batch","OK")))</f>
        <v/>
      </c>
    </row>
    <row r="130">
      <c r="E130" s="3">
        <f>IF(A130="","",IF(D130=0,"",IF(D130&gt;2,"Stale - likely saturated","Fresh")))</f>
        <v/>
      </c>
      <c r="I130" s="4" t="n"/>
      <c r="J130" s="4" t="n"/>
      <c r="K130" s="4" t="n"/>
      <c r="L130" s="5">
        <f>IF(A130="","",I130-J130)</f>
        <v/>
      </c>
      <c r="M130" s="5">
        <f>IF(A130="","",J130-K130)</f>
        <v/>
      </c>
      <c r="N130" s="6">
        <f>IF(A130="","",IFERROR((J130-K130)/J130,0))</f>
        <v/>
      </c>
      <c r="O130" s="3">
        <f>IF(A130="","",IF(M130&lt;=0,"Drop",IF(AND(L130&gt;0,N130&gt;=0.6),"Profit product",IF(N130&gt;=0.5,"Traffic product","Thin - rework"))))</f>
        <v/>
      </c>
      <c r="P130" s="4" t="n"/>
      <c r="Q130" s="4" t="n"/>
      <c r="R130" s="3">
        <f>IF(A130="","",IF(Q130=0,"Set a cap",IF(P130&gt;Q130,"Over cap - shrink batch","OK")))</f>
        <v/>
      </c>
    </row>
    <row r="131">
      <c r="E131" s="3">
        <f>IF(A131="","",IF(D131=0,"",IF(D131&gt;2,"Stale - likely saturated","Fresh")))</f>
        <v/>
      </c>
      <c r="I131" s="4" t="n"/>
      <c r="J131" s="4" t="n"/>
      <c r="K131" s="4" t="n"/>
      <c r="L131" s="5">
        <f>IF(A131="","",I131-J131)</f>
        <v/>
      </c>
      <c r="M131" s="5">
        <f>IF(A131="","",J131-K131)</f>
        <v/>
      </c>
      <c r="N131" s="6">
        <f>IF(A131="","",IFERROR((J131-K131)/J131,0))</f>
        <v/>
      </c>
      <c r="O131" s="3">
        <f>IF(A131="","",IF(M131&lt;=0,"Drop",IF(AND(L131&gt;0,N131&gt;=0.6),"Profit product",IF(N131&gt;=0.5,"Traffic product","Thin - rework"))))</f>
        <v/>
      </c>
      <c r="P131" s="4" t="n"/>
      <c r="Q131" s="4" t="n"/>
      <c r="R131" s="3">
        <f>IF(A131="","",IF(Q131=0,"Set a cap",IF(P131&gt;Q131,"Over cap - shrink batch","OK")))</f>
        <v/>
      </c>
    </row>
    <row r="132">
      <c r="E132" s="3">
        <f>IF(A132="","",IF(D132=0,"",IF(D132&gt;2,"Stale - likely saturated","Fresh")))</f>
        <v/>
      </c>
      <c r="I132" s="4" t="n"/>
      <c r="J132" s="4" t="n"/>
      <c r="K132" s="4" t="n"/>
      <c r="L132" s="5">
        <f>IF(A132="","",I132-J132)</f>
        <v/>
      </c>
      <c r="M132" s="5">
        <f>IF(A132="","",J132-K132)</f>
        <v/>
      </c>
      <c r="N132" s="6">
        <f>IF(A132="","",IFERROR((J132-K132)/J132,0))</f>
        <v/>
      </c>
      <c r="O132" s="3">
        <f>IF(A132="","",IF(M132&lt;=0,"Drop",IF(AND(L132&gt;0,N132&gt;=0.6),"Profit product",IF(N132&gt;=0.5,"Traffic product","Thin - rework"))))</f>
        <v/>
      </c>
      <c r="P132" s="4" t="n"/>
      <c r="Q132" s="4" t="n"/>
      <c r="R132" s="3">
        <f>IF(A132="","",IF(Q132=0,"Set a cap",IF(P132&gt;Q132,"Over cap - shrink batch","OK")))</f>
        <v/>
      </c>
    </row>
    <row r="133">
      <c r="E133" s="3">
        <f>IF(A133="","",IF(D133=0,"",IF(D133&gt;2,"Stale - likely saturated","Fresh")))</f>
        <v/>
      </c>
      <c r="I133" s="4" t="n"/>
      <c r="J133" s="4" t="n"/>
      <c r="K133" s="4" t="n"/>
      <c r="L133" s="5">
        <f>IF(A133="","",I133-J133)</f>
        <v/>
      </c>
      <c r="M133" s="5">
        <f>IF(A133="","",J133-K133)</f>
        <v/>
      </c>
      <c r="N133" s="6">
        <f>IF(A133="","",IFERROR((J133-K133)/J133,0))</f>
        <v/>
      </c>
      <c r="O133" s="3">
        <f>IF(A133="","",IF(M133&lt;=0,"Drop",IF(AND(L133&gt;0,N133&gt;=0.6),"Profit product",IF(N133&gt;=0.5,"Traffic product","Thin - rework"))))</f>
        <v/>
      </c>
      <c r="P133" s="4" t="n"/>
      <c r="Q133" s="4" t="n"/>
      <c r="R133" s="3">
        <f>IF(A133="","",IF(Q133=0,"Set a cap",IF(P133&gt;Q133,"Over cap - shrink batch","OK")))</f>
        <v/>
      </c>
    </row>
    <row r="134">
      <c r="E134" s="3">
        <f>IF(A134="","",IF(D134=0,"",IF(D134&gt;2,"Stale - likely saturated","Fresh")))</f>
        <v/>
      </c>
      <c r="I134" s="4" t="n"/>
      <c r="J134" s="4" t="n"/>
      <c r="K134" s="4" t="n"/>
      <c r="L134" s="5">
        <f>IF(A134="","",I134-J134)</f>
        <v/>
      </c>
      <c r="M134" s="5">
        <f>IF(A134="","",J134-K134)</f>
        <v/>
      </c>
      <c r="N134" s="6">
        <f>IF(A134="","",IFERROR((J134-K134)/J134,0))</f>
        <v/>
      </c>
      <c r="O134" s="3">
        <f>IF(A134="","",IF(M134&lt;=0,"Drop",IF(AND(L134&gt;0,N134&gt;=0.6),"Profit product",IF(N134&gt;=0.5,"Traffic product","Thin - rework"))))</f>
        <v/>
      </c>
      <c r="P134" s="4" t="n"/>
      <c r="Q134" s="4" t="n"/>
      <c r="R134" s="3">
        <f>IF(A134="","",IF(Q134=0,"Set a cap",IF(P134&gt;Q134,"Over cap - shrink batch","OK")))</f>
        <v/>
      </c>
    </row>
    <row r="135">
      <c r="E135" s="3">
        <f>IF(A135="","",IF(D135=0,"",IF(D135&gt;2,"Stale - likely saturated","Fresh")))</f>
        <v/>
      </c>
      <c r="I135" s="4" t="n"/>
      <c r="J135" s="4" t="n"/>
      <c r="K135" s="4" t="n"/>
      <c r="L135" s="5">
        <f>IF(A135="","",I135-J135)</f>
        <v/>
      </c>
      <c r="M135" s="5">
        <f>IF(A135="","",J135-K135)</f>
        <v/>
      </c>
      <c r="N135" s="6">
        <f>IF(A135="","",IFERROR((J135-K135)/J135,0))</f>
        <v/>
      </c>
      <c r="O135" s="3">
        <f>IF(A135="","",IF(M135&lt;=0,"Drop",IF(AND(L135&gt;0,N135&gt;=0.6),"Profit product",IF(N135&gt;=0.5,"Traffic product","Thin - rework"))))</f>
        <v/>
      </c>
      <c r="P135" s="4" t="n"/>
      <c r="Q135" s="4" t="n"/>
      <c r="R135" s="3">
        <f>IF(A135="","",IF(Q135=0,"Set a cap",IF(P135&gt;Q135,"Over cap - shrink batch","OK")))</f>
        <v/>
      </c>
    </row>
    <row r="136">
      <c r="E136" s="3">
        <f>IF(A136="","",IF(D136=0,"",IF(D136&gt;2,"Stale - likely saturated","Fresh")))</f>
        <v/>
      </c>
      <c r="I136" s="4" t="n"/>
      <c r="J136" s="4" t="n"/>
      <c r="K136" s="4" t="n"/>
      <c r="L136" s="5">
        <f>IF(A136="","",I136-J136)</f>
        <v/>
      </c>
      <c r="M136" s="5">
        <f>IF(A136="","",J136-K136)</f>
        <v/>
      </c>
      <c r="N136" s="6">
        <f>IF(A136="","",IFERROR((J136-K136)/J136,0))</f>
        <v/>
      </c>
      <c r="O136" s="3">
        <f>IF(A136="","",IF(M136&lt;=0,"Drop",IF(AND(L136&gt;0,N136&gt;=0.6),"Profit product",IF(N136&gt;=0.5,"Traffic product","Thin - rework"))))</f>
        <v/>
      </c>
      <c r="P136" s="4" t="n"/>
      <c r="Q136" s="4" t="n"/>
      <c r="R136" s="3">
        <f>IF(A136="","",IF(Q136=0,"Set a cap",IF(P136&gt;Q136,"Over cap - shrink batch","OK")))</f>
        <v/>
      </c>
    </row>
    <row r="137">
      <c r="E137" s="3">
        <f>IF(A137="","",IF(D137=0,"",IF(D137&gt;2,"Stale - likely saturated","Fresh")))</f>
        <v/>
      </c>
      <c r="I137" s="4" t="n"/>
      <c r="J137" s="4" t="n"/>
      <c r="K137" s="4" t="n"/>
      <c r="L137" s="5">
        <f>IF(A137="","",I137-J137)</f>
        <v/>
      </c>
      <c r="M137" s="5">
        <f>IF(A137="","",J137-K137)</f>
        <v/>
      </c>
      <c r="N137" s="6">
        <f>IF(A137="","",IFERROR((J137-K137)/J137,0))</f>
        <v/>
      </c>
      <c r="O137" s="3">
        <f>IF(A137="","",IF(M137&lt;=0,"Drop",IF(AND(L137&gt;0,N137&gt;=0.6),"Profit product",IF(N137&gt;=0.5,"Traffic product","Thin - rework"))))</f>
        <v/>
      </c>
      <c r="P137" s="4" t="n"/>
      <c r="Q137" s="4" t="n"/>
      <c r="R137" s="3">
        <f>IF(A137="","",IF(Q137=0,"Set a cap",IF(P137&gt;Q137,"Over cap - shrink batch","OK")))</f>
        <v/>
      </c>
    </row>
    <row r="138">
      <c r="E138" s="3">
        <f>IF(A138="","",IF(D138=0,"",IF(D138&gt;2,"Stale - likely saturated","Fresh")))</f>
        <v/>
      </c>
      <c r="I138" s="4" t="n"/>
      <c r="J138" s="4" t="n"/>
      <c r="K138" s="4" t="n"/>
      <c r="L138" s="5">
        <f>IF(A138="","",I138-J138)</f>
        <v/>
      </c>
      <c r="M138" s="5">
        <f>IF(A138="","",J138-K138)</f>
        <v/>
      </c>
      <c r="N138" s="6">
        <f>IF(A138="","",IFERROR((J138-K138)/J138,0))</f>
        <v/>
      </c>
      <c r="O138" s="3">
        <f>IF(A138="","",IF(M138&lt;=0,"Drop",IF(AND(L138&gt;0,N138&gt;=0.6),"Profit product",IF(N138&gt;=0.5,"Traffic product","Thin - rework"))))</f>
        <v/>
      </c>
      <c r="P138" s="4" t="n"/>
      <c r="Q138" s="4" t="n"/>
      <c r="R138" s="3">
        <f>IF(A138="","",IF(Q138=0,"Set a cap",IF(P138&gt;Q138,"Over cap - shrink batch","OK")))</f>
        <v/>
      </c>
    </row>
    <row r="139">
      <c r="E139" s="3">
        <f>IF(A139="","",IF(D139=0,"",IF(D139&gt;2,"Stale - likely saturated","Fresh")))</f>
        <v/>
      </c>
      <c r="I139" s="4" t="n"/>
      <c r="J139" s="4" t="n"/>
      <c r="K139" s="4" t="n"/>
      <c r="L139" s="5">
        <f>IF(A139="","",I139-J139)</f>
        <v/>
      </c>
      <c r="M139" s="5">
        <f>IF(A139="","",J139-K139)</f>
        <v/>
      </c>
      <c r="N139" s="6">
        <f>IF(A139="","",IFERROR((J139-K139)/J139,0))</f>
        <v/>
      </c>
      <c r="O139" s="3">
        <f>IF(A139="","",IF(M139&lt;=0,"Drop",IF(AND(L139&gt;0,N139&gt;=0.6),"Profit product",IF(N139&gt;=0.5,"Traffic product","Thin - rework"))))</f>
        <v/>
      </c>
      <c r="P139" s="4" t="n"/>
      <c r="Q139" s="4" t="n"/>
      <c r="R139" s="3">
        <f>IF(A139="","",IF(Q139=0,"Set a cap",IF(P139&gt;Q139,"Over cap - shrink batch","OK")))</f>
        <v/>
      </c>
    </row>
    <row r="140">
      <c r="E140" s="3">
        <f>IF(A140="","",IF(D140=0,"",IF(D140&gt;2,"Stale - likely saturated","Fresh")))</f>
        <v/>
      </c>
      <c r="I140" s="4" t="n"/>
      <c r="J140" s="4" t="n"/>
      <c r="K140" s="4" t="n"/>
      <c r="L140" s="5">
        <f>IF(A140="","",I140-J140)</f>
        <v/>
      </c>
      <c r="M140" s="5">
        <f>IF(A140="","",J140-K140)</f>
        <v/>
      </c>
      <c r="N140" s="6">
        <f>IF(A140="","",IFERROR((J140-K140)/J140,0))</f>
        <v/>
      </c>
      <c r="O140" s="3">
        <f>IF(A140="","",IF(M140&lt;=0,"Drop",IF(AND(L140&gt;0,N140&gt;=0.6),"Profit product",IF(N140&gt;=0.5,"Traffic product","Thin - rework"))))</f>
        <v/>
      </c>
      <c r="P140" s="4" t="n"/>
      <c r="Q140" s="4" t="n"/>
      <c r="R140" s="3">
        <f>IF(A140="","",IF(Q140=0,"Set a cap",IF(P140&gt;Q140,"Over cap - shrink batch","OK")))</f>
        <v/>
      </c>
    </row>
    <row r="141">
      <c r="E141" s="3">
        <f>IF(A141="","",IF(D141=0,"",IF(D141&gt;2,"Stale - likely saturated","Fresh")))</f>
        <v/>
      </c>
      <c r="I141" s="4" t="n"/>
      <c r="J141" s="4" t="n"/>
      <c r="K141" s="4" t="n"/>
      <c r="L141" s="5">
        <f>IF(A141="","",I141-J141)</f>
        <v/>
      </c>
      <c r="M141" s="5">
        <f>IF(A141="","",J141-K141)</f>
        <v/>
      </c>
      <c r="N141" s="6">
        <f>IF(A141="","",IFERROR((J141-K141)/J141,0))</f>
        <v/>
      </c>
      <c r="O141" s="3">
        <f>IF(A141="","",IF(M141&lt;=0,"Drop",IF(AND(L141&gt;0,N141&gt;=0.6),"Profit product",IF(N141&gt;=0.5,"Traffic product","Thin - rework"))))</f>
        <v/>
      </c>
      <c r="P141" s="4" t="n"/>
      <c r="Q141" s="4" t="n"/>
      <c r="R141" s="3">
        <f>IF(A141="","",IF(Q141=0,"Set a cap",IF(P141&gt;Q141,"Over cap - shrink batch","OK")))</f>
        <v/>
      </c>
    </row>
    <row r="142">
      <c r="E142" s="3">
        <f>IF(A142="","",IF(D142=0,"",IF(D142&gt;2,"Stale - likely saturated","Fresh")))</f>
        <v/>
      </c>
      <c r="I142" s="4" t="n"/>
      <c r="J142" s="4" t="n"/>
      <c r="K142" s="4" t="n"/>
      <c r="L142" s="5">
        <f>IF(A142="","",I142-J142)</f>
        <v/>
      </c>
      <c r="M142" s="5">
        <f>IF(A142="","",J142-K142)</f>
        <v/>
      </c>
      <c r="N142" s="6">
        <f>IF(A142="","",IFERROR((J142-K142)/J142,0))</f>
        <v/>
      </c>
      <c r="O142" s="3">
        <f>IF(A142="","",IF(M142&lt;=0,"Drop",IF(AND(L142&gt;0,N142&gt;=0.6),"Profit product",IF(N142&gt;=0.5,"Traffic product","Thin - rework"))))</f>
        <v/>
      </c>
      <c r="P142" s="4" t="n"/>
      <c r="Q142" s="4" t="n"/>
      <c r="R142" s="3">
        <f>IF(A142="","",IF(Q142=0,"Set a cap",IF(P142&gt;Q142,"Over cap - shrink batch","OK")))</f>
        <v/>
      </c>
    </row>
    <row r="143">
      <c r="E143" s="3">
        <f>IF(A143="","",IF(D143=0,"",IF(D143&gt;2,"Stale - likely saturated","Fresh")))</f>
        <v/>
      </c>
      <c r="I143" s="4" t="n"/>
      <c r="J143" s="4" t="n"/>
      <c r="K143" s="4" t="n"/>
      <c r="L143" s="5">
        <f>IF(A143="","",I143-J143)</f>
        <v/>
      </c>
      <c r="M143" s="5">
        <f>IF(A143="","",J143-K143)</f>
        <v/>
      </c>
      <c r="N143" s="6">
        <f>IF(A143="","",IFERROR((J143-K143)/J143,0))</f>
        <v/>
      </c>
      <c r="O143" s="3">
        <f>IF(A143="","",IF(M143&lt;=0,"Drop",IF(AND(L143&gt;0,N143&gt;=0.6),"Profit product",IF(N143&gt;=0.5,"Traffic product","Thin - rework"))))</f>
        <v/>
      </c>
      <c r="P143" s="4" t="n"/>
      <c r="Q143" s="4" t="n"/>
      <c r="R143" s="3">
        <f>IF(A143="","",IF(Q143=0,"Set a cap",IF(P143&gt;Q143,"Over cap - shrink batch","OK")))</f>
        <v/>
      </c>
    </row>
    <row r="144">
      <c r="E144" s="3">
        <f>IF(A144="","",IF(D144=0,"",IF(D144&gt;2,"Stale - likely saturated","Fresh")))</f>
        <v/>
      </c>
      <c r="I144" s="4" t="n"/>
      <c r="J144" s="4" t="n"/>
      <c r="K144" s="4" t="n"/>
      <c r="L144" s="5">
        <f>IF(A144="","",I144-J144)</f>
        <v/>
      </c>
      <c r="M144" s="5">
        <f>IF(A144="","",J144-K144)</f>
        <v/>
      </c>
      <c r="N144" s="6">
        <f>IF(A144="","",IFERROR((J144-K144)/J144,0))</f>
        <v/>
      </c>
      <c r="O144" s="3">
        <f>IF(A144="","",IF(M144&lt;=0,"Drop",IF(AND(L144&gt;0,N144&gt;=0.6),"Profit product",IF(N144&gt;=0.5,"Traffic product","Thin - rework"))))</f>
        <v/>
      </c>
      <c r="P144" s="4" t="n"/>
      <c r="Q144" s="4" t="n"/>
      <c r="R144" s="3">
        <f>IF(A144="","",IF(Q144=0,"Set a cap",IF(P144&gt;Q144,"Over cap - shrink batch","OK")))</f>
        <v/>
      </c>
    </row>
    <row r="145">
      <c r="E145" s="3">
        <f>IF(A145="","",IF(D145=0,"",IF(D145&gt;2,"Stale - likely saturated","Fresh")))</f>
        <v/>
      </c>
      <c r="I145" s="4" t="n"/>
      <c r="J145" s="4" t="n"/>
      <c r="K145" s="4" t="n"/>
      <c r="L145" s="5">
        <f>IF(A145="","",I145-J145)</f>
        <v/>
      </c>
      <c r="M145" s="5">
        <f>IF(A145="","",J145-K145)</f>
        <v/>
      </c>
      <c r="N145" s="6">
        <f>IF(A145="","",IFERROR((J145-K145)/J145,0))</f>
        <v/>
      </c>
      <c r="O145" s="3">
        <f>IF(A145="","",IF(M145&lt;=0,"Drop",IF(AND(L145&gt;0,N145&gt;=0.6),"Profit product",IF(N145&gt;=0.5,"Traffic product","Thin - rework"))))</f>
        <v/>
      </c>
      <c r="P145" s="4" t="n"/>
      <c r="Q145" s="4" t="n"/>
      <c r="R145" s="3">
        <f>IF(A145="","",IF(Q145=0,"Set a cap",IF(P145&gt;Q145,"Over cap - shrink batch","OK")))</f>
        <v/>
      </c>
    </row>
    <row r="146">
      <c r="E146" s="3">
        <f>IF(A146="","",IF(D146=0,"",IF(D146&gt;2,"Stale - likely saturated","Fresh")))</f>
        <v/>
      </c>
      <c r="I146" s="4" t="n"/>
      <c r="J146" s="4" t="n"/>
      <c r="K146" s="4" t="n"/>
      <c r="L146" s="5">
        <f>IF(A146="","",I146-J146)</f>
        <v/>
      </c>
      <c r="M146" s="5">
        <f>IF(A146="","",J146-K146)</f>
        <v/>
      </c>
      <c r="N146" s="6">
        <f>IF(A146="","",IFERROR((J146-K146)/J146,0))</f>
        <v/>
      </c>
      <c r="O146" s="3">
        <f>IF(A146="","",IF(M146&lt;=0,"Drop",IF(AND(L146&gt;0,N146&gt;=0.6),"Profit product",IF(N146&gt;=0.5,"Traffic product","Thin - rework"))))</f>
        <v/>
      </c>
      <c r="P146" s="4" t="n"/>
      <c r="Q146" s="4" t="n"/>
      <c r="R146" s="3">
        <f>IF(A146="","",IF(Q146=0,"Set a cap",IF(P146&gt;Q146,"Over cap - shrink batch","OK")))</f>
        <v/>
      </c>
    </row>
    <row r="147">
      <c r="E147" s="3">
        <f>IF(A147="","",IF(D147=0,"",IF(D147&gt;2,"Stale - likely saturated","Fresh")))</f>
        <v/>
      </c>
      <c r="I147" s="4" t="n"/>
      <c r="J147" s="4" t="n"/>
      <c r="K147" s="4" t="n"/>
      <c r="L147" s="5">
        <f>IF(A147="","",I147-J147)</f>
        <v/>
      </c>
      <c r="M147" s="5">
        <f>IF(A147="","",J147-K147)</f>
        <v/>
      </c>
      <c r="N147" s="6">
        <f>IF(A147="","",IFERROR((J147-K147)/J147,0))</f>
        <v/>
      </c>
      <c r="O147" s="3">
        <f>IF(A147="","",IF(M147&lt;=0,"Drop",IF(AND(L147&gt;0,N147&gt;=0.6),"Profit product",IF(N147&gt;=0.5,"Traffic product","Thin - rework"))))</f>
        <v/>
      </c>
      <c r="P147" s="4" t="n"/>
      <c r="Q147" s="4" t="n"/>
      <c r="R147" s="3">
        <f>IF(A147="","",IF(Q147=0,"Set a cap",IF(P147&gt;Q147,"Over cap - shrink batch","OK")))</f>
        <v/>
      </c>
    </row>
    <row r="148">
      <c r="E148" s="3">
        <f>IF(A148="","",IF(D148=0,"",IF(D148&gt;2,"Stale - likely saturated","Fresh")))</f>
        <v/>
      </c>
      <c r="I148" s="4" t="n"/>
      <c r="J148" s="4" t="n"/>
      <c r="K148" s="4" t="n"/>
      <c r="L148" s="5">
        <f>IF(A148="","",I148-J148)</f>
        <v/>
      </c>
      <c r="M148" s="5">
        <f>IF(A148="","",J148-K148)</f>
        <v/>
      </c>
      <c r="N148" s="6">
        <f>IF(A148="","",IFERROR((J148-K148)/J148,0))</f>
        <v/>
      </c>
      <c r="O148" s="3">
        <f>IF(A148="","",IF(M148&lt;=0,"Drop",IF(AND(L148&gt;0,N148&gt;=0.6),"Profit product",IF(N148&gt;=0.5,"Traffic product","Thin - rework"))))</f>
        <v/>
      </c>
      <c r="P148" s="4" t="n"/>
      <c r="Q148" s="4" t="n"/>
      <c r="R148" s="3">
        <f>IF(A148="","",IF(Q148=0,"Set a cap",IF(P148&gt;Q148,"Over cap - shrink batch","OK")))</f>
        <v/>
      </c>
    </row>
    <row r="149">
      <c r="E149" s="3">
        <f>IF(A149="","",IF(D149=0,"",IF(D149&gt;2,"Stale - likely saturated","Fresh")))</f>
        <v/>
      </c>
      <c r="I149" s="4" t="n"/>
      <c r="J149" s="4" t="n"/>
      <c r="K149" s="4" t="n"/>
      <c r="L149" s="5">
        <f>IF(A149="","",I149-J149)</f>
        <v/>
      </c>
      <c r="M149" s="5">
        <f>IF(A149="","",J149-K149)</f>
        <v/>
      </c>
      <c r="N149" s="6">
        <f>IF(A149="","",IFERROR((J149-K149)/J149,0))</f>
        <v/>
      </c>
      <c r="O149" s="3">
        <f>IF(A149="","",IF(M149&lt;=0,"Drop",IF(AND(L149&gt;0,N149&gt;=0.6),"Profit product",IF(N149&gt;=0.5,"Traffic product","Thin - rework"))))</f>
        <v/>
      </c>
      <c r="P149" s="4" t="n"/>
      <c r="Q149" s="4" t="n"/>
      <c r="R149" s="3">
        <f>IF(A149="","",IF(Q149=0,"Set a cap",IF(P149&gt;Q149,"Over cap - shrink batch","OK")))</f>
        <v/>
      </c>
    </row>
    <row r="150">
      <c r="E150" s="3">
        <f>IF(A150="","",IF(D150=0,"",IF(D150&gt;2,"Stale - likely saturated","Fresh")))</f>
        <v/>
      </c>
      <c r="I150" s="4" t="n"/>
      <c r="J150" s="4" t="n"/>
      <c r="K150" s="4" t="n"/>
      <c r="L150" s="5">
        <f>IF(A150="","",I150-J150)</f>
        <v/>
      </c>
      <c r="M150" s="5">
        <f>IF(A150="","",J150-K150)</f>
        <v/>
      </c>
      <c r="N150" s="6">
        <f>IF(A150="","",IFERROR((J150-K150)/J150,0))</f>
        <v/>
      </c>
      <c r="O150" s="3">
        <f>IF(A150="","",IF(M150&lt;=0,"Drop",IF(AND(L150&gt;0,N150&gt;=0.6),"Profit product",IF(N150&gt;=0.5,"Traffic product","Thin - rework"))))</f>
        <v/>
      </c>
      <c r="P150" s="4" t="n"/>
      <c r="Q150" s="4" t="n"/>
      <c r="R150" s="3">
        <f>IF(A150="","",IF(Q150=0,"Set a cap",IF(P150&gt;Q150,"Over cap - shrink batch","OK")))</f>
        <v/>
      </c>
    </row>
    <row r="151">
      <c r="E151" s="3">
        <f>IF(A151="","",IF(D151=0,"",IF(D151&gt;2,"Stale - likely saturated","Fresh")))</f>
        <v/>
      </c>
      <c r="I151" s="4" t="n"/>
      <c r="J151" s="4" t="n"/>
      <c r="K151" s="4" t="n"/>
      <c r="L151" s="5">
        <f>IF(A151="","",I151-J151)</f>
        <v/>
      </c>
      <c r="M151" s="5">
        <f>IF(A151="","",J151-K151)</f>
        <v/>
      </c>
      <c r="N151" s="6">
        <f>IF(A151="","",IFERROR((J151-K151)/J151,0))</f>
        <v/>
      </c>
      <c r="O151" s="3">
        <f>IF(A151="","",IF(M151&lt;=0,"Drop",IF(AND(L151&gt;0,N151&gt;=0.6),"Profit product",IF(N151&gt;=0.5,"Traffic product","Thin - rework"))))</f>
        <v/>
      </c>
      <c r="P151" s="4" t="n"/>
      <c r="Q151" s="4" t="n"/>
      <c r="R151" s="3">
        <f>IF(A151="","",IF(Q151=0,"Set a cap",IF(P151&gt;Q151,"Over cap - shrink batch","OK")))</f>
        <v/>
      </c>
    </row>
    <row r="152">
      <c r="E152" s="3">
        <f>IF(A152="","",IF(D152=0,"",IF(D152&gt;2,"Stale - likely saturated","Fresh")))</f>
        <v/>
      </c>
      <c r="I152" s="4" t="n"/>
      <c r="J152" s="4" t="n"/>
      <c r="K152" s="4" t="n"/>
      <c r="L152" s="5">
        <f>IF(A152="","",I152-J152)</f>
        <v/>
      </c>
      <c r="M152" s="5">
        <f>IF(A152="","",J152-K152)</f>
        <v/>
      </c>
      <c r="N152" s="6">
        <f>IF(A152="","",IFERROR((J152-K152)/J152,0))</f>
        <v/>
      </c>
      <c r="O152" s="3">
        <f>IF(A152="","",IF(M152&lt;=0,"Drop",IF(AND(L152&gt;0,N152&gt;=0.6),"Profit product",IF(N152&gt;=0.5,"Traffic product","Thin - rework"))))</f>
        <v/>
      </c>
      <c r="P152" s="4" t="n"/>
      <c r="Q152" s="4" t="n"/>
      <c r="R152" s="3">
        <f>IF(A152="","",IF(Q152=0,"Set a cap",IF(P152&gt;Q152,"Over cap - shrink batch","OK")))</f>
        <v/>
      </c>
    </row>
    <row r="153">
      <c r="E153" s="3">
        <f>IF(A153="","",IF(D153=0,"",IF(D153&gt;2,"Stale - likely saturated","Fresh")))</f>
        <v/>
      </c>
      <c r="I153" s="4" t="n"/>
      <c r="J153" s="4" t="n"/>
      <c r="K153" s="4" t="n"/>
      <c r="L153" s="5">
        <f>IF(A153="","",I153-J153)</f>
        <v/>
      </c>
      <c r="M153" s="5">
        <f>IF(A153="","",J153-K153)</f>
        <v/>
      </c>
      <c r="N153" s="6">
        <f>IF(A153="","",IFERROR((J153-K153)/J153,0))</f>
        <v/>
      </c>
      <c r="O153" s="3">
        <f>IF(A153="","",IF(M153&lt;=0,"Drop",IF(AND(L153&gt;0,N153&gt;=0.6),"Profit product",IF(N153&gt;=0.5,"Traffic product","Thin - rework"))))</f>
        <v/>
      </c>
      <c r="P153" s="4" t="n"/>
      <c r="Q153" s="4" t="n"/>
      <c r="R153" s="3">
        <f>IF(A153="","",IF(Q153=0,"Set a cap",IF(P153&gt;Q153,"Over cap - shrink batch","OK")))</f>
        <v/>
      </c>
    </row>
    <row r="154">
      <c r="E154" s="3">
        <f>IF(A154="","",IF(D154=0,"",IF(D154&gt;2,"Stale - likely saturated","Fresh")))</f>
        <v/>
      </c>
      <c r="I154" s="4" t="n"/>
      <c r="J154" s="4" t="n"/>
      <c r="K154" s="4" t="n"/>
      <c r="L154" s="5">
        <f>IF(A154="","",I154-J154)</f>
        <v/>
      </c>
      <c r="M154" s="5">
        <f>IF(A154="","",J154-K154)</f>
        <v/>
      </c>
      <c r="N154" s="6">
        <f>IF(A154="","",IFERROR((J154-K154)/J154,0))</f>
        <v/>
      </c>
      <c r="O154" s="3">
        <f>IF(A154="","",IF(M154&lt;=0,"Drop",IF(AND(L154&gt;0,N154&gt;=0.6),"Profit product",IF(N154&gt;=0.5,"Traffic product","Thin - rework"))))</f>
        <v/>
      </c>
      <c r="P154" s="4" t="n"/>
      <c r="Q154" s="4" t="n"/>
      <c r="R154" s="3">
        <f>IF(A154="","",IF(Q154=0,"Set a cap",IF(P154&gt;Q154,"Over cap - shrink batch","OK")))</f>
        <v/>
      </c>
    </row>
    <row r="155">
      <c r="E155" s="3">
        <f>IF(A155="","",IF(D155=0,"",IF(D155&gt;2,"Stale - likely saturated","Fresh")))</f>
        <v/>
      </c>
      <c r="I155" s="4" t="n"/>
      <c r="J155" s="4" t="n"/>
      <c r="K155" s="4" t="n"/>
      <c r="L155" s="5">
        <f>IF(A155="","",I155-J155)</f>
        <v/>
      </c>
      <c r="M155" s="5">
        <f>IF(A155="","",J155-K155)</f>
        <v/>
      </c>
      <c r="N155" s="6">
        <f>IF(A155="","",IFERROR((J155-K155)/J155,0))</f>
        <v/>
      </c>
      <c r="O155" s="3">
        <f>IF(A155="","",IF(M155&lt;=0,"Drop",IF(AND(L155&gt;0,N155&gt;=0.6),"Profit product",IF(N155&gt;=0.5,"Traffic product","Thin - rework"))))</f>
        <v/>
      </c>
      <c r="P155" s="4" t="n"/>
      <c r="Q155" s="4" t="n"/>
      <c r="R155" s="3">
        <f>IF(A155="","",IF(Q155=0,"Set a cap",IF(P155&gt;Q155,"Over cap - shrink batch","OK")))</f>
        <v/>
      </c>
    </row>
    <row r="156">
      <c r="E156" s="3">
        <f>IF(A156="","",IF(D156=0,"",IF(D156&gt;2,"Stale - likely saturated","Fresh")))</f>
        <v/>
      </c>
      <c r="I156" s="4" t="n"/>
      <c r="J156" s="4" t="n"/>
      <c r="K156" s="4" t="n"/>
      <c r="L156" s="5">
        <f>IF(A156="","",I156-J156)</f>
        <v/>
      </c>
      <c r="M156" s="5">
        <f>IF(A156="","",J156-K156)</f>
        <v/>
      </c>
      <c r="N156" s="6">
        <f>IF(A156="","",IFERROR((J156-K156)/J156,0))</f>
        <v/>
      </c>
      <c r="O156" s="3">
        <f>IF(A156="","",IF(M156&lt;=0,"Drop",IF(AND(L156&gt;0,N156&gt;=0.6),"Profit product",IF(N156&gt;=0.5,"Traffic product","Thin - rework"))))</f>
        <v/>
      </c>
      <c r="P156" s="4" t="n"/>
      <c r="Q156" s="4" t="n"/>
      <c r="R156" s="3">
        <f>IF(A156="","",IF(Q156=0,"Set a cap",IF(P156&gt;Q156,"Over cap - shrink batch","OK")))</f>
        <v/>
      </c>
    </row>
    <row r="157">
      <c r="E157" s="3">
        <f>IF(A157="","",IF(D157=0,"",IF(D157&gt;2,"Stale - likely saturated","Fresh")))</f>
        <v/>
      </c>
      <c r="I157" s="4" t="n"/>
      <c r="J157" s="4" t="n"/>
      <c r="K157" s="4" t="n"/>
      <c r="L157" s="5">
        <f>IF(A157="","",I157-J157)</f>
        <v/>
      </c>
      <c r="M157" s="5">
        <f>IF(A157="","",J157-K157)</f>
        <v/>
      </c>
      <c r="N157" s="6">
        <f>IF(A157="","",IFERROR((J157-K157)/J157,0))</f>
        <v/>
      </c>
      <c r="O157" s="3">
        <f>IF(A157="","",IF(M157&lt;=0,"Drop",IF(AND(L157&gt;0,N157&gt;=0.6),"Profit product",IF(N157&gt;=0.5,"Traffic product","Thin - rework"))))</f>
        <v/>
      </c>
      <c r="P157" s="4" t="n"/>
      <c r="Q157" s="4" t="n"/>
      <c r="R157" s="3">
        <f>IF(A157="","",IF(Q157=0,"Set a cap",IF(P157&gt;Q157,"Over cap - shrink batch","OK")))</f>
        <v/>
      </c>
    </row>
    <row r="158">
      <c r="E158" s="3">
        <f>IF(A158="","",IF(D158=0,"",IF(D158&gt;2,"Stale - likely saturated","Fresh")))</f>
        <v/>
      </c>
      <c r="I158" s="4" t="n"/>
      <c r="J158" s="4" t="n"/>
      <c r="K158" s="4" t="n"/>
      <c r="L158" s="5">
        <f>IF(A158="","",I158-J158)</f>
        <v/>
      </c>
      <c r="M158" s="5">
        <f>IF(A158="","",J158-K158)</f>
        <v/>
      </c>
      <c r="N158" s="6">
        <f>IF(A158="","",IFERROR((J158-K158)/J158,0))</f>
        <v/>
      </c>
      <c r="O158" s="3">
        <f>IF(A158="","",IF(M158&lt;=0,"Drop",IF(AND(L158&gt;0,N158&gt;=0.6),"Profit product",IF(N158&gt;=0.5,"Traffic product","Thin - rework"))))</f>
        <v/>
      </c>
      <c r="P158" s="4" t="n"/>
      <c r="Q158" s="4" t="n"/>
      <c r="R158" s="3">
        <f>IF(A158="","",IF(Q158=0,"Set a cap",IF(P158&gt;Q158,"Over cap - shrink batch","OK")))</f>
        <v/>
      </c>
    </row>
    <row r="159">
      <c r="E159" s="3">
        <f>IF(A159="","",IF(D159=0,"",IF(D159&gt;2,"Stale - likely saturated","Fresh")))</f>
        <v/>
      </c>
      <c r="I159" s="4" t="n"/>
      <c r="J159" s="4" t="n"/>
      <c r="K159" s="4" t="n"/>
      <c r="L159" s="5">
        <f>IF(A159="","",I159-J159)</f>
        <v/>
      </c>
      <c r="M159" s="5">
        <f>IF(A159="","",J159-K159)</f>
        <v/>
      </c>
      <c r="N159" s="6">
        <f>IF(A159="","",IFERROR((J159-K159)/J159,0))</f>
        <v/>
      </c>
      <c r="O159" s="3">
        <f>IF(A159="","",IF(M159&lt;=0,"Drop",IF(AND(L159&gt;0,N159&gt;=0.6),"Profit product",IF(N159&gt;=0.5,"Traffic product","Thin - rework"))))</f>
        <v/>
      </c>
      <c r="P159" s="4" t="n"/>
      <c r="Q159" s="4" t="n"/>
      <c r="R159" s="3">
        <f>IF(A159="","",IF(Q159=0,"Set a cap",IF(P159&gt;Q159,"Over cap - shrink batch","OK")))</f>
        <v/>
      </c>
    </row>
    <row r="160">
      <c r="E160" s="3">
        <f>IF(A160="","",IF(D160=0,"",IF(D160&gt;2,"Stale - likely saturated","Fresh")))</f>
        <v/>
      </c>
      <c r="I160" s="4" t="n"/>
      <c r="J160" s="4" t="n"/>
      <c r="K160" s="4" t="n"/>
      <c r="L160" s="5">
        <f>IF(A160="","",I160-J160)</f>
        <v/>
      </c>
      <c r="M160" s="5">
        <f>IF(A160="","",J160-K160)</f>
        <v/>
      </c>
      <c r="N160" s="6">
        <f>IF(A160="","",IFERROR((J160-K160)/J160,0))</f>
        <v/>
      </c>
      <c r="O160" s="3">
        <f>IF(A160="","",IF(M160&lt;=0,"Drop",IF(AND(L160&gt;0,N160&gt;=0.6),"Profit product",IF(N160&gt;=0.5,"Traffic product","Thin - rework"))))</f>
        <v/>
      </c>
      <c r="P160" s="4" t="n"/>
      <c r="Q160" s="4" t="n"/>
      <c r="R160" s="3">
        <f>IF(A160="","",IF(Q160=0,"Set a cap",IF(P160&gt;Q160,"Over cap - shrink batch","OK")))</f>
        <v/>
      </c>
    </row>
    <row r="161">
      <c r="E161" s="3">
        <f>IF(A161="","",IF(D161=0,"",IF(D161&gt;2,"Stale - likely saturated","Fresh")))</f>
        <v/>
      </c>
      <c r="I161" s="4" t="n"/>
      <c r="J161" s="4" t="n"/>
      <c r="K161" s="4" t="n"/>
      <c r="L161" s="5">
        <f>IF(A161="","",I161-J161)</f>
        <v/>
      </c>
      <c r="M161" s="5">
        <f>IF(A161="","",J161-K161)</f>
        <v/>
      </c>
      <c r="N161" s="6">
        <f>IF(A161="","",IFERROR((J161-K161)/J161,0))</f>
        <v/>
      </c>
      <c r="O161" s="3">
        <f>IF(A161="","",IF(M161&lt;=0,"Drop",IF(AND(L161&gt;0,N161&gt;=0.6),"Profit product",IF(N161&gt;=0.5,"Traffic product","Thin - rework"))))</f>
        <v/>
      </c>
      <c r="P161" s="4" t="n"/>
      <c r="Q161" s="4" t="n"/>
      <c r="R161" s="3">
        <f>IF(A161="","",IF(Q161=0,"Set a cap",IF(P161&gt;Q161,"Over cap - shrink batch","OK")))</f>
        <v/>
      </c>
    </row>
    <row r="162">
      <c r="E162" s="3">
        <f>IF(A162="","",IF(D162=0,"",IF(D162&gt;2,"Stale - likely saturated","Fresh")))</f>
        <v/>
      </c>
      <c r="I162" s="4" t="n"/>
      <c r="J162" s="4" t="n"/>
      <c r="K162" s="4" t="n"/>
      <c r="L162" s="5">
        <f>IF(A162="","",I162-J162)</f>
        <v/>
      </c>
      <c r="M162" s="5">
        <f>IF(A162="","",J162-K162)</f>
        <v/>
      </c>
      <c r="N162" s="6">
        <f>IF(A162="","",IFERROR((J162-K162)/J162,0))</f>
        <v/>
      </c>
      <c r="O162" s="3">
        <f>IF(A162="","",IF(M162&lt;=0,"Drop",IF(AND(L162&gt;0,N162&gt;=0.6),"Profit product",IF(N162&gt;=0.5,"Traffic product","Thin - rework"))))</f>
        <v/>
      </c>
      <c r="P162" s="4" t="n"/>
      <c r="Q162" s="4" t="n"/>
      <c r="R162" s="3">
        <f>IF(A162="","",IF(Q162=0,"Set a cap",IF(P162&gt;Q162,"Over cap - shrink batch","OK")))</f>
        <v/>
      </c>
    </row>
    <row r="163">
      <c r="E163" s="3">
        <f>IF(A163="","",IF(D163=0,"",IF(D163&gt;2,"Stale - likely saturated","Fresh")))</f>
        <v/>
      </c>
      <c r="I163" s="4" t="n"/>
      <c r="J163" s="4" t="n"/>
      <c r="K163" s="4" t="n"/>
      <c r="L163" s="5">
        <f>IF(A163="","",I163-J163)</f>
        <v/>
      </c>
      <c r="M163" s="5">
        <f>IF(A163="","",J163-K163)</f>
        <v/>
      </c>
      <c r="N163" s="6">
        <f>IF(A163="","",IFERROR((J163-K163)/J163,0))</f>
        <v/>
      </c>
      <c r="O163" s="3">
        <f>IF(A163="","",IF(M163&lt;=0,"Drop",IF(AND(L163&gt;0,N163&gt;=0.6),"Profit product",IF(N163&gt;=0.5,"Traffic product","Thin - rework"))))</f>
        <v/>
      </c>
      <c r="P163" s="4" t="n"/>
      <c r="Q163" s="4" t="n"/>
      <c r="R163" s="3">
        <f>IF(A163="","",IF(Q163=0,"Set a cap",IF(P163&gt;Q163,"Over cap - shrink batch","OK")))</f>
        <v/>
      </c>
    </row>
    <row r="164">
      <c r="E164" s="3">
        <f>IF(A164="","",IF(D164=0,"",IF(D164&gt;2,"Stale - likely saturated","Fresh")))</f>
        <v/>
      </c>
      <c r="I164" s="4" t="n"/>
      <c r="J164" s="4" t="n"/>
      <c r="K164" s="4" t="n"/>
      <c r="L164" s="5">
        <f>IF(A164="","",I164-J164)</f>
        <v/>
      </c>
      <c r="M164" s="5">
        <f>IF(A164="","",J164-K164)</f>
        <v/>
      </c>
      <c r="N164" s="6">
        <f>IF(A164="","",IFERROR((J164-K164)/J164,0))</f>
        <v/>
      </c>
      <c r="O164" s="3">
        <f>IF(A164="","",IF(M164&lt;=0,"Drop",IF(AND(L164&gt;0,N164&gt;=0.6),"Profit product",IF(N164&gt;=0.5,"Traffic product","Thin - rework"))))</f>
        <v/>
      </c>
      <c r="P164" s="4" t="n"/>
      <c r="Q164" s="4" t="n"/>
      <c r="R164" s="3">
        <f>IF(A164="","",IF(Q164=0,"Set a cap",IF(P164&gt;Q164,"Over cap - shrink batch","OK")))</f>
        <v/>
      </c>
    </row>
    <row r="165">
      <c r="E165" s="3">
        <f>IF(A165="","",IF(D165=0,"",IF(D165&gt;2,"Stale - likely saturated","Fresh")))</f>
        <v/>
      </c>
      <c r="I165" s="4" t="n"/>
      <c r="J165" s="4" t="n"/>
      <c r="K165" s="4" t="n"/>
      <c r="L165" s="5">
        <f>IF(A165="","",I165-J165)</f>
        <v/>
      </c>
      <c r="M165" s="5">
        <f>IF(A165="","",J165-K165)</f>
        <v/>
      </c>
      <c r="N165" s="6">
        <f>IF(A165="","",IFERROR((J165-K165)/J165,0))</f>
        <v/>
      </c>
      <c r="O165" s="3">
        <f>IF(A165="","",IF(M165&lt;=0,"Drop",IF(AND(L165&gt;0,N165&gt;=0.6),"Profit product",IF(N165&gt;=0.5,"Traffic product","Thin - rework"))))</f>
        <v/>
      </c>
      <c r="P165" s="4" t="n"/>
      <c r="Q165" s="4" t="n"/>
      <c r="R165" s="3">
        <f>IF(A165="","",IF(Q165=0,"Set a cap",IF(P165&gt;Q165,"Over cap - shrink batch","OK")))</f>
        <v/>
      </c>
    </row>
    <row r="166">
      <c r="E166" s="3">
        <f>IF(A166="","",IF(D166=0,"",IF(D166&gt;2,"Stale - likely saturated","Fresh")))</f>
        <v/>
      </c>
      <c r="I166" s="4" t="n"/>
      <c r="J166" s="4" t="n"/>
      <c r="K166" s="4" t="n"/>
      <c r="L166" s="5">
        <f>IF(A166="","",I166-J166)</f>
        <v/>
      </c>
      <c r="M166" s="5">
        <f>IF(A166="","",J166-K166)</f>
        <v/>
      </c>
      <c r="N166" s="6">
        <f>IF(A166="","",IFERROR((J166-K166)/J166,0))</f>
        <v/>
      </c>
      <c r="O166" s="3">
        <f>IF(A166="","",IF(M166&lt;=0,"Drop",IF(AND(L166&gt;0,N166&gt;=0.6),"Profit product",IF(N166&gt;=0.5,"Traffic product","Thin - rework"))))</f>
        <v/>
      </c>
      <c r="P166" s="4" t="n"/>
      <c r="Q166" s="4" t="n"/>
      <c r="R166" s="3">
        <f>IF(A166="","",IF(Q166=0,"Set a cap",IF(P166&gt;Q166,"Over cap - shrink batch","OK")))</f>
        <v/>
      </c>
    </row>
    <row r="167">
      <c r="E167" s="3">
        <f>IF(A167="","",IF(D167=0,"",IF(D167&gt;2,"Stale - likely saturated","Fresh")))</f>
        <v/>
      </c>
      <c r="I167" s="4" t="n"/>
      <c r="J167" s="4" t="n"/>
      <c r="K167" s="4" t="n"/>
      <c r="L167" s="5">
        <f>IF(A167="","",I167-J167)</f>
        <v/>
      </c>
      <c r="M167" s="5">
        <f>IF(A167="","",J167-K167)</f>
        <v/>
      </c>
      <c r="N167" s="6">
        <f>IF(A167="","",IFERROR((J167-K167)/J167,0))</f>
        <v/>
      </c>
      <c r="O167" s="3">
        <f>IF(A167="","",IF(M167&lt;=0,"Drop",IF(AND(L167&gt;0,N167&gt;=0.6),"Profit product",IF(N167&gt;=0.5,"Traffic product","Thin - rework"))))</f>
        <v/>
      </c>
      <c r="P167" s="4" t="n"/>
      <c r="Q167" s="4" t="n"/>
      <c r="R167" s="3">
        <f>IF(A167="","",IF(Q167=0,"Set a cap",IF(P167&gt;Q167,"Over cap - shrink batch","OK")))</f>
        <v/>
      </c>
    </row>
    <row r="168">
      <c r="E168" s="3">
        <f>IF(A168="","",IF(D168=0,"",IF(D168&gt;2,"Stale - likely saturated","Fresh")))</f>
        <v/>
      </c>
      <c r="I168" s="4" t="n"/>
      <c r="J168" s="4" t="n"/>
      <c r="K168" s="4" t="n"/>
      <c r="L168" s="5">
        <f>IF(A168="","",I168-J168)</f>
        <v/>
      </c>
      <c r="M168" s="5">
        <f>IF(A168="","",J168-K168)</f>
        <v/>
      </c>
      <c r="N168" s="6">
        <f>IF(A168="","",IFERROR((J168-K168)/J168,0))</f>
        <v/>
      </c>
      <c r="O168" s="3">
        <f>IF(A168="","",IF(M168&lt;=0,"Drop",IF(AND(L168&gt;0,N168&gt;=0.6),"Profit product",IF(N168&gt;=0.5,"Traffic product","Thin - rework"))))</f>
        <v/>
      </c>
      <c r="P168" s="4" t="n"/>
      <c r="Q168" s="4" t="n"/>
      <c r="R168" s="3">
        <f>IF(A168="","",IF(Q168=0,"Set a cap",IF(P168&gt;Q168,"Over cap - shrink batch","OK")))</f>
        <v/>
      </c>
    </row>
    <row r="169">
      <c r="E169" s="3">
        <f>IF(A169="","",IF(D169=0,"",IF(D169&gt;2,"Stale - likely saturated","Fresh")))</f>
        <v/>
      </c>
      <c r="I169" s="4" t="n"/>
      <c r="J169" s="4" t="n"/>
      <c r="K169" s="4" t="n"/>
      <c r="L169" s="5">
        <f>IF(A169="","",I169-J169)</f>
        <v/>
      </c>
      <c r="M169" s="5">
        <f>IF(A169="","",J169-K169)</f>
        <v/>
      </c>
      <c r="N169" s="6">
        <f>IF(A169="","",IFERROR((J169-K169)/J169,0))</f>
        <v/>
      </c>
      <c r="O169" s="3">
        <f>IF(A169="","",IF(M169&lt;=0,"Drop",IF(AND(L169&gt;0,N169&gt;=0.6),"Profit product",IF(N169&gt;=0.5,"Traffic product","Thin - rework"))))</f>
        <v/>
      </c>
      <c r="P169" s="4" t="n"/>
      <c r="Q169" s="4" t="n"/>
      <c r="R169" s="3">
        <f>IF(A169="","",IF(Q169=0,"Set a cap",IF(P169&gt;Q169,"Over cap - shrink batch","OK")))</f>
        <v/>
      </c>
    </row>
    <row r="170">
      <c r="E170" s="3">
        <f>IF(A170="","",IF(D170=0,"",IF(D170&gt;2,"Stale - likely saturated","Fresh")))</f>
        <v/>
      </c>
      <c r="I170" s="4" t="n"/>
      <c r="J170" s="4" t="n"/>
      <c r="K170" s="4" t="n"/>
      <c r="L170" s="5">
        <f>IF(A170="","",I170-J170)</f>
        <v/>
      </c>
      <c r="M170" s="5">
        <f>IF(A170="","",J170-K170)</f>
        <v/>
      </c>
      <c r="N170" s="6">
        <f>IF(A170="","",IFERROR((J170-K170)/J170,0))</f>
        <v/>
      </c>
      <c r="O170" s="3">
        <f>IF(A170="","",IF(M170&lt;=0,"Drop",IF(AND(L170&gt;0,N170&gt;=0.6),"Profit product",IF(N170&gt;=0.5,"Traffic product","Thin - rework"))))</f>
        <v/>
      </c>
      <c r="P170" s="4" t="n"/>
      <c r="Q170" s="4" t="n"/>
      <c r="R170" s="3">
        <f>IF(A170="","",IF(Q170=0,"Set a cap",IF(P170&gt;Q170,"Over cap - shrink batch","OK")))</f>
        <v/>
      </c>
    </row>
    <row r="171">
      <c r="E171" s="3">
        <f>IF(A171="","",IF(D171=0,"",IF(D171&gt;2,"Stale - likely saturated","Fresh")))</f>
        <v/>
      </c>
      <c r="I171" s="4" t="n"/>
      <c r="J171" s="4" t="n"/>
      <c r="K171" s="4" t="n"/>
      <c r="L171" s="5">
        <f>IF(A171="","",I171-J171)</f>
        <v/>
      </c>
      <c r="M171" s="5">
        <f>IF(A171="","",J171-K171)</f>
        <v/>
      </c>
      <c r="N171" s="6">
        <f>IF(A171="","",IFERROR((J171-K171)/J171,0))</f>
        <v/>
      </c>
      <c r="O171" s="3">
        <f>IF(A171="","",IF(M171&lt;=0,"Drop",IF(AND(L171&gt;0,N171&gt;=0.6),"Profit product",IF(N171&gt;=0.5,"Traffic product","Thin - rework"))))</f>
        <v/>
      </c>
      <c r="P171" s="4" t="n"/>
      <c r="Q171" s="4" t="n"/>
      <c r="R171" s="3">
        <f>IF(A171="","",IF(Q171=0,"Set a cap",IF(P171&gt;Q171,"Over cap - shrink batch","OK")))</f>
        <v/>
      </c>
    </row>
    <row r="172">
      <c r="E172" s="3">
        <f>IF(A172="","",IF(D172=0,"",IF(D172&gt;2,"Stale - likely saturated","Fresh")))</f>
        <v/>
      </c>
      <c r="I172" s="4" t="n"/>
      <c r="J172" s="4" t="n"/>
      <c r="K172" s="4" t="n"/>
      <c r="L172" s="5">
        <f>IF(A172="","",I172-J172)</f>
        <v/>
      </c>
      <c r="M172" s="5">
        <f>IF(A172="","",J172-K172)</f>
        <v/>
      </c>
      <c r="N172" s="6">
        <f>IF(A172="","",IFERROR((J172-K172)/J172,0))</f>
        <v/>
      </c>
      <c r="O172" s="3">
        <f>IF(A172="","",IF(M172&lt;=0,"Drop",IF(AND(L172&gt;0,N172&gt;=0.6),"Profit product",IF(N172&gt;=0.5,"Traffic product","Thin - rework"))))</f>
        <v/>
      </c>
      <c r="P172" s="4" t="n"/>
      <c r="Q172" s="4" t="n"/>
      <c r="R172" s="3">
        <f>IF(A172="","",IF(Q172=0,"Set a cap",IF(P172&gt;Q172,"Over cap - shrink batch","OK")))</f>
        <v/>
      </c>
    </row>
    <row r="173">
      <c r="E173" s="3">
        <f>IF(A173="","",IF(D173=0,"",IF(D173&gt;2,"Stale - likely saturated","Fresh")))</f>
        <v/>
      </c>
      <c r="I173" s="4" t="n"/>
      <c r="J173" s="4" t="n"/>
      <c r="K173" s="4" t="n"/>
      <c r="L173" s="5">
        <f>IF(A173="","",I173-J173)</f>
        <v/>
      </c>
      <c r="M173" s="5">
        <f>IF(A173="","",J173-K173)</f>
        <v/>
      </c>
      <c r="N173" s="6">
        <f>IF(A173="","",IFERROR((J173-K173)/J173,0))</f>
        <v/>
      </c>
      <c r="O173" s="3">
        <f>IF(A173="","",IF(M173&lt;=0,"Drop",IF(AND(L173&gt;0,N173&gt;=0.6),"Profit product",IF(N173&gt;=0.5,"Traffic product","Thin - rework"))))</f>
        <v/>
      </c>
      <c r="P173" s="4" t="n"/>
      <c r="Q173" s="4" t="n"/>
      <c r="R173" s="3">
        <f>IF(A173="","",IF(Q173=0,"Set a cap",IF(P173&gt;Q173,"Over cap - shrink batch","OK")))</f>
        <v/>
      </c>
    </row>
    <row r="174">
      <c r="E174" s="3">
        <f>IF(A174="","",IF(D174=0,"",IF(D174&gt;2,"Stale - likely saturated","Fresh")))</f>
        <v/>
      </c>
      <c r="I174" s="4" t="n"/>
      <c r="J174" s="4" t="n"/>
      <c r="K174" s="4" t="n"/>
      <c r="L174" s="5">
        <f>IF(A174="","",I174-J174)</f>
        <v/>
      </c>
      <c r="M174" s="5">
        <f>IF(A174="","",J174-K174)</f>
        <v/>
      </c>
      <c r="N174" s="6">
        <f>IF(A174="","",IFERROR((J174-K174)/J174,0))</f>
        <v/>
      </c>
      <c r="O174" s="3">
        <f>IF(A174="","",IF(M174&lt;=0,"Drop",IF(AND(L174&gt;0,N174&gt;=0.6),"Profit product",IF(N174&gt;=0.5,"Traffic product","Thin - rework"))))</f>
        <v/>
      </c>
      <c r="P174" s="4" t="n"/>
      <c r="Q174" s="4" t="n"/>
      <c r="R174" s="3">
        <f>IF(A174="","",IF(Q174=0,"Set a cap",IF(P174&gt;Q174,"Over cap - shrink batch","OK")))</f>
        <v/>
      </c>
    </row>
    <row r="175">
      <c r="E175" s="3">
        <f>IF(A175="","",IF(D175=0,"",IF(D175&gt;2,"Stale - likely saturated","Fresh")))</f>
        <v/>
      </c>
      <c r="I175" s="4" t="n"/>
      <c r="J175" s="4" t="n"/>
      <c r="K175" s="4" t="n"/>
      <c r="L175" s="5">
        <f>IF(A175="","",I175-J175)</f>
        <v/>
      </c>
      <c r="M175" s="5">
        <f>IF(A175="","",J175-K175)</f>
        <v/>
      </c>
      <c r="N175" s="6">
        <f>IF(A175="","",IFERROR((J175-K175)/J175,0))</f>
        <v/>
      </c>
      <c r="O175" s="3">
        <f>IF(A175="","",IF(M175&lt;=0,"Drop",IF(AND(L175&gt;0,N175&gt;=0.6),"Profit product",IF(N175&gt;=0.5,"Traffic product","Thin - rework"))))</f>
        <v/>
      </c>
      <c r="P175" s="4" t="n"/>
      <c r="Q175" s="4" t="n"/>
      <c r="R175" s="3">
        <f>IF(A175="","",IF(Q175=0,"Set a cap",IF(P175&gt;Q175,"Over cap - shrink batch","OK")))</f>
        <v/>
      </c>
    </row>
    <row r="176">
      <c r="E176" s="3">
        <f>IF(A176="","",IF(D176=0,"",IF(D176&gt;2,"Stale - likely saturated","Fresh")))</f>
        <v/>
      </c>
      <c r="I176" s="4" t="n"/>
      <c r="J176" s="4" t="n"/>
      <c r="K176" s="4" t="n"/>
      <c r="L176" s="5">
        <f>IF(A176="","",I176-J176)</f>
        <v/>
      </c>
      <c r="M176" s="5">
        <f>IF(A176="","",J176-K176)</f>
        <v/>
      </c>
      <c r="N176" s="6">
        <f>IF(A176="","",IFERROR((J176-K176)/J176,0))</f>
        <v/>
      </c>
      <c r="O176" s="3">
        <f>IF(A176="","",IF(M176&lt;=0,"Drop",IF(AND(L176&gt;0,N176&gt;=0.6),"Profit product",IF(N176&gt;=0.5,"Traffic product","Thin - rework"))))</f>
        <v/>
      </c>
      <c r="P176" s="4" t="n"/>
      <c r="Q176" s="4" t="n"/>
      <c r="R176" s="3">
        <f>IF(A176="","",IF(Q176=0,"Set a cap",IF(P176&gt;Q176,"Over cap - shrink batch","OK")))</f>
        <v/>
      </c>
    </row>
    <row r="177">
      <c r="E177" s="3">
        <f>IF(A177="","",IF(D177=0,"",IF(D177&gt;2,"Stale - likely saturated","Fresh")))</f>
        <v/>
      </c>
      <c r="I177" s="4" t="n"/>
      <c r="J177" s="4" t="n"/>
      <c r="K177" s="4" t="n"/>
      <c r="L177" s="5">
        <f>IF(A177="","",I177-J177)</f>
        <v/>
      </c>
      <c r="M177" s="5">
        <f>IF(A177="","",J177-K177)</f>
        <v/>
      </c>
      <c r="N177" s="6">
        <f>IF(A177="","",IFERROR((J177-K177)/J177,0))</f>
        <v/>
      </c>
      <c r="O177" s="3">
        <f>IF(A177="","",IF(M177&lt;=0,"Drop",IF(AND(L177&gt;0,N177&gt;=0.6),"Profit product",IF(N177&gt;=0.5,"Traffic product","Thin - rework"))))</f>
        <v/>
      </c>
      <c r="P177" s="4" t="n"/>
      <c r="Q177" s="4" t="n"/>
      <c r="R177" s="3">
        <f>IF(A177="","",IF(Q177=0,"Set a cap",IF(P177&gt;Q177,"Over cap - shrink batch","OK")))</f>
        <v/>
      </c>
    </row>
    <row r="178">
      <c r="E178" s="3">
        <f>IF(A178="","",IF(D178=0,"",IF(D178&gt;2,"Stale - likely saturated","Fresh")))</f>
        <v/>
      </c>
      <c r="I178" s="4" t="n"/>
      <c r="J178" s="4" t="n"/>
      <c r="K178" s="4" t="n"/>
      <c r="L178" s="5">
        <f>IF(A178="","",I178-J178)</f>
        <v/>
      </c>
      <c r="M178" s="5">
        <f>IF(A178="","",J178-K178)</f>
        <v/>
      </c>
      <c r="N178" s="6">
        <f>IF(A178="","",IFERROR((J178-K178)/J178,0))</f>
        <v/>
      </c>
      <c r="O178" s="3">
        <f>IF(A178="","",IF(M178&lt;=0,"Drop",IF(AND(L178&gt;0,N178&gt;=0.6),"Profit product",IF(N178&gt;=0.5,"Traffic product","Thin - rework"))))</f>
        <v/>
      </c>
      <c r="P178" s="4" t="n"/>
      <c r="Q178" s="4" t="n"/>
      <c r="R178" s="3">
        <f>IF(A178="","",IF(Q178=0,"Set a cap",IF(P178&gt;Q178,"Over cap - shrink batch","OK")))</f>
        <v/>
      </c>
    </row>
    <row r="179">
      <c r="E179" s="3">
        <f>IF(A179="","",IF(D179=0,"",IF(D179&gt;2,"Stale - likely saturated","Fresh")))</f>
        <v/>
      </c>
      <c r="I179" s="4" t="n"/>
      <c r="J179" s="4" t="n"/>
      <c r="K179" s="4" t="n"/>
      <c r="L179" s="5">
        <f>IF(A179="","",I179-J179)</f>
        <v/>
      </c>
      <c r="M179" s="5">
        <f>IF(A179="","",J179-K179)</f>
        <v/>
      </c>
      <c r="N179" s="6">
        <f>IF(A179="","",IFERROR((J179-K179)/J179,0))</f>
        <v/>
      </c>
      <c r="O179" s="3">
        <f>IF(A179="","",IF(M179&lt;=0,"Drop",IF(AND(L179&gt;0,N179&gt;=0.6),"Profit product",IF(N179&gt;=0.5,"Traffic product","Thin - rework"))))</f>
        <v/>
      </c>
      <c r="P179" s="4" t="n"/>
      <c r="Q179" s="4" t="n"/>
      <c r="R179" s="3">
        <f>IF(A179="","",IF(Q179=0,"Set a cap",IF(P179&gt;Q179,"Over cap - shrink batch","OK")))</f>
        <v/>
      </c>
    </row>
    <row r="180">
      <c r="E180" s="3">
        <f>IF(A180="","",IF(D180=0,"",IF(D180&gt;2,"Stale - likely saturated","Fresh")))</f>
        <v/>
      </c>
      <c r="I180" s="4" t="n"/>
      <c r="J180" s="4" t="n"/>
      <c r="K180" s="4" t="n"/>
      <c r="L180" s="5">
        <f>IF(A180="","",I180-J180)</f>
        <v/>
      </c>
      <c r="M180" s="5">
        <f>IF(A180="","",J180-K180)</f>
        <v/>
      </c>
      <c r="N180" s="6">
        <f>IF(A180="","",IFERROR((J180-K180)/J180,0))</f>
        <v/>
      </c>
      <c r="O180" s="3">
        <f>IF(A180="","",IF(M180&lt;=0,"Drop",IF(AND(L180&gt;0,N180&gt;=0.6),"Profit product",IF(N180&gt;=0.5,"Traffic product","Thin - rework"))))</f>
        <v/>
      </c>
      <c r="P180" s="4" t="n"/>
      <c r="Q180" s="4" t="n"/>
      <c r="R180" s="3">
        <f>IF(A180="","",IF(Q180=0,"Set a cap",IF(P180&gt;Q180,"Over cap - shrink batch","OK")))</f>
        <v/>
      </c>
    </row>
    <row r="181">
      <c r="E181" s="3">
        <f>IF(A181="","",IF(D181=0,"",IF(D181&gt;2,"Stale - likely saturated","Fresh")))</f>
        <v/>
      </c>
      <c r="I181" s="4" t="n"/>
      <c r="J181" s="4" t="n"/>
      <c r="K181" s="4" t="n"/>
      <c r="L181" s="5">
        <f>IF(A181="","",I181-J181)</f>
        <v/>
      </c>
      <c r="M181" s="5">
        <f>IF(A181="","",J181-K181)</f>
        <v/>
      </c>
      <c r="N181" s="6">
        <f>IF(A181="","",IFERROR((J181-K181)/J181,0))</f>
        <v/>
      </c>
      <c r="O181" s="3">
        <f>IF(A181="","",IF(M181&lt;=0,"Drop",IF(AND(L181&gt;0,N181&gt;=0.6),"Profit product",IF(N181&gt;=0.5,"Traffic product","Thin - rework"))))</f>
        <v/>
      </c>
      <c r="P181" s="4" t="n"/>
      <c r="Q181" s="4" t="n"/>
      <c r="R181" s="3">
        <f>IF(A181="","",IF(Q181=0,"Set a cap",IF(P181&gt;Q181,"Over cap - shrink batch","OK")))</f>
        <v/>
      </c>
    </row>
    <row r="182">
      <c r="E182" s="3">
        <f>IF(A182="","",IF(D182=0,"",IF(D182&gt;2,"Stale - likely saturated","Fresh")))</f>
        <v/>
      </c>
      <c r="I182" s="4" t="n"/>
      <c r="J182" s="4" t="n"/>
      <c r="K182" s="4" t="n"/>
      <c r="L182" s="5">
        <f>IF(A182="","",I182-J182)</f>
        <v/>
      </c>
      <c r="M182" s="5">
        <f>IF(A182="","",J182-K182)</f>
        <v/>
      </c>
      <c r="N182" s="6">
        <f>IF(A182="","",IFERROR((J182-K182)/J182,0))</f>
        <v/>
      </c>
      <c r="O182" s="3">
        <f>IF(A182="","",IF(M182&lt;=0,"Drop",IF(AND(L182&gt;0,N182&gt;=0.6),"Profit product",IF(N182&gt;=0.5,"Traffic product","Thin - rework"))))</f>
        <v/>
      </c>
      <c r="P182" s="4" t="n"/>
      <c r="Q182" s="4" t="n"/>
      <c r="R182" s="3">
        <f>IF(A182="","",IF(Q182=0,"Set a cap",IF(P182&gt;Q182,"Over cap - shrink batch","OK")))</f>
        <v/>
      </c>
    </row>
    <row r="183">
      <c r="E183" s="3">
        <f>IF(A183="","",IF(D183=0,"",IF(D183&gt;2,"Stale - likely saturated","Fresh")))</f>
        <v/>
      </c>
      <c r="I183" s="4" t="n"/>
      <c r="J183" s="4" t="n"/>
      <c r="K183" s="4" t="n"/>
      <c r="L183" s="5">
        <f>IF(A183="","",I183-J183)</f>
        <v/>
      </c>
      <c r="M183" s="5">
        <f>IF(A183="","",J183-K183)</f>
        <v/>
      </c>
      <c r="N183" s="6">
        <f>IF(A183="","",IFERROR((J183-K183)/J183,0))</f>
        <v/>
      </c>
      <c r="O183" s="3">
        <f>IF(A183="","",IF(M183&lt;=0,"Drop",IF(AND(L183&gt;0,N183&gt;=0.6),"Profit product",IF(N183&gt;=0.5,"Traffic product","Thin - rework"))))</f>
        <v/>
      </c>
      <c r="P183" s="4" t="n"/>
      <c r="Q183" s="4" t="n"/>
      <c r="R183" s="3">
        <f>IF(A183="","",IF(Q183=0,"Set a cap",IF(P183&gt;Q183,"Over cap - shrink batch","OK")))</f>
        <v/>
      </c>
    </row>
    <row r="184">
      <c r="E184" s="3">
        <f>IF(A184="","",IF(D184=0,"",IF(D184&gt;2,"Stale - likely saturated","Fresh")))</f>
        <v/>
      </c>
      <c r="I184" s="4" t="n"/>
      <c r="J184" s="4" t="n"/>
      <c r="K184" s="4" t="n"/>
      <c r="L184" s="5">
        <f>IF(A184="","",I184-J184)</f>
        <v/>
      </c>
      <c r="M184" s="5">
        <f>IF(A184="","",J184-K184)</f>
        <v/>
      </c>
      <c r="N184" s="6">
        <f>IF(A184="","",IFERROR((J184-K184)/J184,0))</f>
        <v/>
      </c>
      <c r="O184" s="3">
        <f>IF(A184="","",IF(M184&lt;=0,"Drop",IF(AND(L184&gt;0,N184&gt;=0.6),"Profit product",IF(N184&gt;=0.5,"Traffic product","Thin - rework"))))</f>
        <v/>
      </c>
      <c r="P184" s="4" t="n"/>
      <c r="Q184" s="4" t="n"/>
      <c r="R184" s="3">
        <f>IF(A184="","",IF(Q184=0,"Set a cap",IF(P184&gt;Q184,"Over cap - shrink batch","OK")))</f>
        <v/>
      </c>
    </row>
    <row r="185">
      <c r="E185" s="3">
        <f>IF(A185="","",IF(D185=0,"",IF(D185&gt;2,"Stale - likely saturated","Fresh")))</f>
        <v/>
      </c>
      <c r="I185" s="4" t="n"/>
      <c r="J185" s="4" t="n"/>
      <c r="K185" s="4" t="n"/>
      <c r="L185" s="5">
        <f>IF(A185="","",I185-J185)</f>
        <v/>
      </c>
      <c r="M185" s="5">
        <f>IF(A185="","",J185-K185)</f>
        <v/>
      </c>
      <c r="N185" s="6">
        <f>IF(A185="","",IFERROR((J185-K185)/J185,0))</f>
        <v/>
      </c>
      <c r="O185" s="3">
        <f>IF(A185="","",IF(M185&lt;=0,"Drop",IF(AND(L185&gt;0,N185&gt;=0.6),"Profit product",IF(N185&gt;=0.5,"Traffic product","Thin - rework"))))</f>
        <v/>
      </c>
      <c r="P185" s="4" t="n"/>
      <c r="Q185" s="4" t="n"/>
      <c r="R185" s="3">
        <f>IF(A185="","",IF(Q185=0,"Set a cap",IF(P185&gt;Q185,"Over cap - shrink batch","OK")))</f>
        <v/>
      </c>
    </row>
    <row r="186">
      <c r="E186" s="3">
        <f>IF(A186="","",IF(D186=0,"",IF(D186&gt;2,"Stale - likely saturated","Fresh")))</f>
        <v/>
      </c>
      <c r="I186" s="4" t="n"/>
      <c r="J186" s="4" t="n"/>
      <c r="K186" s="4" t="n"/>
      <c r="L186" s="5">
        <f>IF(A186="","",I186-J186)</f>
        <v/>
      </c>
      <c r="M186" s="5">
        <f>IF(A186="","",J186-K186)</f>
        <v/>
      </c>
      <c r="N186" s="6">
        <f>IF(A186="","",IFERROR((J186-K186)/J186,0))</f>
        <v/>
      </c>
      <c r="O186" s="3">
        <f>IF(A186="","",IF(M186&lt;=0,"Drop",IF(AND(L186&gt;0,N186&gt;=0.6),"Profit product",IF(N186&gt;=0.5,"Traffic product","Thin - rework"))))</f>
        <v/>
      </c>
      <c r="P186" s="4" t="n"/>
      <c r="Q186" s="4" t="n"/>
      <c r="R186" s="3">
        <f>IF(A186="","",IF(Q186=0,"Set a cap",IF(P186&gt;Q186,"Over cap - shrink batch","OK")))</f>
        <v/>
      </c>
    </row>
    <row r="187">
      <c r="E187" s="3">
        <f>IF(A187="","",IF(D187=0,"",IF(D187&gt;2,"Stale - likely saturated","Fresh")))</f>
        <v/>
      </c>
      <c r="I187" s="4" t="n"/>
      <c r="J187" s="4" t="n"/>
      <c r="K187" s="4" t="n"/>
      <c r="L187" s="5">
        <f>IF(A187="","",I187-J187)</f>
        <v/>
      </c>
      <c r="M187" s="5">
        <f>IF(A187="","",J187-K187)</f>
        <v/>
      </c>
      <c r="N187" s="6">
        <f>IF(A187="","",IFERROR((J187-K187)/J187,0))</f>
        <v/>
      </c>
      <c r="O187" s="3">
        <f>IF(A187="","",IF(M187&lt;=0,"Drop",IF(AND(L187&gt;0,N187&gt;=0.6),"Profit product",IF(N187&gt;=0.5,"Traffic product","Thin - rework"))))</f>
        <v/>
      </c>
      <c r="P187" s="4" t="n"/>
      <c r="Q187" s="4" t="n"/>
      <c r="R187" s="3">
        <f>IF(A187="","",IF(Q187=0,"Set a cap",IF(P187&gt;Q187,"Over cap - shrink batch","OK")))</f>
        <v/>
      </c>
    </row>
    <row r="188">
      <c r="E188" s="3">
        <f>IF(A188="","",IF(D188=0,"",IF(D188&gt;2,"Stale - likely saturated","Fresh")))</f>
        <v/>
      </c>
      <c r="I188" s="4" t="n"/>
      <c r="J188" s="4" t="n"/>
      <c r="K188" s="4" t="n"/>
      <c r="L188" s="5">
        <f>IF(A188="","",I188-J188)</f>
        <v/>
      </c>
      <c r="M188" s="5">
        <f>IF(A188="","",J188-K188)</f>
        <v/>
      </c>
      <c r="N188" s="6">
        <f>IF(A188="","",IFERROR((J188-K188)/J188,0))</f>
        <v/>
      </c>
      <c r="O188" s="3">
        <f>IF(A188="","",IF(M188&lt;=0,"Drop",IF(AND(L188&gt;0,N188&gt;=0.6),"Profit product",IF(N188&gt;=0.5,"Traffic product","Thin - rework"))))</f>
        <v/>
      </c>
      <c r="P188" s="4" t="n"/>
      <c r="Q188" s="4" t="n"/>
      <c r="R188" s="3">
        <f>IF(A188="","",IF(Q188=0,"Set a cap",IF(P188&gt;Q188,"Over cap - shrink batch","OK")))</f>
        <v/>
      </c>
    </row>
    <row r="189">
      <c r="E189" s="3">
        <f>IF(A189="","",IF(D189=0,"",IF(D189&gt;2,"Stale - likely saturated","Fresh")))</f>
        <v/>
      </c>
      <c r="I189" s="4" t="n"/>
      <c r="J189" s="4" t="n"/>
      <c r="K189" s="4" t="n"/>
      <c r="L189" s="5">
        <f>IF(A189="","",I189-J189)</f>
        <v/>
      </c>
      <c r="M189" s="5">
        <f>IF(A189="","",J189-K189)</f>
        <v/>
      </c>
      <c r="N189" s="6">
        <f>IF(A189="","",IFERROR((J189-K189)/J189,0))</f>
        <v/>
      </c>
      <c r="O189" s="3">
        <f>IF(A189="","",IF(M189&lt;=0,"Drop",IF(AND(L189&gt;0,N189&gt;=0.6),"Profit product",IF(N189&gt;=0.5,"Traffic product","Thin - rework"))))</f>
        <v/>
      </c>
      <c r="P189" s="4" t="n"/>
      <c r="Q189" s="4" t="n"/>
      <c r="R189" s="3">
        <f>IF(A189="","",IF(Q189=0,"Set a cap",IF(P189&gt;Q189,"Over cap - shrink batch","OK")))</f>
        <v/>
      </c>
    </row>
    <row r="190">
      <c r="E190" s="3">
        <f>IF(A190="","",IF(D190=0,"",IF(D190&gt;2,"Stale - likely saturated","Fresh")))</f>
        <v/>
      </c>
      <c r="I190" s="4" t="n"/>
      <c r="J190" s="4" t="n"/>
      <c r="K190" s="4" t="n"/>
      <c r="L190" s="5">
        <f>IF(A190="","",I190-J190)</f>
        <v/>
      </c>
      <c r="M190" s="5">
        <f>IF(A190="","",J190-K190)</f>
        <v/>
      </c>
      <c r="N190" s="6">
        <f>IF(A190="","",IFERROR((J190-K190)/J190,0))</f>
        <v/>
      </c>
      <c r="O190" s="3">
        <f>IF(A190="","",IF(M190&lt;=0,"Drop",IF(AND(L190&gt;0,N190&gt;=0.6),"Profit product",IF(N190&gt;=0.5,"Traffic product","Thin - rework"))))</f>
        <v/>
      </c>
      <c r="P190" s="4" t="n"/>
      <c r="Q190" s="4" t="n"/>
      <c r="R190" s="3">
        <f>IF(A190="","",IF(Q190=0,"Set a cap",IF(P190&gt;Q190,"Over cap - shrink batch","OK")))</f>
        <v/>
      </c>
    </row>
    <row r="191">
      <c r="E191" s="3">
        <f>IF(A191="","",IF(D191=0,"",IF(D191&gt;2,"Stale - likely saturated","Fresh")))</f>
        <v/>
      </c>
      <c r="I191" s="4" t="n"/>
      <c r="J191" s="4" t="n"/>
      <c r="K191" s="4" t="n"/>
      <c r="L191" s="5">
        <f>IF(A191="","",I191-J191)</f>
        <v/>
      </c>
      <c r="M191" s="5">
        <f>IF(A191="","",J191-K191)</f>
        <v/>
      </c>
      <c r="N191" s="6">
        <f>IF(A191="","",IFERROR((J191-K191)/J191,0))</f>
        <v/>
      </c>
      <c r="O191" s="3">
        <f>IF(A191="","",IF(M191&lt;=0,"Drop",IF(AND(L191&gt;0,N191&gt;=0.6),"Profit product",IF(N191&gt;=0.5,"Traffic product","Thin - rework"))))</f>
        <v/>
      </c>
      <c r="P191" s="4" t="n"/>
      <c r="Q191" s="4" t="n"/>
      <c r="R191" s="3">
        <f>IF(A191="","",IF(Q191=0,"Set a cap",IF(P191&gt;Q191,"Over cap - shrink batch","OK")))</f>
        <v/>
      </c>
    </row>
    <row r="192">
      <c r="E192" s="3">
        <f>IF(A192="","",IF(D192=0,"",IF(D192&gt;2,"Stale - likely saturated","Fresh")))</f>
        <v/>
      </c>
      <c r="I192" s="4" t="n"/>
      <c r="J192" s="4" t="n"/>
      <c r="K192" s="4" t="n"/>
      <c r="L192" s="5">
        <f>IF(A192="","",I192-J192)</f>
        <v/>
      </c>
      <c r="M192" s="5">
        <f>IF(A192="","",J192-K192)</f>
        <v/>
      </c>
      <c r="N192" s="6">
        <f>IF(A192="","",IFERROR((J192-K192)/J192,0))</f>
        <v/>
      </c>
      <c r="O192" s="3">
        <f>IF(A192="","",IF(M192&lt;=0,"Drop",IF(AND(L192&gt;0,N192&gt;=0.6),"Profit product",IF(N192&gt;=0.5,"Traffic product","Thin - rework"))))</f>
        <v/>
      </c>
      <c r="P192" s="4" t="n"/>
      <c r="Q192" s="4" t="n"/>
      <c r="R192" s="3">
        <f>IF(A192="","",IF(Q192=0,"Set a cap",IF(P192&gt;Q192,"Over cap - shrink batch","OK")))</f>
        <v/>
      </c>
    </row>
    <row r="193">
      <c r="E193" s="3">
        <f>IF(A193="","",IF(D193=0,"",IF(D193&gt;2,"Stale - likely saturated","Fresh")))</f>
        <v/>
      </c>
      <c r="I193" s="4" t="n"/>
      <c r="J193" s="4" t="n"/>
      <c r="K193" s="4" t="n"/>
      <c r="L193" s="5">
        <f>IF(A193="","",I193-J193)</f>
        <v/>
      </c>
      <c r="M193" s="5">
        <f>IF(A193="","",J193-K193)</f>
        <v/>
      </c>
      <c r="N193" s="6">
        <f>IF(A193="","",IFERROR((J193-K193)/J193,0))</f>
        <v/>
      </c>
      <c r="O193" s="3">
        <f>IF(A193="","",IF(M193&lt;=0,"Drop",IF(AND(L193&gt;0,N193&gt;=0.6),"Profit product",IF(N193&gt;=0.5,"Traffic product","Thin - rework"))))</f>
        <v/>
      </c>
      <c r="P193" s="4" t="n"/>
      <c r="Q193" s="4" t="n"/>
      <c r="R193" s="3">
        <f>IF(A193="","",IF(Q193=0,"Set a cap",IF(P193&gt;Q193,"Over cap - shrink batch","OK")))</f>
        <v/>
      </c>
    </row>
    <row r="194">
      <c r="E194" s="3">
        <f>IF(A194="","",IF(D194=0,"",IF(D194&gt;2,"Stale - likely saturated","Fresh")))</f>
        <v/>
      </c>
      <c r="I194" s="4" t="n"/>
      <c r="J194" s="4" t="n"/>
      <c r="K194" s="4" t="n"/>
      <c r="L194" s="5">
        <f>IF(A194="","",I194-J194)</f>
        <v/>
      </c>
      <c r="M194" s="5">
        <f>IF(A194="","",J194-K194)</f>
        <v/>
      </c>
      <c r="N194" s="6">
        <f>IF(A194="","",IFERROR((J194-K194)/J194,0))</f>
        <v/>
      </c>
      <c r="O194" s="3">
        <f>IF(A194="","",IF(M194&lt;=0,"Drop",IF(AND(L194&gt;0,N194&gt;=0.6),"Profit product",IF(N194&gt;=0.5,"Traffic product","Thin - rework"))))</f>
        <v/>
      </c>
      <c r="P194" s="4" t="n"/>
      <c r="Q194" s="4" t="n"/>
      <c r="R194" s="3">
        <f>IF(A194="","",IF(Q194=0,"Set a cap",IF(P194&gt;Q194,"Over cap - shrink batch","OK")))</f>
        <v/>
      </c>
    </row>
    <row r="195">
      <c r="E195" s="3">
        <f>IF(A195="","",IF(D195=0,"",IF(D195&gt;2,"Stale - likely saturated","Fresh")))</f>
        <v/>
      </c>
      <c r="I195" s="4" t="n"/>
      <c r="J195" s="4" t="n"/>
      <c r="K195" s="4" t="n"/>
      <c r="L195" s="5">
        <f>IF(A195="","",I195-J195)</f>
        <v/>
      </c>
      <c r="M195" s="5">
        <f>IF(A195="","",J195-K195)</f>
        <v/>
      </c>
      <c r="N195" s="6">
        <f>IF(A195="","",IFERROR((J195-K195)/J195,0))</f>
        <v/>
      </c>
      <c r="O195" s="3">
        <f>IF(A195="","",IF(M195&lt;=0,"Drop",IF(AND(L195&gt;0,N195&gt;=0.6),"Profit product",IF(N195&gt;=0.5,"Traffic product","Thin - rework"))))</f>
        <v/>
      </c>
      <c r="P195" s="4" t="n"/>
      <c r="Q195" s="4" t="n"/>
      <c r="R195" s="3">
        <f>IF(A195="","",IF(Q195=0,"Set a cap",IF(P195&gt;Q195,"Over cap - shrink batch","OK")))</f>
        <v/>
      </c>
    </row>
    <row r="196">
      <c r="E196" s="3">
        <f>IF(A196="","",IF(D196=0,"",IF(D196&gt;2,"Stale - likely saturated","Fresh")))</f>
        <v/>
      </c>
      <c r="I196" s="4" t="n"/>
      <c r="J196" s="4" t="n"/>
      <c r="K196" s="4" t="n"/>
      <c r="L196" s="5">
        <f>IF(A196="","",I196-J196)</f>
        <v/>
      </c>
      <c r="M196" s="5">
        <f>IF(A196="","",J196-K196)</f>
        <v/>
      </c>
      <c r="N196" s="6">
        <f>IF(A196="","",IFERROR((J196-K196)/J196,0))</f>
        <v/>
      </c>
      <c r="O196" s="3">
        <f>IF(A196="","",IF(M196&lt;=0,"Drop",IF(AND(L196&gt;0,N196&gt;=0.6),"Profit product",IF(N196&gt;=0.5,"Traffic product","Thin - rework"))))</f>
        <v/>
      </c>
      <c r="P196" s="4" t="n"/>
      <c r="Q196" s="4" t="n"/>
      <c r="R196" s="3">
        <f>IF(A196="","",IF(Q196=0,"Set a cap",IF(P196&gt;Q196,"Over cap - shrink batch","OK")))</f>
        <v/>
      </c>
    </row>
    <row r="197">
      <c r="E197" s="3">
        <f>IF(A197="","",IF(D197=0,"",IF(D197&gt;2,"Stale - likely saturated","Fresh")))</f>
        <v/>
      </c>
      <c r="I197" s="4" t="n"/>
      <c r="J197" s="4" t="n"/>
      <c r="K197" s="4" t="n"/>
      <c r="L197" s="5">
        <f>IF(A197="","",I197-J197)</f>
        <v/>
      </c>
      <c r="M197" s="5">
        <f>IF(A197="","",J197-K197)</f>
        <v/>
      </c>
      <c r="N197" s="6">
        <f>IF(A197="","",IFERROR((J197-K197)/J197,0))</f>
        <v/>
      </c>
      <c r="O197" s="3">
        <f>IF(A197="","",IF(M197&lt;=0,"Drop",IF(AND(L197&gt;0,N197&gt;=0.6),"Profit product",IF(N197&gt;=0.5,"Traffic product","Thin - rework"))))</f>
        <v/>
      </c>
      <c r="P197" s="4" t="n"/>
      <c r="Q197" s="4" t="n"/>
      <c r="R197" s="3">
        <f>IF(A197="","",IF(Q197=0,"Set a cap",IF(P197&gt;Q197,"Over cap - shrink batch","OK")))</f>
        <v/>
      </c>
    </row>
    <row r="198">
      <c r="E198" s="3">
        <f>IF(A198="","",IF(D198=0,"",IF(D198&gt;2,"Stale - likely saturated","Fresh")))</f>
        <v/>
      </c>
      <c r="I198" s="4" t="n"/>
      <c r="J198" s="4" t="n"/>
      <c r="K198" s="4" t="n"/>
      <c r="L198" s="5">
        <f>IF(A198="","",I198-J198)</f>
        <v/>
      </c>
      <c r="M198" s="5">
        <f>IF(A198="","",J198-K198)</f>
        <v/>
      </c>
      <c r="N198" s="6">
        <f>IF(A198="","",IFERROR((J198-K198)/J198,0))</f>
        <v/>
      </c>
      <c r="O198" s="3">
        <f>IF(A198="","",IF(M198&lt;=0,"Drop",IF(AND(L198&gt;0,N198&gt;=0.6),"Profit product",IF(N198&gt;=0.5,"Traffic product","Thin - rework"))))</f>
        <v/>
      </c>
      <c r="P198" s="4" t="n"/>
      <c r="Q198" s="4" t="n"/>
      <c r="R198" s="3">
        <f>IF(A198="","",IF(Q198=0,"Set a cap",IF(P198&gt;Q198,"Over cap - shrink batch","OK")))</f>
        <v/>
      </c>
    </row>
    <row r="199">
      <c r="E199" s="3">
        <f>IF(A199="","",IF(D199=0,"",IF(D199&gt;2,"Stale - likely saturated","Fresh")))</f>
        <v/>
      </c>
      <c r="I199" s="4" t="n"/>
      <c r="J199" s="4" t="n"/>
      <c r="K199" s="4" t="n"/>
      <c r="L199" s="5">
        <f>IF(A199="","",I199-J199)</f>
        <v/>
      </c>
      <c r="M199" s="5">
        <f>IF(A199="","",J199-K199)</f>
        <v/>
      </c>
      <c r="N199" s="6">
        <f>IF(A199="","",IFERROR((J199-K199)/J199,0))</f>
        <v/>
      </c>
      <c r="O199" s="3">
        <f>IF(A199="","",IF(M199&lt;=0,"Drop",IF(AND(L199&gt;0,N199&gt;=0.6),"Profit product",IF(N199&gt;=0.5,"Traffic product","Thin - rework"))))</f>
        <v/>
      </c>
      <c r="P199" s="4" t="n"/>
      <c r="Q199" s="4" t="n"/>
      <c r="R199" s="3">
        <f>IF(A199="","",IF(Q199=0,"Set a cap",IF(P199&gt;Q199,"Over cap - shrink batch","OK")))</f>
        <v/>
      </c>
    </row>
    <row r="200">
      <c r="E200" s="3">
        <f>IF(A200="","",IF(D200=0,"",IF(D200&gt;2,"Stale - likely saturated","Fresh")))</f>
        <v/>
      </c>
      <c r="I200" s="4" t="n"/>
      <c r="J200" s="4" t="n"/>
      <c r="K200" s="4" t="n"/>
      <c r="L200" s="5">
        <f>IF(A200="","",I200-J200)</f>
        <v/>
      </c>
      <c r="M200" s="5">
        <f>IF(A200="","",J200-K200)</f>
        <v/>
      </c>
      <c r="N200" s="6">
        <f>IF(A200="","",IFERROR((J200-K200)/J200,0))</f>
        <v/>
      </c>
      <c r="O200" s="3">
        <f>IF(A200="","",IF(M200&lt;=0,"Drop",IF(AND(L200&gt;0,N200&gt;=0.6),"Profit product",IF(N200&gt;=0.5,"Traffic product","Thin - rework"))))</f>
        <v/>
      </c>
      <c r="P200" s="4" t="n"/>
      <c r="Q200" s="4" t="n"/>
      <c r="R200" s="3">
        <f>IF(A200="","",IF(Q200=0,"Set a cap",IF(P200&gt;Q200,"Over cap - shrink batch","OK")))</f>
        <v/>
      </c>
    </row>
    <row r="201">
      <c r="E201" s="3">
        <f>IF(A201="","",IF(D201=0,"",IF(D201&gt;2,"Stale - likely saturated","Fresh")))</f>
        <v/>
      </c>
      <c r="I201" s="4" t="n"/>
      <c r="J201" s="4" t="n"/>
      <c r="K201" s="4" t="n"/>
      <c r="L201" s="5">
        <f>IF(A201="","",I201-J201)</f>
        <v/>
      </c>
      <c r="M201" s="5">
        <f>IF(A201="","",J201-K201)</f>
        <v/>
      </c>
      <c r="N201" s="6">
        <f>IF(A201="","",IFERROR((J201-K201)/J201,0))</f>
        <v/>
      </c>
      <c r="O201" s="3">
        <f>IF(A201="","",IF(M201&lt;=0,"Drop",IF(AND(L201&gt;0,N201&gt;=0.6),"Profit product",IF(N201&gt;=0.5,"Traffic product","Thin - rework"))))</f>
        <v/>
      </c>
      <c r="P201" s="4" t="n"/>
      <c r="Q201" s="4" t="n"/>
      <c r="R201" s="3">
        <f>IF(A201="","",IF(Q201=0,"Set a cap",IF(P201&gt;Q201,"Over cap - shrink batch","OK")))</f>
        <v/>
      </c>
    </row>
    <row r="203">
      <c r="A203" s="7">
        <f>COUNTA(A2:A201)</f>
        <v/>
      </c>
    </row>
  </sheetData>
  <dataValidations count="1">
    <dataValidation sqref="T2:T201" showDropDown="0" showInputMessage="0" showErrorMessage="0" allowBlank="1" type="list">
      <formula1>"Test,Hold,Drop,Scale"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aiOS Grok Edition · Offer Scorecard (Product Selection Log)</t>
        </is>
      </c>
    </row>
    <row r="2">
      <c r="A2" t="inlineStr">
        <is>
          <t>Score every candidate on the three axes (pain value, true cost, content amplifiability) and price from value. Value gap decides: prioritize / traffic / drop. One rule shared with Unit Economics: GM ≥60% with positive consumer surplus = Profit product; 50–60% = Traffic product; below 50% = Thin (rework); no margin left = Drop.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