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Ads Diagnosi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2" fontId="0" fillId="4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14285714285714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24.28571428571428" customWidth="1" min="12" max="12"/>
    <col width="28.57142857142857" customWidth="1" min="13" max="13"/>
  </cols>
  <sheetData>
    <row r="1" ht="48" customHeight="1">
      <c r="A1" s="1" t="inlineStr">
        <is>
          <t>Creative</t>
        </is>
      </c>
      <c r="B1" s="1" t="inlineStr">
        <is>
          <t>Stage</t>
        </is>
      </c>
      <c r="C1" s="1" t="inlineStr">
        <is>
          <t>Role</t>
        </is>
      </c>
      <c r="D1" s="1" t="inlineStr">
        <is>
          <t>Spend ($)</t>
        </is>
      </c>
      <c r="E1" s="1" t="inlineStr">
        <is>
          <t>Revenue ($)</t>
        </is>
      </c>
      <c r="F1" s="1" t="inlineStr">
        <is>
          <t>Conversions</t>
        </is>
      </c>
      <c r="G1" s="1" t="inlineStr">
        <is>
          <t>Break-even ROAS</t>
        </is>
      </c>
      <c r="H1" s="1" t="inlineStr">
        <is>
          <t>Stop-loss: max net loss accepted ($, set before launch)</t>
        </is>
      </c>
      <c r="I1" s="2" t="inlineStr">
        <is>
          <t>ROAS ƒ</t>
        </is>
      </c>
      <c r="J1" s="2" t="inlineStr">
        <is>
          <t>Net after ads ($) = revenue ÷ break-even − spend ƒ</t>
        </is>
      </c>
      <c r="K1" s="2" t="inlineStr">
        <is>
          <t>Activated? ƒ</t>
        </is>
      </c>
      <c r="L1" s="2" t="inlineStr">
        <is>
          <t>Priority ƒ</t>
        </is>
      </c>
      <c r="M1" s="1" t="inlineStr">
        <is>
          <t>Single-variable change</t>
        </is>
      </c>
    </row>
    <row r="2">
      <c r="A2" t="inlineStr">
        <is>
          <t>V-001 hook A</t>
        </is>
      </c>
      <c r="B2" t="inlineStr">
        <is>
          <t>0→1 validate</t>
        </is>
      </c>
      <c r="C2" t="inlineStr">
        <is>
          <t>Harvest</t>
        </is>
      </c>
      <c r="D2" s="3" t="n">
        <v>300</v>
      </c>
      <c r="E2" s="3" t="n">
        <v>540</v>
      </c>
      <c r="F2" t="n">
        <v>11</v>
      </c>
      <c r="G2" s="4" t="n">
        <v>2.6</v>
      </c>
      <c r="H2" s="3" t="n">
        <v>200</v>
      </c>
      <c r="I2" s="5">
        <f>IF(A2="","",IFERROR(E2/D2,0))</f>
        <v/>
      </c>
      <c r="J2" s="6">
        <f>IF(A2="","",IFERROR(E2/G2,0)-D2)</f>
        <v/>
      </c>
      <c r="K2" s="7">
        <f>IF(A2="","",IF(D2&gt;0,"Yes","No spend"))</f>
        <v/>
      </c>
      <c r="L2" s="7">
        <f>IF(A2="","",IF(D2=0,"Check target/activation",IF(AND(H2&gt;0,J2&lt;=0-H2),"Stop-loss hit - pause; fix creative/offer",IF(C2="Seed","P2 keep (seeding)",IF(I2&gt;=G2,"P2 hero - scale",IF(AND(B2="0→1 validate",F2&lt;50),"Learning - hold until ~50 conversions",IF(I2&gt;=G2*0.7,"P1 watch","P0 fix opening")))))))</f>
        <v/>
      </c>
    </row>
    <row r="3">
      <c r="D3" s="3" t="n"/>
      <c r="E3" s="3" t="n"/>
      <c r="G3" s="4" t="n"/>
      <c r="H3" s="3" t="n"/>
      <c r="I3" s="5">
        <f>IF(A3="","",IFERROR(E3/D3,0))</f>
        <v/>
      </c>
      <c r="J3" s="6">
        <f>IF(A3="","",IFERROR(E3/G3,0)-D3)</f>
        <v/>
      </c>
      <c r="K3" s="7">
        <f>IF(A3="","",IF(D3&gt;0,"Yes","No spend"))</f>
        <v/>
      </c>
      <c r="L3" s="7">
        <f>IF(A3="","",IF(D3=0,"Check target/activation",IF(AND(H3&gt;0,J3&lt;=0-H3),"Stop-loss hit - pause; fix creative/offer",IF(C3="Seed","P2 keep (seeding)",IF(I3&gt;=G3,"P2 hero - scale",IF(AND(B3="0→1 validate",F3&lt;50),"Learning - hold until ~50 conversions",IF(I3&gt;=G3*0.7,"P1 watch","P0 fix opening")))))))</f>
        <v/>
      </c>
    </row>
    <row r="4">
      <c r="D4" s="3" t="n"/>
      <c r="E4" s="3" t="n"/>
      <c r="G4" s="4" t="n"/>
      <c r="H4" s="3" t="n"/>
      <c r="I4" s="5">
        <f>IF(A4="","",IFERROR(E4/D4,0))</f>
        <v/>
      </c>
      <c r="J4" s="6">
        <f>IF(A4="","",IFERROR(E4/G4,0)-D4)</f>
        <v/>
      </c>
      <c r="K4" s="7">
        <f>IF(A4="","",IF(D4&gt;0,"Yes","No spend"))</f>
        <v/>
      </c>
      <c r="L4" s="7">
        <f>IF(A4="","",IF(D4=0,"Check target/activation",IF(AND(H4&gt;0,J4&lt;=0-H4),"Stop-loss hit - pause; fix creative/offer",IF(C4="Seed","P2 keep (seeding)",IF(I4&gt;=G4,"P2 hero - scale",IF(AND(B4="0→1 validate",F4&lt;50),"Learning - hold until ~50 conversions",IF(I4&gt;=G4*0.7,"P1 watch","P0 fix opening")))))))</f>
        <v/>
      </c>
    </row>
    <row r="5">
      <c r="D5" s="3" t="n"/>
      <c r="E5" s="3" t="n"/>
      <c r="G5" s="4" t="n"/>
      <c r="H5" s="3" t="n"/>
      <c r="I5" s="5">
        <f>IF(A5="","",IFERROR(E5/D5,0))</f>
        <v/>
      </c>
      <c r="J5" s="6">
        <f>IF(A5="","",IFERROR(E5/G5,0)-D5)</f>
        <v/>
      </c>
      <c r="K5" s="7">
        <f>IF(A5="","",IF(D5&gt;0,"Yes","No spend"))</f>
        <v/>
      </c>
      <c r="L5" s="7">
        <f>IF(A5="","",IF(D5=0,"Check target/activation",IF(AND(H5&gt;0,J5&lt;=0-H5),"Stop-loss hit - pause; fix creative/offer",IF(C5="Seed","P2 keep (seeding)",IF(I5&gt;=G5,"P2 hero - scale",IF(AND(B5="0→1 validate",F5&lt;50),"Learning - hold until ~50 conversions",IF(I5&gt;=G5*0.7,"P1 watch","P0 fix opening")))))))</f>
        <v/>
      </c>
    </row>
    <row r="6">
      <c r="D6" s="3" t="n"/>
      <c r="E6" s="3" t="n"/>
      <c r="G6" s="4" t="n"/>
      <c r="H6" s="3" t="n"/>
      <c r="I6" s="5">
        <f>IF(A6="","",IFERROR(E6/D6,0))</f>
        <v/>
      </c>
      <c r="J6" s="6">
        <f>IF(A6="","",IFERROR(E6/G6,0)-D6)</f>
        <v/>
      </c>
      <c r="K6" s="7">
        <f>IF(A6="","",IF(D6&gt;0,"Yes","No spend"))</f>
        <v/>
      </c>
      <c r="L6" s="7">
        <f>IF(A6="","",IF(D6=0,"Check target/activation",IF(AND(H6&gt;0,J6&lt;=0-H6),"Stop-loss hit - pause; fix creative/offer",IF(C6="Seed","P2 keep (seeding)",IF(I6&gt;=G6,"P2 hero - scale",IF(AND(B6="0→1 validate",F6&lt;50),"Learning - hold until ~50 conversions",IF(I6&gt;=G6*0.7,"P1 watch","P0 fix opening")))))))</f>
        <v/>
      </c>
    </row>
    <row r="7">
      <c r="D7" s="3" t="n"/>
      <c r="E7" s="3" t="n"/>
      <c r="G7" s="4" t="n"/>
      <c r="H7" s="3" t="n"/>
      <c r="I7" s="5">
        <f>IF(A7="","",IFERROR(E7/D7,0))</f>
        <v/>
      </c>
      <c r="J7" s="6">
        <f>IF(A7="","",IFERROR(E7/G7,0)-D7)</f>
        <v/>
      </c>
      <c r="K7" s="7">
        <f>IF(A7="","",IF(D7&gt;0,"Yes","No spend"))</f>
        <v/>
      </c>
      <c r="L7" s="7">
        <f>IF(A7="","",IF(D7=0,"Check target/activation",IF(AND(H7&gt;0,J7&lt;=0-H7),"Stop-loss hit - pause; fix creative/offer",IF(C7="Seed","P2 keep (seeding)",IF(I7&gt;=G7,"P2 hero - scale",IF(AND(B7="0→1 validate",F7&lt;50),"Learning - hold until ~50 conversions",IF(I7&gt;=G7*0.7,"P1 watch","P0 fix opening")))))))</f>
        <v/>
      </c>
    </row>
    <row r="8">
      <c r="D8" s="3" t="n"/>
      <c r="E8" s="3" t="n"/>
      <c r="G8" s="4" t="n"/>
      <c r="H8" s="3" t="n"/>
      <c r="I8" s="5">
        <f>IF(A8="","",IFERROR(E8/D8,0))</f>
        <v/>
      </c>
      <c r="J8" s="6">
        <f>IF(A8="","",IFERROR(E8/G8,0)-D8)</f>
        <v/>
      </c>
      <c r="K8" s="7">
        <f>IF(A8="","",IF(D8&gt;0,"Yes","No spend"))</f>
        <v/>
      </c>
      <c r="L8" s="7">
        <f>IF(A8="","",IF(D8=0,"Check target/activation",IF(AND(H8&gt;0,J8&lt;=0-H8),"Stop-loss hit - pause; fix creative/offer",IF(C8="Seed","P2 keep (seeding)",IF(I8&gt;=G8,"P2 hero - scale",IF(AND(B8="0→1 validate",F8&lt;50),"Learning - hold until ~50 conversions",IF(I8&gt;=G8*0.7,"P1 watch","P0 fix opening")))))))</f>
        <v/>
      </c>
    </row>
    <row r="9">
      <c r="D9" s="3" t="n"/>
      <c r="E9" s="3" t="n"/>
      <c r="G9" s="4" t="n"/>
      <c r="H9" s="3" t="n"/>
      <c r="I9" s="5">
        <f>IF(A9="","",IFERROR(E9/D9,0))</f>
        <v/>
      </c>
      <c r="J9" s="6">
        <f>IF(A9="","",IFERROR(E9/G9,0)-D9)</f>
        <v/>
      </c>
      <c r="K9" s="7">
        <f>IF(A9="","",IF(D9&gt;0,"Yes","No spend"))</f>
        <v/>
      </c>
      <c r="L9" s="7">
        <f>IF(A9="","",IF(D9=0,"Check target/activation",IF(AND(H9&gt;0,J9&lt;=0-H9),"Stop-loss hit - pause; fix creative/offer",IF(C9="Seed","P2 keep (seeding)",IF(I9&gt;=G9,"P2 hero - scale",IF(AND(B9="0→1 validate",F9&lt;50),"Learning - hold until ~50 conversions",IF(I9&gt;=G9*0.7,"P1 watch","P0 fix opening")))))))</f>
        <v/>
      </c>
    </row>
    <row r="10">
      <c r="D10" s="3" t="n"/>
      <c r="E10" s="3" t="n"/>
      <c r="G10" s="4" t="n"/>
      <c r="H10" s="3" t="n"/>
      <c r="I10" s="5">
        <f>IF(A10="","",IFERROR(E10/D10,0))</f>
        <v/>
      </c>
      <c r="J10" s="6">
        <f>IF(A10="","",IFERROR(E10/G10,0)-D10)</f>
        <v/>
      </c>
      <c r="K10" s="7">
        <f>IF(A10="","",IF(D10&gt;0,"Yes","No spend"))</f>
        <v/>
      </c>
      <c r="L10" s="7">
        <f>IF(A10="","",IF(D10=0,"Check target/activation",IF(AND(H10&gt;0,J10&lt;=0-H10),"Stop-loss hit - pause; fix creative/offer",IF(C10="Seed","P2 keep (seeding)",IF(I10&gt;=G10,"P2 hero - scale",IF(AND(B10="0→1 validate",F10&lt;50),"Learning - hold until ~50 conversions",IF(I10&gt;=G10*0.7,"P1 watch","P0 fix opening")))))))</f>
        <v/>
      </c>
    </row>
    <row r="11">
      <c r="D11" s="3" t="n"/>
      <c r="E11" s="3" t="n"/>
      <c r="G11" s="4" t="n"/>
      <c r="H11" s="3" t="n"/>
      <c r="I11" s="5">
        <f>IF(A11="","",IFERROR(E11/D11,0))</f>
        <v/>
      </c>
      <c r="J11" s="6">
        <f>IF(A11="","",IFERROR(E11/G11,0)-D11)</f>
        <v/>
      </c>
      <c r="K11" s="7">
        <f>IF(A11="","",IF(D11&gt;0,"Yes","No spend"))</f>
        <v/>
      </c>
      <c r="L11" s="7">
        <f>IF(A11="","",IF(D11=0,"Check target/activation",IF(AND(H11&gt;0,J11&lt;=0-H11),"Stop-loss hit - pause; fix creative/offer",IF(C11="Seed","P2 keep (seeding)",IF(I11&gt;=G11,"P2 hero - scale",IF(AND(B11="0→1 validate",F11&lt;50),"Learning - hold until ~50 conversions",IF(I11&gt;=G11*0.7,"P1 watch","P0 fix opening")))))))</f>
        <v/>
      </c>
    </row>
    <row r="12">
      <c r="D12" s="3" t="n"/>
      <c r="E12" s="3" t="n"/>
      <c r="G12" s="4" t="n"/>
      <c r="H12" s="3" t="n"/>
      <c r="I12" s="5">
        <f>IF(A12="","",IFERROR(E12/D12,0))</f>
        <v/>
      </c>
      <c r="J12" s="6">
        <f>IF(A12="","",IFERROR(E12/G12,0)-D12)</f>
        <v/>
      </c>
      <c r="K12" s="7">
        <f>IF(A12="","",IF(D12&gt;0,"Yes","No spend"))</f>
        <v/>
      </c>
      <c r="L12" s="7">
        <f>IF(A12="","",IF(D12=0,"Check target/activation",IF(AND(H12&gt;0,J12&lt;=0-H12),"Stop-loss hit - pause; fix creative/offer",IF(C12="Seed","P2 keep (seeding)",IF(I12&gt;=G12,"P2 hero - scale",IF(AND(B12="0→1 validate",F12&lt;50),"Learning - hold until ~50 conversions",IF(I12&gt;=G12*0.7,"P1 watch","P0 fix opening")))))))</f>
        <v/>
      </c>
    </row>
    <row r="13">
      <c r="D13" s="3" t="n"/>
      <c r="E13" s="3" t="n"/>
      <c r="G13" s="4" t="n"/>
      <c r="H13" s="3" t="n"/>
      <c r="I13" s="5">
        <f>IF(A13="","",IFERROR(E13/D13,0))</f>
        <v/>
      </c>
      <c r="J13" s="6">
        <f>IF(A13="","",IFERROR(E13/G13,0)-D13)</f>
        <v/>
      </c>
      <c r="K13" s="7">
        <f>IF(A13="","",IF(D13&gt;0,"Yes","No spend"))</f>
        <v/>
      </c>
      <c r="L13" s="7">
        <f>IF(A13="","",IF(D13=0,"Check target/activation",IF(AND(H13&gt;0,J13&lt;=0-H13),"Stop-loss hit - pause; fix creative/offer",IF(C13="Seed","P2 keep (seeding)",IF(I13&gt;=G13,"P2 hero - scale",IF(AND(B13="0→1 validate",F13&lt;50),"Learning - hold until ~50 conversions",IF(I13&gt;=G13*0.7,"P1 watch","P0 fix opening")))))))</f>
        <v/>
      </c>
    </row>
    <row r="14">
      <c r="D14" s="3" t="n"/>
      <c r="E14" s="3" t="n"/>
      <c r="G14" s="4" t="n"/>
      <c r="H14" s="3" t="n"/>
      <c r="I14" s="5">
        <f>IF(A14="","",IFERROR(E14/D14,0))</f>
        <v/>
      </c>
      <c r="J14" s="6">
        <f>IF(A14="","",IFERROR(E14/G14,0)-D14)</f>
        <v/>
      </c>
      <c r="K14" s="7">
        <f>IF(A14="","",IF(D14&gt;0,"Yes","No spend"))</f>
        <v/>
      </c>
      <c r="L14" s="7">
        <f>IF(A14="","",IF(D14=0,"Check target/activation",IF(AND(H14&gt;0,J14&lt;=0-H14),"Stop-loss hit - pause; fix creative/offer",IF(C14="Seed","P2 keep (seeding)",IF(I14&gt;=G14,"P2 hero - scale",IF(AND(B14="0→1 validate",F14&lt;50),"Learning - hold until ~50 conversions",IF(I14&gt;=G14*0.7,"P1 watch","P0 fix opening")))))))</f>
        <v/>
      </c>
    </row>
    <row r="15">
      <c r="D15" s="3" t="n"/>
      <c r="E15" s="3" t="n"/>
      <c r="G15" s="4" t="n"/>
      <c r="H15" s="3" t="n"/>
      <c r="I15" s="5">
        <f>IF(A15="","",IFERROR(E15/D15,0))</f>
        <v/>
      </c>
      <c r="J15" s="6">
        <f>IF(A15="","",IFERROR(E15/G15,0)-D15)</f>
        <v/>
      </c>
      <c r="K15" s="7">
        <f>IF(A15="","",IF(D15&gt;0,"Yes","No spend"))</f>
        <v/>
      </c>
      <c r="L15" s="7">
        <f>IF(A15="","",IF(D15=0,"Check target/activation",IF(AND(H15&gt;0,J15&lt;=0-H15),"Stop-loss hit - pause; fix creative/offer",IF(C15="Seed","P2 keep (seeding)",IF(I15&gt;=G15,"P2 hero - scale",IF(AND(B15="0→1 validate",F15&lt;50),"Learning - hold until ~50 conversions",IF(I15&gt;=G15*0.7,"P1 watch","P0 fix opening")))))))</f>
        <v/>
      </c>
    </row>
    <row r="16">
      <c r="D16" s="3" t="n"/>
      <c r="E16" s="3" t="n"/>
      <c r="G16" s="4" t="n"/>
      <c r="H16" s="3" t="n"/>
      <c r="I16" s="5">
        <f>IF(A16="","",IFERROR(E16/D16,0))</f>
        <v/>
      </c>
      <c r="J16" s="6">
        <f>IF(A16="","",IFERROR(E16/G16,0)-D16)</f>
        <v/>
      </c>
      <c r="K16" s="7">
        <f>IF(A16="","",IF(D16&gt;0,"Yes","No spend"))</f>
        <v/>
      </c>
      <c r="L16" s="7">
        <f>IF(A16="","",IF(D16=0,"Check target/activation",IF(AND(H16&gt;0,J16&lt;=0-H16),"Stop-loss hit - pause; fix creative/offer",IF(C16="Seed","P2 keep (seeding)",IF(I16&gt;=G16,"P2 hero - scale",IF(AND(B16="0→1 validate",F16&lt;50),"Learning - hold until ~50 conversions",IF(I16&gt;=G16*0.7,"P1 watch","P0 fix opening")))))))</f>
        <v/>
      </c>
    </row>
    <row r="17">
      <c r="D17" s="3" t="n"/>
      <c r="E17" s="3" t="n"/>
      <c r="G17" s="4" t="n"/>
      <c r="H17" s="3" t="n"/>
      <c r="I17" s="5">
        <f>IF(A17="","",IFERROR(E17/D17,0))</f>
        <v/>
      </c>
      <c r="J17" s="6">
        <f>IF(A17="","",IFERROR(E17/G17,0)-D17)</f>
        <v/>
      </c>
      <c r="K17" s="7">
        <f>IF(A17="","",IF(D17&gt;0,"Yes","No spend"))</f>
        <v/>
      </c>
      <c r="L17" s="7">
        <f>IF(A17="","",IF(D17=0,"Check target/activation",IF(AND(H17&gt;0,J17&lt;=0-H17),"Stop-loss hit - pause; fix creative/offer",IF(C17="Seed","P2 keep (seeding)",IF(I17&gt;=G17,"P2 hero - scale",IF(AND(B17="0→1 validate",F17&lt;50),"Learning - hold until ~50 conversions",IF(I17&gt;=G17*0.7,"P1 watch","P0 fix opening")))))))</f>
        <v/>
      </c>
    </row>
    <row r="18">
      <c r="D18" s="3" t="n"/>
      <c r="E18" s="3" t="n"/>
      <c r="G18" s="4" t="n"/>
      <c r="H18" s="3" t="n"/>
      <c r="I18" s="5">
        <f>IF(A18="","",IFERROR(E18/D18,0))</f>
        <v/>
      </c>
      <c r="J18" s="6">
        <f>IF(A18="","",IFERROR(E18/G18,0)-D18)</f>
        <v/>
      </c>
      <c r="K18" s="7">
        <f>IF(A18="","",IF(D18&gt;0,"Yes","No spend"))</f>
        <v/>
      </c>
      <c r="L18" s="7">
        <f>IF(A18="","",IF(D18=0,"Check target/activation",IF(AND(H18&gt;0,J18&lt;=0-H18),"Stop-loss hit - pause; fix creative/offer",IF(C18="Seed","P2 keep (seeding)",IF(I18&gt;=G18,"P2 hero - scale",IF(AND(B18="0→1 validate",F18&lt;50),"Learning - hold until ~50 conversions",IF(I18&gt;=G18*0.7,"P1 watch","P0 fix opening")))))))</f>
        <v/>
      </c>
    </row>
    <row r="19">
      <c r="D19" s="3" t="n"/>
      <c r="E19" s="3" t="n"/>
      <c r="G19" s="4" t="n"/>
      <c r="H19" s="3" t="n"/>
      <c r="I19" s="5">
        <f>IF(A19="","",IFERROR(E19/D19,0))</f>
        <v/>
      </c>
      <c r="J19" s="6">
        <f>IF(A19="","",IFERROR(E19/G19,0)-D19)</f>
        <v/>
      </c>
      <c r="K19" s="7">
        <f>IF(A19="","",IF(D19&gt;0,"Yes","No spend"))</f>
        <v/>
      </c>
      <c r="L19" s="7">
        <f>IF(A19="","",IF(D19=0,"Check target/activation",IF(AND(H19&gt;0,J19&lt;=0-H19),"Stop-loss hit - pause; fix creative/offer",IF(C19="Seed","P2 keep (seeding)",IF(I19&gt;=G19,"P2 hero - scale",IF(AND(B19="0→1 validate",F19&lt;50),"Learning - hold until ~50 conversions",IF(I19&gt;=G19*0.7,"P1 watch","P0 fix opening")))))))</f>
        <v/>
      </c>
    </row>
    <row r="20">
      <c r="D20" s="3" t="n"/>
      <c r="E20" s="3" t="n"/>
      <c r="G20" s="4" t="n"/>
      <c r="H20" s="3" t="n"/>
      <c r="I20" s="5">
        <f>IF(A20="","",IFERROR(E20/D20,0))</f>
        <v/>
      </c>
      <c r="J20" s="6">
        <f>IF(A20="","",IFERROR(E20/G20,0)-D20)</f>
        <v/>
      </c>
      <c r="K20" s="7">
        <f>IF(A20="","",IF(D20&gt;0,"Yes","No spend"))</f>
        <v/>
      </c>
      <c r="L20" s="7">
        <f>IF(A20="","",IF(D20=0,"Check target/activation",IF(AND(H20&gt;0,J20&lt;=0-H20),"Stop-loss hit - pause; fix creative/offer",IF(C20="Seed","P2 keep (seeding)",IF(I20&gt;=G20,"P2 hero - scale",IF(AND(B20="0→1 validate",F20&lt;50),"Learning - hold until ~50 conversions",IF(I20&gt;=G20*0.7,"P1 watch","P0 fix opening")))))))</f>
        <v/>
      </c>
    </row>
    <row r="21">
      <c r="D21" s="3" t="n"/>
      <c r="E21" s="3" t="n"/>
      <c r="G21" s="4" t="n"/>
      <c r="H21" s="3" t="n"/>
      <c r="I21" s="5">
        <f>IF(A21="","",IFERROR(E21/D21,0))</f>
        <v/>
      </c>
      <c r="J21" s="6">
        <f>IF(A21="","",IFERROR(E21/G21,0)-D21)</f>
        <v/>
      </c>
      <c r="K21" s="7">
        <f>IF(A21="","",IF(D21&gt;0,"Yes","No spend"))</f>
        <v/>
      </c>
      <c r="L21" s="7">
        <f>IF(A21="","",IF(D21=0,"Check target/activation",IF(AND(H21&gt;0,J21&lt;=0-H21),"Stop-loss hit - pause; fix creative/offer",IF(C21="Seed","P2 keep (seeding)",IF(I21&gt;=G21,"P2 hero - scale",IF(AND(B21="0→1 validate",F21&lt;50),"Learning - hold until ~50 conversions",IF(I21&gt;=G21*0.7,"P1 watch","P0 fix opening")))))))</f>
        <v/>
      </c>
    </row>
    <row r="22">
      <c r="D22" s="3" t="n"/>
      <c r="E22" s="3" t="n"/>
      <c r="G22" s="4" t="n"/>
      <c r="H22" s="3" t="n"/>
      <c r="I22" s="5">
        <f>IF(A22="","",IFERROR(E22/D22,0))</f>
        <v/>
      </c>
      <c r="J22" s="6">
        <f>IF(A22="","",IFERROR(E22/G22,0)-D22)</f>
        <v/>
      </c>
      <c r="K22" s="7">
        <f>IF(A22="","",IF(D22&gt;0,"Yes","No spend"))</f>
        <v/>
      </c>
      <c r="L22" s="7">
        <f>IF(A22="","",IF(D22=0,"Check target/activation",IF(AND(H22&gt;0,J22&lt;=0-H22),"Stop-loss hit - pause; fix creative/offer",IF(C22="Seed","P2 keep (seeding)",IF(I22&gt;=G22,"P2 hero - scale",IF(AND(B22="0→1 validate",F22&lt;50),"Learning - hold until ~50 conversions",IF(I22&gt;=G22*0.7,"P1 watch","P0 fix opening")))))))</f>
        <v/>
      </c>
    </row>
    <row r="23">
      <c r="D23" s="3" t="n"/>
      <c r="E23" s="3" t="n"/>
      <c r="G23" s="4" t="n"/>
      <c r="H23" s="3" t="n"/>
      <c r="I23" s="5">
        <f>IF(A23="","",IFERROR(E23/D23,0))</f>
        <v/>
      </c>
      <c r="J23" s="6">
        <f>IF(A23="","",IFERROR(E23/G23,0)-D23)</f>
        <v/>
      </c>
      <c r="K23" s="7">
        <f>IF(A23="","",IF(D23&gt;0,"Yes","No spend"))</f>
        <v/>
      </c>
      <c r="L23" s="7">
        <f>IF(A23="","",IF(D23=0,"Check target/activation",IF(AND(H23&gt;0,J23&lt;=0-H23),"Stop-loss hit - pause; fix creative/offer",IF(C23="Seed","P2 keep (seeding)",IF(I23&gt;=G23,"P2 hero - scale",IF(AND(B23="0→1 validate",F23&lt;50),"Learning - hold until ~50 conversions",IF(I23&gt;=G23*0.7,"P1 watch","P0 fix opening")))))))</f>
        <v/>
      </c>
    </row>
    <row r="24">
      <c r="D24" s="3" t="n"/>
      <c r="E24" s="3" t="n"/>
      <c r="G24" s="4" t="n"/>
      <c r="H24" s="3" t="n"/>
      <c r="I24" s="5">
        <f>IF(A24="","",IFERROR(E24/D24,0))</f>
        <v/>
      </c>
      <c r="J24" s="6">
        <f>IF(A24="","",IFERROR(E24/G24,0)-D24)</f>
        <v/>
      </c>
      <c r="K24" s="7">
        <f>IF(A24="","",IF(D24&gt;0,"Yes","No spend"))</f>
        <v/>
      </c>
      <c r="L24" s="7">
        <f>IF(A24="","",IF(D24=0,"Check target/activation",IF(AND(H24&gt;0,J24&lt;=0-H24),"Stop-loss hit - pause; fix creative/offer",IF(C24="Seed","P2 keep (seeding)",IF(I24&gt;=G24,"P2 hero - scale",IF(AND(B24="0→1 validate",F24&lt;50),"Learning - hold until ~50 conversions",IF(I24&gt;=G24*0.7,"P1 watch","P0 fix opening")))))))</f>
        <v/>
      </c>
    </row>
    <row r="25">
      <c r="D25" s="3" t="n"/>
      <c r="E25" s="3" t="n"/>
      <c r="G25" s="4" t="n"/>
      <c r="H25" s="3" t="n"/>
      <c r="I25" s="5">
        <f>IF(A25="","",IFERROR(E25/D25,0))</f>
        <v/>
      </c>
      <c r="J25" s="6">
        <f>IF(A25="","",IFERROR(E25/G25,0)-D25)</f>
        <v/>
      </c>
      <c r="K25" s="7">
        <f>IF(A25="","",IF(D25&gt;0,"Yes","No spend"))</f>
        <v/>
      </c>
      <c r="L25" s="7">
        <f>IF(A25="","",IF(D25=0,"Check target/activation",IF(AND(H25&gt;0,J25&lt;=0-H25),"Stop-loss hit - pause; fix creative/offer",IF(C25="Seed","P2 keep (seeding)",IF(I25&gt;=G25,"P2 hero - scale",IF(AND(B25="0→1 validate",F25&lt;50),"Learning - hold until ~50 conversions",IF(I25&gt;=G25*0.7,"P1 watch","P0 fix opening")))))))</f>
        <v/>
      </c>
    </row>
    <row r="26">
      <c r="D26" s="3" t="n"/>
      <c r="E26" s="3" t="n"/>
      <c r="G26" s="4" t="n"/>
      <c r="H26" s="3" t="n"/>
      <c r="I26" s="5">
        <f>IF(A26="","",IFERROR(E26/D26,0))</f>
        <v/>
      </c>
      <c r="J26" s="6">
        <f>IF(A26="","",IFERROR(E26/G26,0)-D26)</f>
        <v/>
      </c>
      <c r="K26" s="7">
        <f>IF(A26="","",IF(D26&gt;0,"Yes","No spend"))</f>
        <v/>
      </c>
      <c r="L26" s="7">
        <f>IF(A26="","",IF(D26=0,"Check target/activation",IF(AND(H26&gt;0,J26&lt;=0-H26),"Stop-loss hit - pause; fix creative/offer",IF(C26="Seed","P2 keep (seeding)",IF(I26&gt;=G26,"P2 hero - scale",IF(AND(B26="0→1 validate",F26&lt;50),"Learning - hold until ~50 conversions",IF(I26&gt;=G26*0.7,"P1 watch","P0 fix opening")))))))</f>
        <v/>
      </c>
    </row>
    <row r="27">
      <c r="D27" s="3" t="n"/>
      <c r="E27" s="3" t="n"/>
      <c r="G27" s="4" t="n"/>
      <c r="H27" s="3" t="n"/>
      <c r="I27" s="5">
        <f>IF(A27="","",IFERROR(E27/D27,0))</f>
        <v/>
      </c>
      <c r="J27" s="6">
        <f>IF(A27="","",IFERROR(E27/G27,0)-D27)</f>
        <v/>
      </c>
      <c r="K27" s="7">
        <f>IF(A27="","",IF(D27&gt;0,"Yes","No spend"))</f>
        <v/>
      </c>
      <c r="L27" s="7">
        <f>IF(A27="","",IF(D27=0,"Check target/activation",IF(AND(H27&gt;0,J27&lt;=0-H27),"Stop-loss hit - pause; fix creative/offer",IF(C27="Seed","P2 keep (seeding)",IF(I27&gt;=G27,"P2 hero - scale",IF(AND(B27="0→1 validate",F27&lt;50),"Learning - hold until ~50 conversions",IF(I27&gt;=G27*0.7,"P1 watch","P0 fix opening")))))))</f>
        <v/>
      </c>
    </row>
    <row r="28">
      <c r="D28" s="3" t="n"/>
      <c r="E28" s="3" t="n"/>
      <c r="G28" s="4" t="n"/>
      <c r="H28" s="3" t="n"/>
      <c r="I28" s="5">
        <f>IF(A28="","",IFERROR(E28/D28,0))</f>
        <v/>
      </c>
      <c r="J28" s="6">
        <f>IF(A28="","",IFERROR(E28/G28,0)-D28)</f>
        <v/>
      </c>
      <c r="K28" s="7">
        <f>IF(A28="","",IF(D28&gt;0,"Yes","No spend"))</f>
        <v/>
      </c>
      <c r="L28" s="7">
        <f>IF(A28="","",IF(D28=0,"Check target/activation",IF(AND(H28&gt;0,J28&lt;=0-H28),"Stop-loss hit - pause; fix creative/offer",IF(C28="Seed","P2 keep (seeding)",IF(I28&gt;=G28,"P2 hero - scale",IF(AND(B28="0→1 validate",F28&lt;50),"Learning - hold until ~50 conversions",IF(I28&gt;=G28*0.7,"P1 watch","P0 fix opening")))))))</f>
        <v/>
      </c>
    </row>
    <row r="29">
      <c r="D29" s="3" t="n"/>
      <c r="E29" s="3" t="n"/>
      <c r="G29" s="4" t="n"/>
      <c r="H29" s="3" t="n"/>
      <c r="I29" s="5">
        <f>IF(A29="","",IFERROR(E29/D29,0))</f>
        <v/>
      </c>
      <c r="J29" s="6">
        <f>IF(A29="","",IFERROR(E29/G29,0)-D29)</f>
        <v/>
      </c>
      <c r="K29" s="7">
        <f>IF(A29="","",IF(D29&gt;0,"Yes","No spend"))</f>
        <v/>
      </c>
      <c r="L29" s="7">
        <f>IF(A29="","",IF(D29=0,"Check target/activation",IF(AND(H29&gt;0,J29&lt;=0-H29),"Stop-loss hit - pause; fix creative/offer",IF(C29="Seed","P2 keep (seeding)",IF(I29&gt;=G29,"P2 hero - scale",IF(AND(B29="0→1 validate",F29&lt;50),"Learning - hold until ~50 conversions",IF(I29&gt;=G29*0.7,"P1 watch","P0 fix opening")))))))</f>
        <v/>
      </c>
    </row>
    <row r="30">
      <c r="D30" s="3" t="n"/>
      <c r="E30" s="3" t="n"/>
      <c r="G30" s="4" t="n"/>
      <c r="H30" s="3" t="n"/>
      <c r="I30" s="5">
        <f>IF(A30="","",IFERROR(E30/D30,0))</f>
        <v/>
      </c>
      <c r="J30" s="6">
        <f>IF(A30="","",IFERROR(E30/G30,0)-D30)</f>
        <v/>
      </c>
      <c r="K30" s="7">
        <f>IF(A30="","",IF(D30&gt;0,"Yes","No spend"))</f>
        <v/>
      </c>
      <c r="L30" s="7">
        <f>IF(A30="","",IF(D30=0,"Check target/activation",IF(AND(H30&gt;0,J30&lt;=0-H30),"Stop-loss hit - pause; fix creative/offer",IF(C30="Seed","P2 keep (seeding)",IF(I30&gt;=G30,"P2 hero - scale",IF(AND(B30="0→1 validate",F30&lt;50),"Learning - hold until ~50 conversions",IF(I30&gt;=G30*0.7,"P1 watch","P0 fix opening")))))))</f>
        <v/>
      </c>
    </row>
    <row r="31">
      <c r="D31" s="3" t="n"/>
      <c r="E31" s="3" t="n"/>
      <c r="G31" s="4" t="n"/>
      <c r="H31" s="3" t="n"/>
      <c r="I31" s="5">
        <f>IF(A31="","",IFERROR(E31/D31,0))</f>
        <v/>
      </c>
      <c r="J31" s="6">
        <f>IF(A31="","",IFERROR(E31/G31,0)-D31)</f>
        <v/>
      </c>
      <c r="K31" s="7">
        <f>IF(A31="","",IF(D31&gt;0,"Yes","No spend"))</f>
        <v/>
      </c>
      <c r="L31" s="7">
        <f>IF(A31="","",IF(D31=0,"Check target/activation",IF(AND(H31&gt;0,J31&lt;=0-H31),"Stop-loss hit - pause; fix creative/offer",IF(C31="Seed","P2 keep (seeding)",IF(I31&gt;=G31,"P2 hero - scale",IF(AND(B31="0→1 validate",F31&lt;50),"Learning - hold until ~50 conversions",IF(I31&gt;=G31*0.7,"P1 watch","P0 fix opening")))))))</f>
        <v/>
      </c>
    </row>
    <row r="32">
      <c r="D32" s="3" t="n"/>
      <c r="E32" s="3" t="n"/>
      <c r="G32" s="4" t="n"/>
      <c r="H32" s="3" t="n"/>
      <c r="I32" s="5">
        <f>IF(A32="","",IFERROR(E32/D32,0))</f>
        <v/>
      </c>
      <c r="J32" s="6">
        <f>IF(A32="","",IFERROR(E32/G32,0)-D32)</f>
        <v/>
      </c>
      <c r="K32" s="7">
        <f>IF(A32="","",IF(D32&gt;0,"Yes","No spend"))</f>
        <v/>
      </c>
      <c r="L32" s="7">
        <f>IF(A32="","",IF(D32=0,"Check target/activation",IF(AND(H32&gt;0,J32&lt;=0-H32),"Stop-loss hit - pause; fix creative/offer",IF(C32="Seed","P2 keep (seeding)",IF(I32&gt;=G32,"P2 hero - scale",IF(AND(B32="0→1 validate",F32&lt;50),"Learning - hold until ~50 conversions",IF(I32&gt;=G32*0.7,"P1 watch","P0 fix opening")))))))</f>
        <v/>
      </c>
    </row>
    <row r="33">
      <c r="D33" s="3" t="n"/>
      <c r="E33" s="3" t="n"/>
      <c r="G33" s="4" t="n"/>
      <c r="H33" s="3" t="n"/>
      <c r="I33" s="5">
        <f>IF(A33="","",IFERROR(E33/D33,0))</f>
        <v/>
      </c>
      <c r="J33" s="6">
        <f>IF(A33="","",IFERROR(E33/G33,0)-D33)</f>
        <v/>
      </c>
      <c r="K33" s="7">
        <f>IF(A33="","",IF(D33&gt;0,"Yes","No spend"))</f>
        <v/>
      </c>
      <c r="L33" s="7">
        <f>IF(A33="","",IF(D33=0,"Check target/activation",IF(AND(H33&gt;0,J33&lt;=0-H33),"Stop-loss hit - pause; fix creative/offer",IF(C33="Seed","P2 keep (seeding)",IF(I33&gt;=G33,"P2 hero - scale",IF(AND(B33="0→1 validate",F33&lt;50),"Learning - hold until ~50 conversions",IF(I33&gt;=G33*0.7,"P1 watch","P0 fix opening")))))))</f>
        <v/>
      </c>
    </row>
    <row r="34">
      <c r="D34" s="3" t="n"/>
      <c r="E34" s="3" t="n"/>
      <c r="G34" s="4" t="n"/>
      <c r="H34" s="3" t="n"/>
      <c r="I34" s="5">
        <f>IF(A34="","",IFERROR(E34/D34,0))</f>
        <v/>
      </c>
      <c r="J34" s="6">
        <f>IF(A34="","",IFERROR(E34/G34,0)-D34)</f>
        <v/>
      </c>
      <c r="K34" s="7">
        <f>IF(A34="","",IF(D34&gt;0,"Yes","No spend"))</f>
        <v/>
      </c>
      <c r="L34" s="7">
        <f>IF(A34="","",IF(D34=0,"Check target/activation",IF(AND(H34&gt;0,J34&lt;=0-H34),"Stop-loss hit - pause; fix creative/offer",IF(C34="Seed","P2 keep (seeding)",IF(I34&gt;=G34,"P2 hero - scale",IF(AND(B34="0→1 validate",F34&lt;50),"Learning - hold until ~50 conversions",IF(I34&gt;=G34*0.7,"P1 watch","P0 fix opening")))))))</f>
        <v/>
      </c>
    </row>
    <row r="35">
      <c r="D35" s="3" t="n"/>
      <c r="E35" s="3" t="n"/>
      <c r="G35" s="4" t="n"/>
      <c r="H35" s="3" t="n"/>
      <c r="I35" s="5">
        <f>IF(A35="","",IFERROR(E35/D35,0))</f>
        <v/>
      </c>
      <c r="J35" s="6">
        <f>IF(A35="","",IFERROR(E35/G35,0)-D35)</f>
        <v/>
      </c>
      <c r="K35" s="7">
        <f>IF(A35="","",IF(D35&gt;0,"Yes","No spend"))</f>
        <v/>
      </c>
      <c r="L35" s="7">
        <f>IF(A35="","",IF(D35=0,"Check target/activation",IF(AND(H35&gt;0,J35&lt;=0-H35),"Stop-loss hit - pause; fix creative/offer",IF(C35="Seed","P2 keep (seeding)",IF(I35&gt;=G35,"P2 hero - scale",IF(AND(B35="0→1 validate",F35&lt;50),"Learning - hold until ~50 conversions",IF(I35&gt;=G35*0.7,"P1 watch","P0 fix opening")))))))</f>
        <v/>
      </c>
    </row>
    <row r="36">
      <c r="D36" s="3" t="n"/>
      <c r="E36" s="3" t="n"/>
      <c r="G36" s="4" t="n"/>
      <c r="H36" s="3" t="n"/>
      <c r="I36" s="5">
        <f>IF(A36="","",IFERROR(E36/D36,0))</f>
        <v/>
      </c>
      <c r="J36" s="6">
        <f>IF(A36="","",IFERROR(E36/G36,0)-D36)</f>
        <v/>
      </c>
      <c r="K36" s="7">
        <f>IF(A36="","",IF(D36&gt;0,"Yes","No spend"))</f>
        <v/>
      </c>
      <c r="L36" s="7">
        <f>IF(A36="","",IF(D36=0,"Check target/activation",IF(AND(H36&gt;0,J36&lt;=0-H36),"Stop-loss hit - pause; fix creative/offer",IF(C36="Seed","P2 keep (seeding)",IF(I36&gt;=G36,"P2 hero - scale",IF(AND(B36="0→1 validate",F36&lt;50),"Learning - hold until ~50 conversions",IF(I36&gt;=G36*0.7,"P1 watch","P0 fix opening")))))))</f>
        <v/>
      </c>
    </row>
    <row r="37">
      <c r="D37" s="3" t="n"/>
      <c r="E37" s="3" t="n"/>
      <c r="G37" s="4" t="n"/>
      <c r="H37" s="3" t="n"/>
      <c r="I37" s="5">
        <f>IF(A37="","",IFERROR(E37/D37,0))</f>
        <v/>
      </c>
      <c r="J37" s="6">
        <f>IF(A37="","",IFERROR(E37/G37,0)-D37)</f>
        <v/>
      </c>
      <c r="K37" s="7">
        <f>IF(A37="","",IF(D37&gt;0,"Yes","No spend"))</f>
        <v/>
      </c>
      <c r="L37" s="7">
        <f>IF(A37="","",IF(D37=0,"Check target/activation",IF(AND(H37&gt;0,J37&lt;=0-H37),"Stop-loss hit - pause; fix creative/offer",IF(C37="Seed","P2 keep (seeding)",IF(I37&gt;=G37,"P2 hero - scale",IF(AND(B37="0→1 validate",F37&lt;50),"Learning - hold until ~50 conversions",IF(I37&gt;=G37*0.7,"P1 watch","P0 fix opening")))))))</f>
        <v/>
      </c>
    </row>
    <row r="38">
      <c r="D38" s="3" t="n"/>
      <c r="E38" s="3" t="n"/>
      <c r="G38" s="4" t="n"/>
      <c r="H38" s="3" t="n"/>
      <c r="I38" s="5">
        <f>IF(A38="","",IFERROR(E38/D38,0))</f>
        <v/>
      </c>
      <c r="J38" s="6">
        <f>IF(A38="","",IFERROR(E38/G38,0)-D38)</f>
        <v/>
      </c>
      <c r="K38" s="7">
        <f>IF(A38="","",IF(D38&gt;0,"Yes","No spend"))</f>
        <v/>
      </c>
      <c r="L38" s="7">
        <f>IF(A38="","",IF(D38=0,"Check target/activation",IF(AND(H38&gt;0,J38&lt;=0-H38),"Stop-loss hit - pause; fix creative/offer",IF(C38="Seed","P2 keep (seeding)",IF(I38&gt;=G38,"P2 hero - scale",IF(AND(B38="0→1 validate",F38&lt;50),"Learning - hold until ~50 conversions",IF(I38&gt;=G38*0.7,"P1 watch","P0 fix opening")))))))</f>
        <v/>
      </c>
    </row>
    <row r="39">
      <c r="D39" s="3" t="n"/>
      <c r="E39" s="3" t="n"/>
      <c r="G39" s="4" t="n"/>
      <c r="H39" s="3" t="n"/>
      <c r="I39" s="5">
        <f>IF(A39="","",IFERROR(E39/D39,0))</f>
        <v/>
      </c>
      <c r="J39" s="6">
        <f>IF(A39="","",IFERROR(E39/G39,0)-D39)</f>
        <v/>
      </c>
      <c r="K39" s="7">
        <f>IF(A39="","",IF(D39&gt;0,"Yes","No spend"))</f>
        <v/>
      </c>
      <c r="L39" s="7">
        <f>IF(A39="","",IF(D39=0,"Check target/activation",IF(AND(H39&gt;0,J39&lt;=0-H39),"Stop-loss hit - pause; fix creative/offer",IF(C39="Seed","P2 keep (seeding)",IF(I39&gt;=G39,"P2 hero - scale",IF(AND(B39="0→1 validate",F39&lt;50),"Learning - hold until ~50 conversions",IF(I39&gt;=G39*0.7,"P1 watch","P0 fix opening")))))))</f>
        <v/>
      </c>
    </row>
    <row r="40">
      <c r="D40" s="3" t="n"/>
      <c r="E40" s="3" t="n"/>
      <c r="G40" s="4" t="n"/>
      <c r="H40" s="3" t="n"/>
      <c r="I40" s="5">
        <f>IF(A40="","",IFERROR(E40/D40,0))</f>
        <v/>
      </c>
      <c r="J40" s="6">
        <f>IF(A40="","",IFERROR(E40/G40,0)-D40)</f>
        <v/>
      </c>
      <c r="K40" s="7">
        <f>IF(A40="","",IF(D40&gt;0,"Yes","No spend"))</f>
        <v/>
      </c>
      <c r="L40" s="7">
        <f>IF(A40="","",IF(D40=0,"Check target/activation",IF(AND(H40&gt;0,J40&lt;=0-H40),"Stop-loss hit - pause; fix creative/offer",IF(C40="Seed","P2 keep (seeding)",IF(I40&gt;=G40,"P2 hero - scale",IF(AND(B40="0→1 validate",F40&lt;50),"Learning - hold until ~50 conversions",IF(I40&gt;=G40*0.7,"P1 watch","P0 fix opening")))))))</f>
        <v/>
      </c>
    </row>
    <row r="41">
      <c r="D41" s="3" t="n"/>
      <c r="E41" s="3" t="n"/>
      <c r="G41" s="4" t="n"/>
      <c r="H41" s="3" t="n"/>
      <c r="I41" s="5">
        <f>IF(A41="","",IFERROR(E41/D41,0))</f>
        <v/>
      </c>
      <c r="J41" s="6">
        <f>IF(A41="","",IFERROR(E41/G41,0)-D41)</f>
        <v/>
      </c>
      <c r="K41" s="7">
        <f>IF(A41="","",IF(D41&gt;0,"Yes","No spend"))</f>
        <v/>
      </c>
      <c r="L41" s="7">
        <f>IF(A41="","",IF(D41=0,"Check target/activation",IF(AND(H41&gt;0,J41&lt;=0-H41),"Stop-loss hit - pause; fix creative/offer",IF(C41="Seed","P2 keep (seeding)",IF(I41&gt;=G41,"P2 hero - scale",IF(AND(B41="0→1 validate",F41&lt;50),"Learning - hold until ~50 conversions",IF(I41&gt;=G41*0.7,"P1 watch","P0 fix opening")))))))</f>
        <v/>
      </c>
    </row>
    <row r="42">
      <c r="D42" s="3" t="n"/>
      <c r="E42" s="3" t="n"/>
      <c r="G42" s="4" t="n"/>
      <c r="H42" s="3" t="n"/>
      <c r="I42" s="5">
        <f>IF(A42="","",IFERROR(E42/D42,0))</f>
        <v/>
      </c>
      <c r="J42" s="6">
        <f>IF(A42="","",IFERROR(E42/G42,0)-D42)</f>
        <v/>
      </c>
      <c r="K42" s="7">
        <f>IF(A42="","",IF(D42&gt;0,"Yes","No spend"))</f>
        <v/>
      </c>
      <c r="L42" s="7">
        <f>IF(A42="","",IF(D42=0,"Check target/activation",IF(AND(H42&gt;0,J42&lt;=0-H42),"Stop-loss hit - pause; fix creative/offer",IF(C42="Seed","P2 keep (seeding)",IF(I42&gt;=G42,"P2 hero - scale",IF(AND(B42="0→1 validate",F42&lt;50),"Learning - hold until ~50 conversions",IF(I42&gt;=G42*0.7,"P1 watch","P0 fix opening")))))))</f>
        <v/>
      </c>
    </row>
    <row r="43">
      <c r="D43" s="3" t="n"/>
      <c r="E43" s="3" t="n"/>
      <c r="G43" s="4" t="n"/>
      <c r="H43" s="3" t="n"/>
      <c r="I43" s="5">
        <f>IF(A43="","",IFERROR(E43/D43,0))</f>
        <v/>
      </c>
      <c r="J43" s="6">
        <f>IF(A43="","",IFERROR(E43/G43,0)-D43)</f>
        <v/>
      </c>
      <c r="K43" s="7">
        <f>IF(A43="","",IF(D43&gt;0,"Yes","No spend"))</f>
        <v/>
      </c>
      <c r="L43" s="7">
        <f>IF(A43="","",IF(D43=0,"Check target/activation",IF(AND(H43&gt;0,J43&lt;=0-H43),"Stop-loss hit - pause; fix creative/offer",IF(C43="Seed","P2 keep (seeding)",IF(I43&gt;=G43,"P2 hero - scale",IF(AND(B43="0→1 validate",F43&lt;50),"Learning - hold until ~50 conversions",IF(I43&gt;=G43*0.7,"P1 watch","P0 fix opening")))))))</f>
        <v/>
      </c>
    </row>
    <row r="44">
      <c r="D44" s="3" t="n"/>
      <c r="E44" s="3" t="n"/>
      <c r="G44" s="4" t="n"/>
      <c r="H44" s="3" t="n"/>
      <c r="I44" s="5">
        <f>IF(A44="","",IFERROR(E44/D44,0))</f>
        <v/>
      </c>
      <c r="J44" s="6">
        <f>IF(A44="","",IFERROR(E44/G44,0)-D44)</f>
        <v/>
      </c>
      <c r="K44" s="7">
        <f>IF(A44="","",IF(D44&gt;0,"Yes","No spend"))</f>
        <v/>
      </c>
      <c r="L44" s="7">
        <f>IF(A44="","",IF(D44=0,"Check target/activation",IF(AND(H44&gt;0,J44&lt;=0-H44),"Stop-loss hit - pause; fix creative/offer",IF(C44="Seed","P2 keep (seeding)",IF(I44&gt;=G44,"P2 hero - scale",IF(AND(B44="0→1 validate",F44&lt;50),"Learning - hold until ~50 conversions",IF(I44&gt;=G44*0.7,"P1 watch","P0 fix opening")))))))</f>
        <v/>
      </c>
    </row>
    <row r="45">
      <c r="D45" s="3" t="n"/>
      <c r="E45" s="3" t="n"/>
      <c r="G45" s="4" t="n"/>
      <c r="H45" s="3" t="n"/>
      <c r="I45" s="5">
        <f>IF(A45="","",IFERROR(E45/D45,0))</f>
        <v/>
      </c>
      <c r="J45" s="6">
        <f>IF(A45="","",IFERROR(E45/G45,0)-D45)</f>
        <v/>
      </c>
      <c r="K45" s="7">
        <f>IF(A45="","",IF(D45&gt;0,"Yes","No spend"))</f>
        <v/>
      </c>
      <c r="L45" s="7">
        <f>IF(A45="","",IF(D45=0,"Check target/activation",IF(AND(H45&gt;0,J45&lt;=0-H45),"Stop-loss hit - pause; fix creative/offer",IF(C45="Seed","P2 keep (seeding)",IF(I45&gt;=G45,"P2 hero - scale",IF(AND(B45="0→1 validate",F45&lt;50),"Learning - hold until ~50 conversions",IF(I45&gt;=G45*0.7,"P1 watch","P0 fix opening")))))))</f>
        <v/>
      </c>
    </row>
    <row r="46">
      <c r="D46" s="3" t="n"/>
      <c r="E46" s="3" t="n"/>
      <c r="G46" s="4" t="n"/>
      <c r="H46" s="3" t="n"/>
      <c r="I46" s="5">
        <f>IF(A46="","",IFERROR(E46/D46,0))</f>
        <v/>
      </c>
      <c r="J46" s="6">
        <f>IF(A46="","",IFERROR(E46/G46,0)-D46)</f>
        <v/>
      </c>
      <c r="K46" s="7">
        <f>IF(A46="","",IF(D46&gt;0,"Yes","No spend"))</f>
        <v/>
      </c>
      <c r="L46" s="7">
        <f>IF(A46="","",IF(D46=0,"Check target/activation",IF(AND(H46&gt;0,J46&lt;=0-H46),"Stop-loss hit - pause; fix creative/offer",IF(C46="Seed","P2 keep (seeding)",IF(I46&gt;=G46,"P2 hero - scale",IF(AND(B46="0→1 validate",F46&lt;50),"Learning - hold until ~50 conversions",IF(I46&gt;=G46*0.7,"P1 watch","P0 fix opening")))))))</f>
        <v/>
      </c>
    </row>
    <row r="47">
      <c r="D47" s="3" t="n"/>
      <c r="E47" s="3" t="n"/>
      <c r="G47" s="4" t="n"/>
      <c r="H47" s="3" t="n"/>
      <c r="I47" s="5">
        <f>IF(A47="","",IFERROR(E47/D47,0))</f>
        <v/>
      </c>
      <c r="J47" s="6">
        <f>IF(A47="","",IFERROR(E47/G47,0)-D47)</f>
        <v/>
      </c>
      <c r="K47" s="7">
        <f>IF(A47="","",IF(D47&gt;0,"Yes","No spend"))</f>
        <v/>
      </c>
      <c r="L47" s="7">
        <f>IF(A47="","",IF(D47=0,"Check target/activation",IF(AND(H47&gt;0,J47&lt;=0-H47),"Stop-loss hit - pause; fix creative/offer",IF(C47="Seed","P2 keep (seeding)",IF(I47&gt;=G47,"P2 hero - scale",IF(AND(B47="0→1 validate",F47&lt;50),"Learning - hold until ~50 conversions",IF(I47&gt;=G47*0.7,"P1 watch","P0 fix opening")))))))</f>
        <v/>
      </c>
    </row>
    <row r="48">
      <c r="D48" s="3" t="n"/>
      <c r="E48" s="3" t="n"/>
      <c r="G48" s="4" t="n"/>
      <c r="H48" s="3" t="n"/>
      <c r="I48" s="5">
        <f>IF(A48="","",IFERROR(E48/D48,0))</f>
        <v/>
      </c>
      <c r="J48" s="6">
        <f>IF(A48="","",IFERROR(E48/G48,0)-D48)</f>
        <v/>
      </c>
      <c r="K48" s="7">
        <f>IF(A48="","",IF(D48&gt;0,"Yes","No spend"))</f>
        <v/>
      </c>
      <c r="L48" s="7">
        <f>IF(A48="","",IF(D48=0,"Check target/activation",IF(AND(H48&gt;0,J48&lt;=0-H48),"Stop-loss hit - pause; fix creative/offer",IF(C48="Seed","P2 keep (seeding)",IF(I48&gt;=G48,"P2 hero - scale",IF(AND(B48="0→1 validate",F48&lt;50),"Learning - hold until ~50 conversions",IF(I48&gt;=G48*0.7,"P1 watch","P0 fix opening")))))))</f>
        <v/>
      </c>
    </row>
    <row r="49">
      <c r="D49" s="3" t="n"/>
      <c r="E49" s="3" t="n"/>
      <c r="G49" s="4" t="n"/>
      <c r="H49" s="3" t="n"/>
      <c r="I49" s="5">
        <f>IF(A49="","",IFERROR(E49/D49,0))</f>
        <v/>
      </c>
      <c r="J49" s="6">
        <f>IF(A49="","",IFERROR(E49/G49,0)-D49)</f>
        <v/>
      </c>
      <c r="K49" s="7">
        <f>IF(A49="","",IF(D49&gt;0,"Yes","No spend"))</f>
        <v/>
      </c>
      <c r="L49" s="7">
        <f>IF(A49="","",IF(D49=0,"Check target/activation",IF(AND(H49&gt;0,J49&lt;=0-H49),"Stop-loss hit - pause; fix creative/offer",IF(C49="Seed","P2 keep (seeding)",IF(I49&gt;=G49,"P2 hero - scale",IF(AND(B49="0→1 validate",F49&lt;50),"Learning - hold until ~50 conversions",IF(I49&gt;=G49*0.7,"P1 watch","P0 fix opening")))))))</f>
        <v/>
      </c>
    </row>
    <row r="50">
      <c r="D50" s="3" t="n"/>
      <c r="E50" s="3" t="n"/>
      <c r="G50" s="4" t="n"/>
      <c r="H50" s="3" t="n"/>
      <c r="I50" s="5">
        <f>IF(A50="","",IFERROR(E50/D50,0))</f>
        <v/>
      </c>
      <c r="J50" s="6">
        <f>IF(A50="","",IFERROR(E50/G50,0)-D50)</f>
        <v/>
      </c>
      <c r="K50" s="7">
        <f>IF(A50="","",IF(D50&gt;0,"Yes","No spend"))</f>
        <v/>
      </c>
      <c r="L50" s="7">
        <f>IF(A50="","",IF(D50=0,"Check target/activation",IF(AND(H50&gt;0,J50&lt;=0-H50),"Stop-loss hit - pause; fix creative/offer",IF(C50="Seed","P2 keep (seeding)",IF(I50&gt;=G50,"P2 hero - scale",IF(AND(B50="0→1 validate",F50&lt;50),"Learning - hold until ~50 conversions",IF(I50&gt;=G50*0.7,"P1 watch","P0 fix opening")))))))</f>
        <v/>
      </c>
    </row>
    <row r="51">
      <c r="D51" s="3" t="n"/>
      <c r="E51" s="3" t="n"/>
      <c r="G51" s="4" t="n"/>
      <c r="H51" s="3" t="n"/>
      <c r="I51" s="5">
        <f>IF(A51="","",IFERROR(E51/D51,0))</f>
        <v/>
      </c>
      <c r="J51" s="6">
        <f>IF(A51="","",IFERROR(E51/G51,0)-D51)</f>
        <v/>
      </c>
      <c r="K51" s="7">
        <f>IF(A51="","",IF(D51&gt;0,"Yes","No spend"))</f>
        <v/>
      </c>
      <c r="L51" s="7">
        <f>IF(A51="","",IF(D51=0,"Check target/activation",IF(AND(H51&gt;0,J51&lt;=0-H51),"Stop-loss hit - pause; fix creative/offer",IF(C51="Seed","P2 keep (seeding)",IF(I51&gt;=G51,"P2 hero - scale",IF(AND(B51="0→1 validate",F51&lt;50),"Learning - hold until ~50 conversions",IF(I51&gt;=G51*0.7,"P1 watch","P0 fix opening")))))))</f>
        <v/>
      </c>
    </row>
    <row r="52">
      <c r="D52" s="3" t="n"/>
      <c r="E52" s="3" t="n"/>
      <c r="G52" s="4" t="n"/>
      <c r="H52" s="3" t="n"/>
      <c r="I52" s="5">
        <f>IF(A52="","",IFERROR(E52/D52,0))</f>
        <v/>
      </c>
      <c r="J52" s="6">
        <f>IF(A52="","",IFERROR(E52/G52,0)-D52)</f>
        <v/>
      </c>
      <c r="K52" s="7">
        <f>IF(A52="","",IF(D52&gt;0,"Yes","No spend"))</f>
        <v/>
      </c>
      <c r="L52" s="7">
        <f>IF(A52="","",IF(D52=0,"Check target/activation",IF(AND(H52&gt;0,J52&lt;=0-H52),"Stop-loss hit - pause; fix creative/offer",IF(C52="Seed","P2 keep (seeding)",IF(I52&gt;=G52,"P2 hero - scale",IF(AND(B52="0→1 validate",F52&lt;50),"Learning - hold until ~50 conversions",IF(I52&gt;=G52*0.7,"P1 watch","P0 fix opening")))))))</f>
        <v/>
      </c>
    </row>
    <row r="53">
      <c r="D53" s="3" t="n"/>
      <c r="E53" s="3" t="n"/>
      <c r="G53" s="4" t="n"/>
      <c r="H53" s="3" t="n"/>
      <c r="I53" s="5">
        <f>IF(A53="","",IFERROR(E53/D53,0))</f>
        <v/>
      </c>
      <c r="J53" s="6">
        <f>IF(A53="","",IFERROR(E53/G53,0)-D53)</f>
        <v/>
      </c>
      <c r="K53" s="7">
        <f>IF(A53="","",IF(D53&gt;0,"Yes","No spend"))</f>
        <v/>
      </c>
      <c r="L53" s="7">
        <f>IF(A53="","",IF(D53=0,"Check target/activation",IF(AND(H53&gt;0,J53&lt;=0-H53),"Stop-loss hit - pause; fix creative/offer",IF(C53="Seed","P2 keep (seeding)",IF(I53&gt;=G53,"P2 hero - scale",IF(AND(B53="0→1 validate",F53&lt;50),"Learning - hold until ~50 conversions",IF(I53&gt;=G53*0.7,"P1 watch","P0 fix opening")))))))</f>
        <v/>
      </c>
    </row>
    <row r="54">
      <c r="D54" s="3" t="n"/>
      <c r="E54" s="3" t="n"/>
      <c r="G54" s="4" t="n"/>
      <c r="H54" s="3" t="n"/>
      <c r="I54" s="5">
        <f>IF(A54="","",IFERROR(E54/D54,0))</f>
        <v/>
      </c>
      <c r="J54" s="6">
        <f>IF(A54="","",IFERROR(E54/G54,0)-D54)</f>
        <v/>
      </c>
      <c r="K54" s="7">
        <f>IF(A54="","",IF(D54&gt;0,"Yes","No spend"))</f>
        <v/>
      </c>
      <c r="L54" s="7">
        <f>IF(A54="","",IF(D54=0,"Check target/activation",IF(AND(H54&gt;0,J54&lt;=0-H54),"Stop-loss hit - pause; fix creative/offer",IF(C54="Seed","P2 keep (seeding)",IF(I54&gt;=G54,"P2 hero - scale",IF(AND(B54="0→1 validate",F54&lt;50),"Learning - hold until ~50 conversions",IF(I54&gt;=G54*0.7,"P1 watch","P0 fix opening")))))))</f>
        <v/>
      </c>
    </row>
    <row r="55">
      <c r="D55" s="3" t="n"/>
      <c r="E55" s="3" t="n"/>
      <c r="G55" s="4" t="n"/>
      <c r="H55" s="3" t="n"/>
      <c r="I55" s="5">
        <f>IF(A55="","",IFERROR(E55/D55,0))</f>
        <v/>
      </c>
      <c r="J55" s="6">
        <f>IF(A55="","",IFERROR(E55/G55,0)-D55)</f>
        <v/>
      </c>
      <c r="K55" s="7">
        <f>IF(A55="","",IF(D55&gt;0,"Yes","No spend"))</f>
        <v/>
      </c>
      <c r="L55" s="7">
        <f>IF(A55="","",IF(D55=0,"Check target/activation",IF(AND(H55&gt;0,J55&lt;=0-H55),"Stop-loss hit - pause; fix creative/offer",IF(C55="Seed","P2 keep (seeding)",IF(I55&gt;=G55,"P2 hero - scale",IF(AND(B55="0→1 validate",F55&lt;50),"Learning - hold until ~50 conversions",IF(I55&gt;=G55*0.7,"P1 watch","P0 fix opening")))))))</f>
        <v/>
      </c>
    </row>
    <row r="56">
      <c r="D56" s="3" t="n"/>
      <c r="E56" s="3" t="n"/>
      <c r="G56" s="4" t="n"/>
      <c r="H56" s="3" t="n"/>
      <c r="I56" s="5">
        <f>IF(A56="","",IFERROR(E56/D56,0))</f>
        <v/>
      </c>
      <c r="J56" s="6">
        <f>IF(A56="","",IFERROR(E56/G56,0)-D56)</f>
        <v/>
      </c>
      <c r="K56" s="7">
        <f>IF(A56="","",IF(D56&gt;0,"Yes","No spend"))</f>
        <v/>
      </c>
      <c r="L56" s="7">
        <f>IF(A56="","",IF(D56=0,"Check target/activation",IF(AND(H56&gt;0,J56&lt;=0-H56),"Stop-loss hit - pause; fix creative/offer",IF(C56="Seed","P2 keep (seeding)",IF(I56&gt;=G56,"P2 hero - scale",IF(AND(B56="0→1 validate",F56&lt;50),"Learning - hold until ~50 conversions",IF(I56&gt;=G56*0.7,"P1 watch","P0 fix opening")))))))</f>
        <v/>
      </c>
    </row>
    <row r="57">
      <c r="D57" s="3" t="n"/>
      <c r="E57" s="3" t="n"/>
      <c r="G57" s="4" t="n"/>
      <c r="H57" s="3" t="n"/>
      <c r="I57" s="5">
        <f>IF(A57="","",IFERROR(E57/D57,0))</f>
        <v/>
      </c>
      <c r="J57" s="6">
        <f>IF(A57="","",IFERROR(E57/G57,0)-D57)</f>
        <v/>
      </c>
      <c r="K57" s="7">
        <f>IF(A57="","",IF(D57&gt;0,"Yes","No spend"))</f>
        <v/>
      </c>
      <c r="L57" s="7">
        <f>IF(A57="","",IF(D57=0,"Check target/activation",IF(AND(H57&gt;0,J57&lt;=0-H57),"Stop-loss hit - pause; fix creative/offer",IF(C57="Seed","P2 keep (seeding)",IF(I57&gt;=G57,"P2 hero - scale",IF(AND(B57="0→1 validate",F57&lt;50),"Learning - hold until ~50 conversions",IF(I57&gt;=G57*0.7,"P1 watch","P0 fix opening")))))))</f>
        <v/>
      </c>
    </row>
    <row r="58">
      <c r="D58" s="3" t="n"/>
      <c r="E58" s="3" t="n"/>
      <c r="G58" s="4" t="n"/>
      <c r="H58" s="3" t="n"/>
      <c r="I58" s="5">
        <f>IF(A58="","",IFERROR(E58/D58,0))</f>
        <v/>
      </c>
      <c r="J58" s="6">
        <f>IF(A58="","",IFERROR(E58/G58,0)-D58)</f>
        <v/>
      </c>
      <c r="K58" s="7">
        <f>IF(A58="","",IF(D58&gt;0,"Yes","No spend"))</f>
        <v/>
      </c>
      <c r="L58" s="7">
        <f>IF(A58="","",IF(D58=0,"Check target/activation",IF(AND(H58&gt;0,J58&lt;=0-H58),"Stop-loss hit - pause; fix creative/offer",IF(C58="Seed","P2 keep (seeding)",IF(I58&gt;=G58,"P2 hero - scale",IF(AND(B58="0→1 validate",F58&lt;50),"Learning - hold until ~50 conversions",IF(I58&gt;=G58*0.7,"P1 watch","P0 fix opening")))))))</f>
        <v/>
      </c>
    </row>
    <row r="59">
      <c r="D59" s="3" t="n"/>
      <c r="E59" s="3" t="n"/>
      <c r="G59" s="4" t="n"/>
      <c r="H59" s="3" t="n"/>
      <c r="I59" s="5">
        <f>IF(A59="","",IFERROR(E59/D59,0))</f>
        <v/>
      </c>
      <c r="J59" s="6">
        <f>IF(A59="","",IFERROR(E59/G59,0)-D59)</f>
        <v/>
      </c>
      <c r="K59" s="7">
        <f>IF(A59="","",IF(D59&gt;0,"Yes","No spend"))</f>
        <v/>
      </c>
      <c r="L59" s="7">
        <f>IF(A59="","",IF(D59=0,"Check target/activation",IF(AND(H59&gt;0,J59&lt;=0-H59),"Stop-loss hit - pause; fix creative/offer",IF(C59="Seed","P2 keep (seeding)",IF(I59&gt;=G59,"P2 hero - scale",IF(AND(B59="0→1 validate",F59&lt;50),"Learning - hold until ~50 conversions",IF(I59&gt;=G59*0.7,"P1 watch","P0 fix opening")))))))</f>
        <v/>
      </c>
    </row>
    <row r="60">
      <c r="D60" s="3" t="n"/>
      <c r="E60" s="3" t="n"/>
      <c r="G60" s="4" t="n"/>
      <c r="H60" s="3" t="n"/>
      <c r="I60" s="5">
        <f>IF(A60="","",IFERROR(E60/D60,0))</f>
        <v/>
      </c>
      <c r="J60" s="6">
        <f>IF(A60="","",IFERROR(E60/G60,0)-D60)</f>
        <v/>
      </c>
      <c r="K60" s="7">
        <f>IF(A60="","",IF(D60&gt;0,"Yes","No spend"))</f>
        <v/>
      </c>
      <c r="L60" s="7">
        <f>IF(A60="","",IF(D60=0,"Check target/activation",IF(AND(H60&gt;0,J60&lt;=0-H60),"Stop-loss hit - pause; fix creative/offer",IF(C60="Seed","P2 keep (seeding)",IF(I60&gt;=G60,"P2 hero - scale",IF(AND(B60="0→1 validate",F60&lt;50),"Learning - hold until ~50 conversions",IF(I60&gt;=G60*0.7,"P1 watch","P0 fix opening")))))))</f>
        <v/>
      </c>
    </row>
    <row r="61">
      <c r="D61" s="3" t="n"/>
      <c r="E61" s="3" t="n"/>
      <c r="G61" s="4" t="n"/>
      <c r="H61" s="3" t="n"/>
      <c r="I61" s="5">
        <f>IF(A61="","",IFERROR(E61/D61,0))</f>
        <v/>
      </c>
      <c r="J61" s="6">
        <f>IF(A61="","",IFERROR(E61/G61,0)-D61)</f>
        <v/>
      </c>
      <c r="K61" s="7">
        <f>IF(A61="","",IF(D61&gt;0,"Yes","No spend"))</f>
        <v/>
      </c>
      <c r="L61" s="7">
        <f>IF(A61="","",IF(D61=0,"Check target/activation",IF(AND(H61&gt;0,J61&lt;=0-H61),"Stop-loss hit - pause; fix creative/offer",IF(C61="Seed","P2 keep (seeding)",IF(I61&gt;=G61,"P2 hero - scale",IF(AND(B61="0→1 validate",F61&lt;50),"Learning - hold until ~50 conversions",IF(I61&gt;=G61*0.7,"P1 watch","P0 fix opening")))))))</f>
        <v/>
      </c>
    </row>
    <row r="62">
      <c r="D62" s="3" t="n"/>
      <c r="E62" s="3" t="n"/>
      <c r="G62" s="4" t="n"/>
      <c r="H62" s="3" t="n"/>
      <c r="I62" s="5">
        <f>IF(A62="","",IFERROR(E62/D62,0))</f>
        <v/>
      </c>
      <c r="J62" s="6">
        <f>IF(A62="","",IFERROR(E62/G62,0)-D62)</f>
        <v/>
      </c>
      <c r="K62" s="7">
        <f>IF(A62="","",IF(D62&gt;0,"Yes","No spend"))</f>
        <v/>
      </c>
      <c r="L62" s="7">
        <f>IF(A62="","",IF(D62=0,"Check target/activation",IF(AND(H62&gt;0,J62&lt;=0-H62),"Stop-loss hit - pause; fix creative/offer",IF(C62="Seed","P2 keep (seeding)",IF(I62&gt;=G62,"P2 hero - scale",IF(AND(B62="0→1 validate",F62&lt;50),"Learning - hold until ~50 conversions",IF(I62&gt;=G62*0.7,"P1 watch","P0 fix opening")))))))</f>
        <v/>
      </c>
    </row>
    <row r="63">
      <c r="D63" s="3" t="n"/>
      <c r="E63" s="3" t="n"/>
      <c r="G63" s="4" t="n"/>
      <c r="H63" s="3" t="n"/>
      <c r="I63" s="5">
        <f>IF(A63="","",IFERROR(E63/D63,0))</f>
        <v/>
      </c>
      <c r="J63" s="6">
        <f>IF(A63="","",IFERROR(E63/G63,0)-D63)</f>
        <v/>
      </c>
      <c r="K63" s="7">
        <f>IF(A63="","",IF(D63&gt;0,"Yes","No spend"))</f>
        <v/>
      </c>
      <c r="L63" s="7">
        <f>IF(A63="","",IF(D63=0,"Check target/activation",IF(AND(H63&gt;0,J63&lt;=0-H63),"Stop-loss hit - pause; fix creative/offer",IF(C63="Seed","P2 keep (seeding)",IF(I63&gt;=G63,"P2 hero - scale",IF(AND(B63="0→1 validate",F63&lt;50),"Learning - hold until ~50 conversions",IF(I63&gt;=G63*0.7,"P1 watch","P0 fix opening")))))))</f>
        <v/>
      </c>
    </row>
    <row r="64">
      <c r="D64" s="3" t="n"/>
      <c r="E64" s="3" t="n"/>
      <c r="G64" s="4" t="n"/>
      <c r="H64" s="3" t="n"/>
      <c r="I64" s="5">
        <f>IF(A64="","",IFERROR(E64/D64,0))</f>
        <v/>
      </c>
      <c r="J64" s="6">
        <f>IF(A64="","",IFERROR(E64/G64,0)-D64)</f>
        <v/>
      </c>
      <c r="K64" s="7">
        <f>IF(A64="","",IF(D64&gt;0,"Yes","No spend"))</f>
        <v/>
      </c>
      <c r="L64" s="7">
        <f>IF(A64="","",IF(D64=0,"Check target/activation",IF(AND(H64&gt;0,J64&lt;=0-H64),"Stop-loss hit - pause; fix creative/offer",IF(C64="Seed","P2 keep (seeding)",IF(I64&gt;=G64,"P2 hero - scale",IF(AND(B64="0→1 validate",F64&lt;50),"Learning - hold until ~50 conversions",IF(I64&gt;=G64*0.7,"P1 watch","P0 fix opening")))))))</f>
        <v/>
      </c>
    </row>
    <row r="65">
      <c r="D65" s="3" t="n"/>
      <c r="E65" s="3" t="n"/>
      <c r="G65" s="4" t="n"/>
      <c r="H65" s="3" t="n"/>
      <c r="I65" s="5">
        <f>IF(A65="","",IFERROR(E65/D65,0))</f>
        <v/>
      </c>
      <c r="J65" s="6">
        <f>IF(A65="","",IFERROR(E65/G65,0)-D65)</f>
        <v/>
      </c>
      <c r="K65" s="7">
        <f>IF(A65="","",IF(D65&gt;0,"Yes","No spend"))</f>
        <v/>
      </c>
      <c r="L65" s="7">
        <f>IF(A65="","",IF(D65=0,"Check target/activation",IF(AND(H65&gt;0,J65&lt;=0-H65),"Stop-loss hit - pause; fix creative/offer",IF(C65="Seed","P2 keep (seeding)",IF(I65&gt;=G65,"P2 hero - scale",IF(AND(B65="0→1 validate",F65&lt;50),"Learning - hold until ~50 conversions",IF(I65&gt;=G65*0.7,"P1 watch","P0 fix opening")))))))</f>
        <v/>
      </c>
    </row>
    <row r="66">
      <c r="D66" s="3" t="n"/>
      <c r="E66" s="3" t="n"/>
      <c r="G66" s="4" t="n"/>
      <c r="H66" s="3" t="n"/>
      <c r="I66" s="5">
        <f>IF(A66="","",IFERROR(E66/D66,0))</f>
        <v/>
      </c>
      <c r="J66" s="6">
        <f>IF(A66="","",IFERROR(E66/G66,0)-D66)</f>
        <v/>
      </c>
      <c r="K66" s="7">
        <f>IF(A66="","",IF(D66&gt;0,"Yes","No spend"))</f>
        <v/>
      </c>
      <c r="L66" s="7">
        <f>IF(A66="","",IF(D66=0,"Check target/activation",IF(AND(H66&gt;0,J66&lt;=0-H66),"Stop-loss hit - pause; fix creative/offer",IF(C66="Seed","P2 keep (seeding)",IF(I66&gt;=G66,"P2 hero - scale",IF(AND(B66="0→1 validate",F66&lt;50),"Learning - hold until ~50 conversions",IF(I66&gt;=G66*0.7,"P1 watch","P0 fix opening")))))))</f>
        <v/>
      </c>
    </row>
    <row r="67">
      <c r="D67" s="3" t="n"/>
      <c r="E67" s="3" t="n"/>
      <c r="G67" s="4" t="n"/>
      <c r="H67" s="3" t="n"/>
      <c r="I67" s="5">
        <f>IF(A67="","",IFERROR(E67/D67,0))</f>
        <v/>
      </c>
      <c r="J67" s="6">
        <f>IF(A67="","",IFERROR(E67/G67,0)-D67)</f>
        <v/>
      </c>
      <c r="K67" s="7">
        <f>IF(A67="","",IF(D67&gt;0,"Yes","No spend"))</f>
        <v/>
      </c>
      <c r="L67" s="7">
        <f>IF(A67="","",IF(D67=0,"Check target/activation",IF(AND(H67&gt;0,J67&lt;=0-H67),"Stop-loss hit - pause; fix creative/offer",IF(C67="Seed","P2 keep (seeding)",IF(I67&gt;=G67,"P2 hero - scale",IF(AND(B67="0→1 validate",F67&lt;50),"Learning - hold until ~50 conversions",IF(I67&gt;=G67*0.7,"P1 watch","P0 fix opening")))))))</f>
        <v/>
      </c>
    </row>
    <row r="68">
      <c r="D68" s="3" t="n"/>
      <c r="E68" s="3" t="n"/>
      <c r="G68" s="4" t="n"/>
      <c r="H68" s="3" t="n"/>
      <c r="I68" s="5">
        <f>IF(A68="","",IFERROR(E68/D68,0))</f>
        <v/>
      </c>
      <c r="J68" s="6">
        <f>IF(A68="","",IFERROR(E68/G68,0)-D68)</f>
        <v/>
      </c>
      <c r="K68" s="7">
        <f>IF(A68="","",IF(D68&gt;0,"Yes","No spend"))</f>
        <v/>
      </c>
      <c r="L68" s="7">
        <f>IF(A68="","",IF(D68=0,"Check target/activation",IF(AND(H68&gt;0,J68&lt;=0-H68),"Stop-loss hit - pause; fix creative/offer",IF(C68="Seed","P2 keep (seeding)",IF(I68&gt;=G68,"P2 hero - scale",IF(AND(B68="0→1 validate",F68&lt;50),"Learning - hold until ~50 conversions",IF(I68&gt;=G68*0.7,"P1 watch","P0 fix opening")))))))</f>
        <v/>
      </c>
    </row>
    <row r="69">
      <c r="D69" s="3" t="n"/>
      <c r="E69" s="3" t="n"/>
      <c r="G69" s="4" t="n"/>
      <c r="H69" s="3" t="n"/>
      <c r="I69" s="5">
        <f>IF(A69="","",IFERROR(E69/D69,0))</f>
        <v/>
      </c>
      <c r="J69" s="6">
        <f>IF(A69="","",IFERROR(E69/G69,0)-D69)</f>
        <v/>
      </c>
      <c r="K69" s="7">
        <f>IF(A69="","",IF(D69&gt;0,"Yes","No spend"))</f>
        <v/>
      </c>
      <c r="L69" s="7">
        <f>IF(A69="","",IF(D69=0,"Check target/activation",IF(AND(H69&gt;0,J69&lt;=0-H69),"Stop-loss hit - pause; fix creative/offer",IF(C69="Seed","P2 keep (seeding)",IF(I69&gt;=G69,"P2 hero - scale",IF(AND(B69="0→1 validate",F69&lt;50),"Learning - hold until ~50 conversions",IF(I69&gt;=G69*0.7,"P1 watch","P0 fix opening")))))))</f>
        <v/>
      </c>
    </row>
    <row r="70">
      <c r="D70" s="3" t="n"/>
      <c r="E70" s="3" t="n"/>
      <c r="G70" s="4" t="n"/>
      <c r="H70" s="3" t="n"/>
      <c r="I70" s="5">
        <f>IF(A70="","",IFERROR(E70/D70,0))</f>
        <v/>
      </c>
      <c r="J70" s="6">
        <f>IF(A70="","",IFERROR(E70/G70,0)-D70)</f>
        <v/>
      </c>
      <c r="K70" s="7">
        <f>IF(A70="","",IF(D70&gt;0,"Yes","No spend"))</f>
        <v/>
      </c>
      <c r="L70" s="7">
        <f>IF(A70="","",IF(D70=0,"Check target/activation",IF(AND(H70&gt;0,J70&lt;=0-H70),"Stop-loss hit - pause; fix creative/offer",IF(C70="Seed","P2 keep (seeding)",IF(I70&gt;=G70,"P2 hero - scale",IF(AND(B70="0→1 validate",F70&lt;50),"Learning - hold until ~50 conversions",IF(I70&gt;=G70*0.7,"P1 watch","P0 fix opening")))))))</f>
        <v/>
      </c>
    </row>
    <row r="71">
      <c r="D71" s="3" t="n"/>
      <c r="E71" s="3" t="n"/>
      <c r="G71" s="4" t="n"/>
      <c r="H71" s="3" t="n"/>
      <c r="I71" s="5">
        <f>IF(A71="","",IFERROR(E71/D71,0))</f>
        <v/>
      </c>
      <c r="J71" s="6">
        <f>IF(A71="","",IFERROR(E71/G71,0)-D71)</f>
        <v/>
      </c>
      <c r="K71" s="7">
        <f>IF(A71="","",IF(D71&gt;0,"Yes","No spend"))</f>
        <v/>
      </c>
      <c r="L71" s="7">
        <f>IF(A71="","",IF(D71=0,"Check target/activation",IF(AND(H71&gt;0,J71&lt;=0-H71),"Stop-loss hit - pause; fix creative/offer",IF(C71="Seed","P2 keep (seeding)",IF(I71&gt;=G71,"P2 hero - scale",IF(AND(B71="0→1 validate",F71&lt;50),"Learning - hold until ~50 conversions",IF(I71&gt;=G71*0.7,"P1 watch","P0 fix opening")))))))</f>
        <v/>
      </c>
    </row>
    <row r="72">
      <c r="D72" s="3" t="n"/>
      <c r="E72" s="3" t="n"/>
      <c r="G72" s="4" t="n"/>
      <c r="H72" s="3" t="n"/>
      <c r="I72" s="5">
        <f>IF(A72="","",IFERROR(E72/D72,0))</f>
        <v/>
      </c>
      <c r="J72" s="6">
        <f>IF(A72="","",IFERROR(E72/G72,0)-D72)</f>
        <v/>
      </c>
      <c r="K72" s="7">
        <f>IF(A72="","",IF(D72&gt;0,"Yes","No spend"))</f>
        <v/>
      </c>
      <c r="L72" s="7">
        <f>IF(A72="","",IF(D72=0,"Check target/activation",IF(AND(H72&gt;0,J72&lt;=0-H72),"Stop-loss hit - pause; fix creative/offer",IF(C72="Seed","P2 keep (seeding)",IF(I72&gt;=G72,"P2 hero - scale",IF(AND(B72="0→1 validate",F72&lt;50),"Learning - hold until ~50 conversions",IF(I72&gt;=G72*0.7,"P1 watch","P0 fix opening")))))))</f>
        <v/>
      </c>
    </row>
    <row r="73">
      <c r="D73" s="3" t="n"/>
      <c r="E73" s="3" t="n"/>
      <c r="G73" s="4" t="n"/>
      <c r="H73" s="3" t="n"/>
      <c r="I73" s="5">
        <f>IF(A73="","",IFERROR(E73/D73,0))</f>
        <v/>
      </c>
      <c r="J73" s="6">
        <f>IF(A73="","",IFERROR(E73/G73,0)-D73)</f>
        <v/>
      </c>
      <c r="K73" s="7">
        <f>IF(A73="","",IF(D73&gt;0,"Yes","No spend"))</f>
        <v/>
      </c>
      <c r="L73" s="7">
        <f>IF(A73="","",IF(D73=0,"Check target/activation",IF(AND(H73&gt;0,J73&lt;=0-H73),"Stop-loss hit - pause; fix creative/offer",IF(C73="Seed","P2 keep (seeding)",IF(I73&gt;=G73,"P2 hero - scale",IF(AND(B73="0→1 validate",F73&lt;50),"Learning - hold until ~50 conversions",IF(I73&gt;=G73*0.7,"P1 watch","P0 fix opening")))))))</f>
        <v/>
      </c>
    </row>
    <row r="74">
      <c r="D74" s="3" t="n"/>
      <c r="E74" s="3" t="n"/>
      <c r="G74" s="4" t="n"/>
      <c r="H74" s="3" t="n"/>
      <c r="I74" s="5">
        <f>IF(A74="","",IFERROR(E74/D74,0))</f>
        <v/>
      </c>
      <c r="J74" s="6">
        <f>IF(A74="","",IFERROR(E74/G74,0)-D74)</f>
        <v/>
      </c>
      <c r="K74" s="7">
        <f>IF(A74="","",IF(D74&gt;0,"Yes","No spend"))</f>
        <v/>
      </c>
      <c r="L74" s="7">
        <f>IF(A74="","",IF(D74=0,"Check target/activation",IF(AND(H74&gt;0,J74&lt;=0-H74),"Stop-loss hit - pause; fix creative/offer",IF(C74="Seed","P2 keep (seeding)",IF(I74&gt;=G74,"P2 hero - scale",IF(AND(B74="0→1 validate",F74&lt;50),"Learning - hold until ~50 conversions",IF(I74&gt;=G74*0.7,"P1 watch","P0 fix opening")))))))</f>
        <v/>
      </c>
    </row>
    <row r="75">
      <c r="D75" s="3" t="n"/>
      <c r="E75" s="3" t="n"/>
      <c r="G75" s="4" t="n"/>
      <c r="H75" s="3" t="n"/>
      <c r="I75" s="5">
        <f>IF(A75="","",IFERROR(E75/D75,0))</f>
        <v/>
      </c>
      <c r="J75" s="6">
        <f>IF(A75="","",IFERROR(E75/G75,0)-D75)</f>
        <v/>
      </c>
      <c r="K75" s="7">
        <f>IF(A75="","",IF(D75&gt;0,"Yes","No spend"))</f>
        <v/>
      </c>
      <c r="L75" s="7">
        <f>IF(A75="","",IF(D75=0,"Check target/activation",IF(AND(H75&gt;0,J75&lt;=0-H75),"Stop-loss hit - pause; fix creative/offer",IF(C75="Seed","P2 keep (seeding)",IF(I75&gt;=G75,"P2 hero - scale",IF(AND(B75="0→1 validate",F75&lt;50),"Learning - hold until ~50 conversions",IF(I75&gt;=G75*0.7,"P1 watch","P0 fix opening")))))))</f>
        <v/>
      </c>
    </row>
    <row r="76">
      <c r="D76" s="3" t="n"/>
      <c r="E76" s="3" t="n"/>
      <c r="G76" s="4" t="n"/>
      <c r="H76" s="3" t="n"/>
      <c r="I76" s="5">
        <f>IF(A76="","",IFERROR(E76/D76,0))</f>
        <v/>
      </c>
      <c r="J76" s="6">
        <f>IF(A76="","",IFERROR(E76/G76,0)-D76)</f>
        <v/>
      </c>
      <c r="K76" s="7">
        <f>IF(A76="","",IF(D76&gt;0,"Yes","No spend"))</f>
        <v/>
      </c>
      <c r="L76" s="7">
        <f>IF(A76="","",IF(D76=0,"Check target/activation",IF(AND(H76&gt;0,J76&lt;=0-H76),"Stop-loss hit - pause; fix creative/offer",IF(C76="Seed","P2 keep (seeding)",IF(I76&gt;=G76,"P2 hero - scale",IF(AND(B76="0→1 validate",F76&lt;50),"Learning - hold until ~50 conversions",IF(I76&gt;=G76*0.7,"P1 watch","P0 fix opening")))))))</f>
        <v/>
      </c>
    </row>
    <row r="77">
      <c r="D77" s="3" t="n"/>
      <c r="E77" s="3" t="n"/>
      <c r="G77" s="4" t="n"/>
      <c r="H77" s="3" t="n"/>
      <c r="I77" s="5">
        <f>IF(A77="","",IFERROR(E77/D77,0))</f>
        <v/>
      </c>
      <c r="J77" s="6">
        <f>IF(A77="","",IFERROR(E77/G77,0)-D77)</f>
        <v/>
      </c>
      <c r="K77" s="7">
        <f>IF(A77="","",IF(D77&gt;0,"Yes","No spend"))</f>
        <v/>
      </c>
      <c r="L77" s="7">
        <f>IF(A77="","",IF(D77=0,"Check target/activation",IF(AND(H77&gt;0,J77&lt;=0-H77),"Stop-loss hit - pause; fix creative/offer",IF(C77="Seed","P2 keep (seeding)",IF(I77&gt;=G77,"P2 hero - scale",IF(AND(B77="0→1 validate",F77&lt;50),"Learning - hold until ~50 conversions",IF(I77&gt;=G77*0.7,"P1 watch","P0 fix opening")))))))</f>
        <v/>
      </c>
    </row>
    <row r="78">
      <c r="D78" s="3" t="n"/>
      <c r="E78" s="3" t="n"/>
      <c r="G78" s="4" t="n"/>
      <c r="H78" s="3" t="n"/>
      <c r="I78" s="5">
        <f>IF(A78="","",IFERROR(E78/D78,0))</f>
        <v/>
      </c>
      <c r="J78" s="6">
        <f>IF(A78="","",IFERROR(E78/G78,0)-D78)</f>
        <v/>
      </c>
      <c r="K78" s="7">
        <f>IF(A78="","",IF(D78&gt;0,"Yes","No spend"))</f>
        <v/>
      </c>
      <c r="L78" s="7">
        <f>IF(A78="","",IF(D78=0,"Check target/activation",IF(AND(H78&gt;0,J78&lt;=0-H78),"Stop-loss hit - pause; fix creative/offer",IF(C78="Seed","P2 keep (seeding)",IF(I78&gt;=G78,"P2 hero - scale",IF(AND(B78="0→1 validate",F78&lt;50),"Learning - hold until ~50 conversions",IF(I78&gt;=G78*0.7,"P1 watch","P0 fix opening")))))))</f>
        <v/>
      </c>
    </row>
    <row r="79">
      <c r="D79" s="3" t="n"/>
      <c r="E79" s="3" t="n"/>
      <c r="G79" s="4" t="n"/>
      <c r="H79" s="3" t="n"/>
      <c r="I79" s="5">
        <f>IF(A79="","",IFERROR(E79/D79,0))</f>
        <v/>
      </c>
      <c r="J79" s="6">
        <f>IF(A79="","",IFERROR(E79/G79,0)-D79)</f>
        <v/>
      </c>
      <c r="K79" s="7">
        <f>IF(A79="","",IF(D79&gt;0,"Yes","No spend"))</f>
        <v/>
      </c>
      <c r="L79" s="7">
        <f>IF(A79="","",IF(D79=0,"Check target/activation",IF(AND(H79&gt;0,J79&lt;=0-H79),"Stop-loss hit - pause; fix creative/offer",IF(C79="Seed","P2 keep (seeding)",IF(I79&gt;=G79,"P2 hero - scale",IF(AND(B79="0→1 validate",F79&lt;50),"Learning - hold until ~50 conversions",IF(I79&gt;=G79*0.7,"P1 watch","P0 fix opening")))))))</f>
        <v/>
      </c>
    </row>
    <row r="80">
      <c r="D80" s="3" t="n"/>
      <c r="E80" s="3" t="n"/>
      <c r="G80" s="4" t="n"/>
      <c r="H80" s="3" t="n"/>
      <c r="I80" s="5">
        <f>IF(A80="","",IFERROR(E80/D80,0))</f>
        <v/>
      </c>
      <c r="J80" s="6">
        <f>IF(A80="","",IFERROR(E80/G80,0)-D80)</f>
        <v/>
      </c>
      <c r="K80" s="7">
        <f>IF(A80="","",IF(D80&gt;0,"Yes","No spend"))</f>
        <v/>
      </c>
      <c r="L80" s="7">
        <f>IF(A80="","",IF(D80=0,"Check target/activation",IF(AND(H80&gt;0,J80&lt;=0-H80),"Stop-loss hit - pause; fix creative/offer",IF(C80="Seed","P2 keep (seeding)",IF(I80&gt;=G80,"P2 hero - scale",IF(AND(B80="0→1 validate",F80&lt;50),"Learning - hold until ~50 conversions",IF(I80&gt;=G80*0.7,"P1 watch","P0 fix opening")))))))</f>
        <v/>
      </c>
    </row>
    <row r="81">
      <c r="D81" s="3" t="n"/>
      <c r="E81" s="3" t="n"/>
      <c r="G81" s="4" t="n"/>
      <c r="H81" s="3" t="n"/>
      <c r="I81" s="5">
        <f>IF(A81="","",IFERROR(E81/D81,0))</f>
        <v/>
      </c>
      <c r="J81" s="6">
        <f>IF(A81="","",IFERROR(E81/G81,0)-D81)</f>
        <v/>
      </c>
      <c r="K81" s="7">
        <f>IF(A81="","",IF(D81&gt;0,"Yes","No spend"))</f>
        <v/>
      </c>
      <c r="L81" s="7">
        <f>IF(A81="","",IF(D81=0,"Check target/activation",IF(AND(H81&gt;0,J81&lt;=0-H81),"Stop-loss hit - pause; fix creative/offer",IF(C81="Seed","P2 keep (seeding)",IF(I81&gt;=G81,"P2 hero - scale",IF(AND(B81="0→1 validate",F81&lt;50),"Learning - hold until ~50 conversions",IF(I81&gt;=G81*0.7,"P1 watch","P0 fix opening")))))))</f>
        <v/>
      </c>
    </row>
    <row r="82">
      <c r="D82" s="3" t="n"/>
      <c r="E82" s="3" t="n"/>
      <c r="G82" s="4" t="n"/>
      <c r="H82" s="3" t="n"/>
      <c r="I82" s="5">
        <f>IF(A82="","",IFERROR(E82/D82,0))</f>
        <v/>
      </c>
      <c r="J82" s="6">
        <f>IF(A82="","",IFERROR(E82/G82,0)-D82)</f>
        <v/>
      </c>
      <c r="K82" s="7">
        <f>IF(A82="","",IF(D82&gt;0,"Yes","No spend"))</f>
        <v/>
      </c>
      <c r="L82" s="7">
        <f>IF(A82="","",IF(D82=0,"Check target/activation",IF(AND(H82&gt;0,J82&lt;=0-H82),"Stop-loss hit - pause; fix creative/offer",IF(C82="Seed","P2 keep (seeding)",IF(I82&gt;=G82,"P2 hero - scale",IF(AND(B82="0→1 validate",F82&lt;50),"Learning - hold until ~50 conversions",IF(I82&gt;=G82*0.7,"P1 watch","P0 fix opening")))))))</f>
        <v/>
      </c>
    </row>
    <row r="83">
      <c r="D83" s="3" t="n"/>
      <c r="E83" s="3" t="n"/>
      <c r="G83" s="4" t="n"/>
      <c r="H83" s="3" t="n"/>
      <c r="I83" s="5">
        <f>IF(A83="","",IFERROR(E83/D83,0))</f>
        <v/>
      </c>
      <c r="J83" s="6">
        <f>IF(A83="","",IFERROR(E83/G83,0)-D83)</f>
        <v/>
      </c>
      <c r="K83" s="7">
        <f>IF(A83="","",IF(D83&gt;0,"Yes","No spend"))</f>
        <v/>
      </c>
      <c r="L83" s="7">
        <f>IF(A83="","",IF(D83=0,"Check target/activation",IF(AND(H83&gt;0,J83&lt;=0-H83),"Stop-loss hit - pause; fix creative/offer",IF(C83="Seed","P2 keep (seeding)",IF(I83&gt;=G83,"P2 hero - scale",IF(AND(B83="0→1 validate",F83&lt;50),"Learning - hold until ~50 conversions",IF(I83&gt;=G83*0.7,"P1 watch","P0 fix opening")))))))</f>
        <v/>
      </c>
    </row>
    <row r="84">
      <c r="D84" s="3" t="n"/>
      <c r="E84" s="3" t="n"/>
      <c r="G84" s="4" t="n"/>
      <c r="H84" s="3" t="n"/>
      <c r="I84" s="5">
        <f>IF(A84="","",IFERROR(E84/D84,0))</f>
        <v/>
      </c>
      <c r="J84" s="6">
        <f>IF(A84="","",IFERROR(E84/G84,0)-D84)</f>
        <v/>
      </c>
      <c r="K84" s="7">
        <f>IF(A84="","",IF(D84&gt;0,"Yes","No spend"))</f>
        <v/>
      </c>
      <c r="L84" s="7">
        <f>IF(A84="","",IF(D84=0,"Check target/activation",IF(AND(H84&gt;0,J84&lt;=0-H84),"Stop-loss hit - pause; fix creative/offer",IF(C84="Seed","P2 keep (seeding)",IF(I84&gt;=G84,"P2 hero - scale",IF(AND(B84="0→1 validate",F84&lt;50),"Learning - hold until ~50 conversions",IF(I84&gt;=G84*0.7,"P1 watch","P0 fix opening")))))))</f>
        <v/>
      </c>
    </row>
    <row r="85">
      <c r="D85" s="3" t="n"/>
      <c r="E85" s="3" t="n"/>
      <c r="G85" s="4" t="n"/>
      <c r="H85" s="3" t="n"/>
      <c r="I85" s="5">
        <f>IF(A85="","",IFERROR(E85/D85,0))</f>
        <v/>
      </c>
      <c r="J85" s="6">
        <f>IF(A85="","",IFERROR(E85/G85,0)-D85)</f>
        <v/>
      </c>
      <c r="K85" s="7">
        <f>IF(A85="","",IF(D85&gt;0,"Yes","No spend"))</f>
        <v/>
      </c>
      <c r="L85" s="7">
        <f>IF(A85="","",IF(D85=0,"Check target/activation",IF(AND(H85&gt;0,J85&lt;=0-H85),"Stop-loss hit - pause; fix creative/offer",IF(C85="Seed","P2 keep (seeding)",IF(I85&gt;=G85,"P2 hero - scale",IF(AND(B85="0→1 validate",F85&lt;50),"Learning - hold until ~50 conversions",IF(I85&gt;=G85*0.7,"P1 watch","P0 fix opening")))))))</f>
        <v/>
      </c>
    </row>
    <row r="86">
      <c r="D86" s="3" t="n"/>
      <c r="E86" s="3" t="n"/>
      <c r="G86" s="4" t="n"/>
      <c r="H86" s="3" t="n"/>
      <c r="I86" s="5">
        <f>IF(A86="","",IFERROR(E86/D86,0))</f>
        <v/>
      </c>
      <c r="J86" s="6">
        <f>IF(A86="","",IFERROR(E86/G86,0)-D86)</f>
        <v/>
      </c>
      <c r="K86" s="7">
        <f>IF(A86="","",IF(D86&gt;0,"Yes","No spend"))</f>
        <v/>
      </c>
      <c r="L86" s="7">
        <f>IF(A86="","",IF(D86=0,"Check target/activation",IF(AND(H86&gt;0,J86&lt;=0-H86),"Stop-loss hit - pause; fix creative/offer",IF(C86="Seed","P2 keep (seeding)",IF(I86&gt;=G86,"P2 hero - scale",IF(AND(B86="0→1 validate",F86&lt;50),"Learning - hold until ~50 conversions",IF(I86&gt;=G86*0.7,"P1 watch","P0 fix opening")))))))</f>
        <v/>
      </c>
    </row>
    <row r="87">
      <c r="D87" s="3" t="n"/>
      <c r="E87" s="3" t="n"/>
      <c r="G87" s="4" t="n"/>
      <c r="H87" s="3" t="n"/>
      <c r="I87" s="5">
        <f>IF(A87="","",IFERROR(E87/D87,0))</f>
        <v/>
      </c>
      <c r="J87" s="6">
        <f>IF(A87="","",IFERROR(E87/G87,0)-D87)</f>
        <v/>
      </c>
      <c r="K87" s="7">
        <f>IF(A87="","",IF(D87&gt;0,"Yes","No spend"))</f>
        <v/>
      </c>
      <c r="L87" s="7">
        <f>IF(A87="","",IF(D87=0,"Check target/activation",IF(AND(H87&gt;0,J87&lt;=0-H87),"Stop-loss hit - pause; fix creative/offer",IF(C87="Seed","P2 keep (seeding)",IF(I87&gt;=G87,"P2 hero - scale",IF(AND(B87="0→1 validate",F87&lt;50),"Learning - hold until ~50 conversions",IF(I87&gt;=G87*0.7,"P1 watch","P0 fix opening")))))))</f>
        <v/>
      </c>
    </row>
    <row r="88">
      <c r="D88" s="3" t="n"/>
      <c r="E88" s="3" t="n"/>
      <c r="G88" s="4" t="n"/>
      <c r="H88" s="3" t="n"/>
      <c r="I88" s="5">
        <f>IF(A88="","",IFERROR(E88/D88,0))</f>
        <v/>
      </c>
      <c r="J88" s="6">
        <f>IF(A88="","",IFERROR(E88/G88,0)-D88)</f>
        <v/>
      </c>
      <c r="K88" s="7">
        <f>IF(A88="","",IF(D88&gt;0,"Yes","No spend"))</f>
        <v/>
      </c>
      <c r="L88" s="7">
        <f>IF(A88="","",IF(D88=0,"Check target/activation",IF(AND(H88&gt;0,J88&lt;=0-H88),"Stop-loss hit - pause; fix creative/offer",IF(C88="Seed","P2 keep (seeding)",IF(I88&gt;=G88,"P2 hero - scale",IF(AND(B88="0→1 validate",F88&lt;50),"Learning - hold until ~50 conversions",IF(I88&gt;=G88*0.7,"P1 watch","P0 fix opening")))))))</f>
        <v/>
      </c>
    </row>
    <row r="89">
      <c r="D89" s="3" t="n"/>
      <c r="E89" s="3" t="n"/>
      <c r="G89" s="4" t="n"/>
      <c r="H89" s="3" t="n"/>
      <c r="I89" s="5">
        <f>IF(A89="","",IFERROR(E89/D89,0))</f>
        <v/>
      </c>
      <c r="J89" s="6">
        <f>IF(A89="","",IFERROR(E89/G89,0)-D89)</f>
        <v/>
      </c>
      <c r="K89" s="7">
        <f>IF(A89="","",IF(D89&gt;0,"Yes","No spend"))</f>
        <v/>
      </c>
      <c r="L89" s="7">
        <f>IF(A89="","",IF(D89=0,"Check target/activation",IF(AND(H89&gt;0,J89&lt;=0-H89),"Stop-loss hit - pause; fix creative/offer",IF(C89="Seed","P2 keep (seeding)",IF(I89&gt;=G89,"P2 hero - scale",IF(AND(B89="0→1 validate",F89&lt;50),"Learning - hold until ~50 conversions",IF(I89&gt;=G89*0.7,"P1 watch","P0 fix opening")))))))</f>
        <v/>
      </c>
    </row>
    <row r="90">
      <c r="D90" s="3" t="n"/>
      <c r="E90" s="3" t="n"/>
      <c r="G90" s="4" t="n"/>
      <c r="H90" s="3" t="n"/>
      <c r="I90" s="5">
        <f>IF(A90="","",IFERROR(E90/D90,0))</f>
        <v/>
      </c>
      <c r="J90" s="6">
        <f>IF(A90="","",IFERROR(E90/G90,0)-D90)</f>
        <v/>
      </c>
      <c r="K90" s="7">
        <f>IF(A90="","",IF(D90&gt;0,"Yes","No spend"))</f>
        <v/>
      </c>
      <c r="L90" s="7">
        <f>IF(A90="","",IF(D90=0,"Check target/activation",IF(AND(H90&gt;0,J90&lt;=0-H90),"Stop-loss hit - pause; fix creative/offer",IF(C90="Seed","P2 keep (seeding)",IF(I90&gt;=G90,"P2 hero - scale",IF(AND(B90="0→1 validate",F90&lt;50),"Learning - hold until ~50 conversions",IF(I90&gt;=G90*0.7,"P1 watch","P0 fix opening")))))))</f>
        <v/>
      </c>
    </row>
    <row r="91">
      <c r="D91" s="3" t="n"/>
      <c r="E91" s="3" t="n"/>
      <c r="G91" s="4" t="n"/>
      <c r="H91" s="3" t="n"/>
      <c r="I91" s="5">
        <f>IF(A91="","",IFERROR(E91/D91,0))</f>
        <v/>
      </c>
      <c r="J91" s="6">
        <f>IF(A91="","",IFERROR(E91/G91,0)-D91)</f>
        <v/>
      </c>
      <c r="K91" s="7">
        <f>IF(A91="","",IF(D91&gt;0,"Yes","No spend"))</f>
        <v/>
      </c>
      <c r="L91" s="7">
        <f>IF(A91="","",IF(D91=0,"Check target/activation",IF(AND(H91&gt;0,J91&lt;=0-H91),"Stop-loss hit - pause; fix creative/offer",IF(C91="Seed","P2 keep (seeding)",IF(I91&gt;=G91,"P2 hero - scale",IF(AND(B91="0→1 validate",F91&lt;50),"Learning - hold until ~50 conversions",IF(I91&gt;=G91*0.7,"P1 watch","P0 fix opening")))))))</f>
        <v/>
      </c>
    </row>
    <row r="92">
      <c r="D92" s="3" t="n"/>
      <c r="E92" s="3" t="n"/>
      <c r="G92" s="4" t="n"/>
      <c r="H92" s="3" t="n"/>
      <c r="I92" s="5">
        <f>IF(A92="","",IFERROR(E92/D92,0))</f>
        <v/>
      </c>
      <c r="J92" s="6">
        <f>IF(A92="","",IFERROR(E92/G92,0)-D92)</f>
        <v/>
      </c>
      <c r="K92" s="7">
        <f>IF(A92="","",IF(D92&gt;0,"Yes","No spend"))</f>
        <v/>
      </c>
      <c r="L92" s="7">
        <f>IF(A92="","",IF(D92=0,"Check target/activation",IF(AND(H92&gt;0,J92&lt;=0-H92),"Stop-loss hit - pause; fix creative/offer",IF(C92="Seed","P2 keep (seeding)",IF(I92&gt;=G92,"P2 hero - scale",IF(AND(B92="0→1 validate",F92&lt;50),"Learning - hold until ~50 conversions",IF(I92&gt;=G92*0.7,"P1 watch","P0 fix opening")))))))</f>
        <v/>
      </c>
    </row>
    <row r="93">
      <c r="D93" s="3" t="n"/>
      <c r="E93" s="3" t="n"/>
      <c r="G93" s="4" t="n"/>
      <c r="H93" s="3" t="n"/>
      <c r="I93" s="5">
        <f>IF(A93="","",IFERROR(E93/D93,0))</f>
        <v/>
      </c>
      <c r="J93" s="6">
        <f>IF(A93="","",IFERROR(E93/G93,0)-D93)</f>
        <v/>
      </c>
      <c r="K93" s="7">
        <f>IF(A93="","",IF(D93&gt;0,"Yes","No spend"))</f>
        <v/>
      </c>
      <c r="L93" s="7">
        <f>IF(A93="","",IF(D93=0,"Check target/activation",IF(AND(H93&gt;0,J93&lt;=0-H93),"Stop-loss hit - pause; fix creative/offer",IF(C93="Seed","P2 keep (seeding)",IF(I93&gt;=G93,"P2 hero - scale",IF(AND(B93="0→1 validate",F93&lt;50),"Learning - hold until ~50 conversions",IF(I93&gt;=G93*0.7,"P1 watch","P0 fix opening")))))))</f>
        <v/>
      </c>
    </row>
    <row r="94">
      <c r="D94" s="3" t="n"/>
      <c r="E94" s="3" t="n"/>
      <c r="G94" s="4" t="n"/>
      <c r="H94" s="3" t="n"/>
      <c r="I94" s="5">
        <f>IF(A94="","",IFERROR(E94/D94,0))</f>
        <v/>
      </c>
      <c r="J94" s="6">
        <f>IF(A94="","",IFERROR(E94/G94,0)-D94)</f>
        <v/>
      </c>
      <c r="K94" s="7">
        <f>IF(A94="","",IF(D94&gt;0,"Yes","No spend"))</f>
        <v/>
      </c>
      <c r="L94" s="7">
        <f>IF(A94="","",IF(D94=0,"Check target/activation",IF(AND(H94&gt;0,J94&lt;=0-H94),"Stop-loss hit - pause; fix creative/offer",IF(C94="Seed","P2 keep (seeding)",IF(I94&gt;=G94,"P2 hero - scale",IF(AND(B94="0→1 validate",F94&lt;50),"Learning - hold until ~50 conversions",IF(I94&gt;=G94*0.7,"P1 watch","P0 fix opening")))))))</f>
        <v/>
      </c>
    </row>
    <row r="95">
      <c r="D95" s="3" t="n"/>
      <c r="E95" s="3" t="n"/>
      <c r="G95" s="4" t="n"/>
      <c r="H95" s="3" t="n"/>
      <c r="I95" s="5">
        <f>IF(A95="","",IFERROR(E95/D95,0))</f>
        <v/>
      </c>
      <c r="J95" s="6">
        <f>IF(A95="","",IFERROR(E95/G95,0)-D95)</f>
        <v/>
      </c>
      <c r="K95" s="7">
        <f>IF(A95="","",IF(D95&gt;0,"Yes","No spend"))</f>
        <v/>
      </c>
      <c r="L95" s="7">
        <f>IF(A95="","",IF(D95=0,"Check target/activation",IF(AND(H95&gt;0,J95&lt;=0-H95),"Stop-loss hit - pause; fix creative/offer",IF(C95="Seed","P2 keep (seeding)",IF(I95&gt;=G95,"P2 hero - scale",IF(AND(B95="0→1 validate",F95&lt;50),"Learning - hold until ~50 conversions",IF(I95&gt;=G95*0.7,"P1 watch","P0 fix opening")))))))</f>
        <v/>
      </c>
    </row>
    <row r="96">
      <c r="D96" s="3" t="n"/>
      <c r="E96" s="3" t="n"/>
      <c r="G96" s="4" t="n"/>
      <c r="H96" s="3" t="n"/>
      <c r="I96" s="5">
        <f>IF(A96="","",IFERROR(E96/D96,0))</f>
        <v/>
      </c>
      <c r="J96" s="6">
        <f>IF(A96="","",IFERROR(E96/G96,0)-D96)</f>
        <v/>
      </c>
      <c r="K96" s="7">
        <f>IF(A96="","",IF(D96&gt;0,"Yes","No spend"))</f>
        <v/>
      </c>
      <c r="L96" s="7">
        <f>IF(A96="","",IF(D96=0,"Check target/activation",IF(AND(H96&gt;0,J96&lt;=0-H96),"Stop-loss hit - pause; fix creative/offer",IF(C96="Seed","P2 keep (seeding)",IF(I96&gt;=G96,"P2 hero - scale",IF(AND(B96="0→1 validate",F96&lt;50),"Learning - hold until ~50 conversions",IF(I96&gt;=G96*0.7,"P1 watch","P0 fix opening")))))))</f>
        <v/>
      </c>
    </row>
    <row r="97">
      <c r="D97" s="3" t="n"/>
      <c r="E97" s="3" t="n"/>
      <c r="G97" s="4" t="n"/>
      <c r="H97" s="3" t="n"/>
      <c r="I97" s="5">
        <f>IF(A97="","",IFERROR(E97/D97,0))</f>
        <v/>
      </c>
      <c r="J97" s="6">
        <f>IF(A97="","",IFERROR(E97/G97,0)-D97)</f>
        <v/>
      </c>
      <c r="K97" s="7">
        <f>IF(A97="","",IF(D97&gt;0,"Yes","No spend"))</f>
        <v/>
      </c>
      <c r="L97" s="7">
        <f>IF(A97="","",IF(D97=0,"Check target/activation",IF(AND(H97&gt;0,J97&lt;=0-H97),"Stop-loss hit - pause; fix creative/offer",IF(C97="Seed","P2 keep (seeding)",IF(I97&gt;=G97,"P2 hero - scale",IF(AND(B97="0→1 validate",F97&lt;50),"Learning - hold until ~50 conversions",IF(I97&gt;=G97*0.7,"P1 watch","P0 fix opening")))))))</f>
        <v/>
      </c>
    </row>
    <row r="98">
      <c r="D98" s="3" t="n"/>
      <c r="E98" s="3" t="n"/>
      <c r="G98" s="4" t="n"/>
      <c r="H98" s="3" t="n"/>
      <c r="I98" s="5">
        <f>IF(A98="","",IFERROR(E98/D98,0))</f>
        <v/>
      </c>
      <c r="J98" s="6">
        <f>IF(A98="","",IFERROR(E98/G98,0)-D98)</f>
        <v/>
      </c>
      <c r="K98" s="7">
        <f>IF(A98="","",IF(D98&gt;0,"Yes","No spend"))</f>
        <v/>
      </c>
      <c r="L98" s="7">
        <f>IF(A98="","",IF(D98=0,"Check target/activation",IF(AND(H98&gt;0,J98&lt;=0-H98),"Stop-loss hit - pause; fix creative/offer",IF(C98="Seed","P2 keep (seeding)",IF(I98&gt;=G98,"P2 hero - scale",IF(AND(B98="0→1 validate",F98&lt;50),"Learning - hold until ~50 conversions",IF(I98&gt;=G98*0.7,"P1 watch","P0 fix opening")))))))</f>
        <v/>
      </c>
    </row>
    <row r="99">
      <c r="D99" s="3" t="n"/>
      <c r="E99" s="3" t="n"/>
      <c r="G99" s="4" t="n"/>
      <c r="H99" s="3" t="n"/>
      <c r="I99" s="5">
        <f>IF(A99="","",IFERROR(E99/D99,0))</f>
        <v/>
      </c>
      <c r="J99" s="6">
        <f>IF(A99="","",IFERROR(E99/G99,0)-D99)</f>
        <v/>
      </c>
      <c r="K99" s="7">
        <f>IF(A99="","",IF(D99&gt;0,"Yes","No spend"))</f>
        <v/>
      </c>
      <c r="L99" s="7">
        <f>IF(A99="","",IF(D99=0,"Check target/activation",IF(AND(H99&gt;0,J99&lt;=0-H99),"Stop-loss hit - pause; fix creative/offer",IF(C99="Seed","P2 keep (seeding)",IF(I99&gt;=G99,"P2 hero - scale",IF(AND(B99="0→1 validate",F99&lt;50),"Learning - hold until ~50 conversions",IF(I99&gt;=G99*0.7,"P1 watch","P0 fix opening")))))))</f>
        <v/>
      </c>
    </row>
    <row r="100">
      <c r="D100" s="3" t="n"/>
      <c r="E100" s="3" t="n"/>
      <c r="G100" s="4" t="n"/>
      <c r="H100" s="3" t="n"/>
      <c r="I100" s="5">
        <f>IF(A100="","",IFERROR(E100/D100,0))</f>
        <v/>
      </c>
      <c r="J100" s="6">
        <f>IF(A100="","",IFERROR(E100/G100,0)-D100)</f>
        <v/>
      </c>
      <c r="K100" s="7">
        <f>IF(A100="","",IF(D100&gt;0,"Yes","No spend"))</f>
        <v/>
      </c>
      <c r="L100" s="7">
        <f>IF(A100="","",IF(D100=0,"Check target/activation",IF(AND(H100&gt;0,J100&lt;=0-H100),"Stop-loss hit - pause; fix creative/offer",IF(C100="Seed","P2 keep (seeding)",IF(I100&gt;=G100,"P2 hero - scale",IF(AND(B100="0→1 validate",F100&lt;50),"Learning - hold until ~50 conversions",IF(I100&gt;=G100*0.7,"P1 watch","P0 fix opening")))))))</f>
        <v/>
      </c>
    </row>
    <row r="101">
      <c r="D101" s="3" t="n"/>
      <c r="E101" s="3" t="n"/>
      <c r="G101" s="4" t="n"/>
      <c r="H101" s="3" t="n"/>
      <c r="I101" s="5">
        <f>IF(A101="","",IFERROR(E101/D101,0))</f>
        <v/>
      </c>
      <c r="J101" s="6">
        <f>IF(A101="","",IFERROR(E101/G101,0)-D101)</f>
        <v/>
      </c>
      <c r="K101" s="7">
        <f>IF(A101="","",IF(D101&gt;0,"Yes","No spend"))</f>
        <v/>
      </c>
      <c r="L101" s="7">
        <f>IF(A101="","",IF(D101=0,"Check target/activation",IF(AND(H101&gt;0,J101&lt;=0-H101),"Stop-loss hit - pause; fix creative/offer",IF(C101="Seed","P2 keep (seeding)",IF(I101&gt;=G101,"P2 hero - scale",IF(AND(B101="0→1 validate",F101&lt;50),"Learning - hold until ~50 conversions",IF(I101&gt;=G101*0.7,"P1 watch","P0 fix opening")))))))</f>
        <v/>
      </c>
    </row>
    <row r="102">
      <c r="D102" s="3" t="n"/>
      <c r="E102" s="3" t="n"/>
      <c r="G102" s="4" t="n"/>
      <c r="H102" s="3" t="n"/>
      <c r="I102" s="5">
        <f>IF(A102="","",IFERROR(E102/D102,0))</f>
        <v/>
      </c>
      <c r="J102" s="6">
        <f>IF(A102="","",IFERROR(E102/G102,0)-D102)</f>
        <v/>
      </c>
      <c r="K102" s="7">
        <f>IF(A102="","",IF(D102&gt;0,"Yes","No spend"))</f>
        <v/>
      </c>
      <c r="L102" s="7">
        <f>IF(A102="","",IF(D102=0,"Check target/activation",IF(AND(H102&gt;0,J102&lt;=0-H102),"Stop-loss hit - pause; fix creative/offer",IF(C102="Seed","P2 keep (seeding)",IF(I102&gt;=G102,"P2 hero - scale",IF(AND(B102="0→1 validate",F102&lt;50),"Learning - hold until ~50 conversions",IF(I102&gt;=G102*0.7,"P1 watch","P0 fix opening")))))))</f>
        <v/>
      </c>
    </row>
    <row r="103">
      <c r="D103" s="3" t="n"/>
      <c r="E103" s="3" t="n"/>
      <c r="G103" s="4" t="n"/>
      <c r="H103" s="3" t="n"/>
      <c r="I103" s="5">
        <f>IF(A103="","",IFERROR(E103/D103,0))</f>
        <v/>
      </c>
      <c r="J103" s="6">
        <f>IF(A103="","",IFERROR(E103/G103,0)-D103)</f>
        <v/>
      </c>
      <c r="K103" s="7">
        <f>IF(A103="","",IF(D103&gt;0,"Yes","No spend"))</f>
        <v/>
      </c>
      <c r="L103" s="7">
        <f>IF(A103="","",IF(D103=0,"Check target/activation",IF(AND(H103&gt;0,J103&lt;=0-H103),"Stop-loss hit - pause; fix creative/offer",IF(C103="Seed","P2 keep (seeding)",IF(I103&gt;=G103,"P2 hero - scale",IF(AND(B103="0→1 validate",F103&lt;50),"Learning - hold until ~50 conversions",IF(I103&gt;=G103*0.7,"P1 watch","P0 fix opening")))))))</f>
        <v/>
      </c>
    </row>
    <row r="104">
      <c r="D104" s="3" t="n"/>
      <c r="E104" s="3" t="n"/>
      <c r="G104" s="4" t="n"/>
      <c r="H104" s="3" t="n"/>
      <c r="I104" s="5">
        <f>IF(A104="","",IFERROR(E104/D104,0))</f>
        <v/>
      </c>
      <c r="J104" s="6">
        <f>IF(A104="","",IFERROR(E104/G104,0)-D104)</f>
        <v/>
      </c>
      <c r="K104" s="7">
        <f>IF(A104="","",IF(D104&gt;0,"Yes","No spend"))</f>
        <v/>
      </c>
      <c r="L104" s="7">
        <f>IF(A104="","",IF(D104=0,"Check target/activation",IF(AND(H104&gt;0,J104&lt;=0-H104),"Stop-loss hit - pause; fix creative/offer",IF(C104="Seed","P2 keep (seeding)",IF(I104&gt;=G104,"P2 hero - scale",IF(AND(B104="0→1 validate",F104&lt;50),"Learning - hold until ~50 conversions",IF(I104&gt;=G104*0.7,"P1 watch","P0 fix opening")))))))</f>
        <v/>
      </c>
    </row>
    <row r="105">
      <c r="D105" s="3" t="n"/>
      <c r="E105" s="3" t="n"/>
      <c r="G105" s="4" t="n"/>
      <c r="H105" s="3" t="n"/>
      <c r="I105" s="5">
        <f>IF(A105="","",IFERROR(E105/D105,0))</f>
        <v/>
      </c>
      <c r="J105" s="6">
        <f>IF(A105="","",IFERROR(E105/G105,0)-D105)</f>
        <v/>
      </c>
      <c r="K105" s="7">
        <f>IF(A105="","",IF(D105&gt;0,"Yes","No spend"))</f>
        <v/>
      </c>
      <c r="L105" s="7">
        <f>IF(A105="","",IF(D105=0,"Check target/activation",IF(AND(H105&gt;0,J105&lt;=0-H105),"Stop-loss hit - pause; fix creative/offer",IF(C105="Seed","P2 keep (seeding)",IF(I105&gt;=G105,"P2 hero - scale",IF(AND(B105="0→1 validate",F105&lt;50),"Learning - hold until ~50 conversions",IF(I105&gt;=G105*0.7,"P1 watch","P0 fix opening")))))))</f>
        <v/>
      </c>
    </row>
    <row r="106">
      <c r="D106" s="3" t="n"/>
      <c r="E106" s="3" t="n"/>
      <c r="G106" s="4" t="n"/>
      <c r="H106" s="3" t="n"/>
      <c r="I106" s="5">
        <f>IF(A106="","",IFERROR(E106/D106,0))</f>
        <v/>
      </c>
      <c r="J106" s="6">
        <f>IF(A106="","",IFERROR(E106/G106,0)-D106)</f>
        <v/>
      </c>
      <c r="K106" s="7">
        <f>IF(A106="","",IF(D106&gt;0,"Yes","No spend"))</f>
        <v/>
      </c>
      <c r="L106" s="7">
        <f>IF(A106="","",IF(D106=0,"Check target/activation",IF(AND(H106&gt;0,J106&lt;=0-H106),"Stop-loss hit - pause; fix creative/offer",IF(C106="Seed","P2 keep (seeding)",IF(I106&gt;=G106,"P2 hero - scale",IF(AND(B106="0→1 validate",F106&lt;50),"Learning - hold until ~50 conversions",IF(I106&gt;=G106*0.7,"P1 watch","P0 fix opening")))))))</f>
        <v/>
      </c>
    </row>
    <row r="107">
      <c r="D107" s="3" t="n"/>
      <c r="E107" s="3" t="n"/>
      <c r="G107" s="4" t="n"/>
      <c r="H107" s="3" t="n"/>
      <c r="I107" s="5">
        <f>IF(A107="","",IFERROR(E107/D107,0))</f>
        <v/>
      </c>
      <c r="J107" s="6">
        <f>IF(A107="","",IFERROR(E107/G107,0)-D107)</f>
        <v/>
      </c>
      <c r="K107" s="7">
        <f>IF(A107="","",IF(D107&gt;0,"Yes","No spend"))</f>
        <v/>
      </c>
      <c r="L107" s="7">
        <f>IF(A107="","",IF(D107=0,"Check target/activation",IF(AND(H107&gt;0,J107&lt;=0-H107),"Stop-loss hit - pause; fix creative/offer",IF(C107="Seed","P2 keep (seeding)",IF(I107&gt;=G107,"P2 hero - scale",IF(AND(B107="0→1 validate",F107&lt;50),"Learning - hold until ~50 conversions",IF(I107&gt;=G107*0.7,"P1 watch","P0 fix opening")))))))</f>
        <v/>
      </c>
    </row>
    <row r="108">
      <c r="D108" s="3" t="n"/>
      <c r="E108" s="3" t="n"/>
      <c r="G108" s="4" t="n"/>
      <c r="H108" s="3" t="n"/>
      <c r="I108" s="5">
        <f>IF(A108="","",IFERROR(E108/D108,0))</f>
        <v/>
      </c>
      <c r="J108" s="6">
        <f>IF(A108="","",IFERROR(E108/G108,0)-D108)</f>
        <v/>
      </c>
      <c r="K108" s="7">
        <f>IF(A108="","",IF(D108&gt;0,"Yes","No spend"))</f>
        <v/>
      </c>
      <c r="L108" s="7">
        <f>IF(A108="","",IF(D108=0,"Check target/activation",IF(AND(H108&gt;0,J108&lt;=0-H108),"Stop-loss hit - pause; fix creative/offer",IF(C108="Seed","P2 keep (seeding)",IF(I108&gt;=G108,"P2 hero - scale",IF(AND(B108="0→1 validate",F108&lt;50),"Learning - hold until ~50 conversions",IF(I108&gt;=G108*0.7,"P1 watch","P0 fix opening")))))))</f>
        <v/>
      </c>
    </row>
    <row r="109">
      <c r="D109" s="3" t="n"/>
      <c r="E109" s="3" t="n"/>
      <c r="G109" s="4" t="n"/>
      <c r="H109" s="3" t="n"/>
      <c r="I109" s="5">
        <f>IF(A109="","",IFERROR(E109/D109,0))</f>
        <v/>
      </c>
      <c r="J109" s="6">
        <f>IF(A109="","",IFERROR(E109/G109,0)-D109)</f>
        <v/>
      </c>
      <c r="K109" s="7">
        <f>IF(A109="","",IF(D109&gt;0,"Yes","No spend"))</f>
        <v/>
      </c>
      <c r="L109" s="7">
        <f>IF(A109="","",IF(D109=0,"Check target/activation",IF(AND(H109&gt;0,J109&lt;=0-H109),"Stop-loss hit - pause; fix creative/offer",IF(C109="Seed","P2 keep (seeding)",IF(I109&gt;=G109,"P2 hero - scale",IF(AND(B109="0→1 validate",F109&lt;50),"Learning - hold until ~50 conversions",IF(I109&gt;=G109*0.7,"P1 watch","P0 fix opening")))))))</f>
        <v/>
      </c>
    </row>
    <row r="110">
      <c r="D110" s="3" t="n"/>
      <c r="E110" s="3" t="n"/>
      <c r="G110" s="4" t="n"/>
      <c r="H110" s="3" t="n"/>
      <c r="I110" s="5">
        <f>IF(A110="","",IFERROR(E110/D110,0))</f>
        <v/>
      </c>
      <c r="J110" s="6">
        <f>IF(A110="","",IFERROR(E110/G110,0)-D110)</f>
        <v/>
      </c>
      <c r="K110" s="7">
        <f>IF(A110="","",IF(D110&gt;0,"Yes","No spend"))</f>
        <v/>
      </c>
      <c r="L110" s="7">
        <f>IF(A110="","",IF(D110=0,"Check target/activation",IF(AND(H110&gt;0,J110&lt;=0-H110),"Stop-loss hit - pause; fix creative/offer",IF(C110="Seed","P2 keep (seeding)",IF(I110&gt;=G110,"P2 hero - scale",IF(AND(B110="0→1 validate",F110&lt;50),"Learning - hold until ~50 conversions",IF(I110&gt;=G110*0.7,"P1 watch","P0 fix opening")))))))</f>
        <v/>
      </c>
    </row>
    <row r="111">
      <c r="D111" s="3" t="n"/>
      <c r="E111" s="3" t="n"/>
      <c r="G111" s="4" t="n"/>
      <c r="H111" s="3" t="n"/>
      <c r="I111" s="5">
        <f>IF(A111="","",IFERROR(E111/D111,0))</f>
        <v/>
      </c>
      <c r="J111" s="6">
        <f>IF(A111="","",IFERROR(E111/G111,0)-D111)</f>
        <v/>
      </c>
      <c r="K111" s="7">
        <f>IF(A111="","",IF(D111&gt;0,"Yes","No spend"))</f>
        <v/>
      </c>
      <c r="L111" s="7">
        <f>IF(A111="","",IF(D111=0,"Check target/activation",IF(AND(H111&gt;0,J111&lt;=0-H111),"Stop-loss hit - pause; fix creative/offer",IF(C111="Seed","P2 keep (seeding)",IF(I111&gt;=G111,"P2 hero - scale",IF(AND(B111="0→1 validate",F111&lt;50),"Learning - hold until ~50 conversions",IF(I111&gt;=G111*0.7,"P1 watch","P0 fix opening")))))))</f>
        <v/>
      </c>
    </row>
    <row r="112">
      <c r="D112" s="3" t="n"/>
      <c r="E112" s="3" t="n"/>
      <c r="G112" s="4" t="n"/>
      <c r="H112" s="3" t="n"/>
      <c r="I112" s="5">
        <f>IF(A112="","",IFERROR(E112/D112,0))</f>
        <v/>
      </c>
      <c r="J112" s="6">
        <f>IF(A112="","",IFERROR(E112/G112,0)-D112)</f>
        <v/>
      </c>
      <c r="K112" s="7">
        <f>IF(A112="","",IF(D112&gt;0,"Yes","No spend"))</f>
        <v/>
      </c>
      <c r="L112" s="7">
        <f>IF(A112="","",IF(D112=0,"Check target/activation",IF(AND(H112&gt;0,J112&lt;=0-H112),"Stop-loss hit - pause; fix creative/offer",IF(C112="Seed","P2 keep (seeding)",IF(I112&gt;=G112,"P2 hero - scale",IF(AND(B112="0→1 validate",F112&lt;50),"Learning - hold until ~50 conversions",IF(I112&gt;=G112*0.7,"P1 watch","P0 fix opening")))))))</f>
        <v/>
      </c>
    </row>
    <row r="113">
      <c r="D113" s="3" t="n"/>
      <c r="E113" s="3" t="n"/>
      <c r="G113" s="4" t="n"/>
      <c r="H113" s="3" t="n"/>
      <c r="I113" s="5">
        <f>IF(A113="","",IFERROR(E113/D113,0))</f>
        <v/>
      </c>
      <c r="J113" s="6">
        <f>IF(A113="","",IFERROR(E113/G113,0)-D113)</f>
        <v/>
      </c>
      <c r="K113" s="7">
        <f>IF(A113="","",IF(D113&gt;0,"Yes","No spend"))</f>
        <v/>
      </c>
      <c r="L113" s="7">
        <f>IF(A113="","",IF(D113=0,"Check target/activation",IF(AND(H113&gt;0,J113&lt;=0-H113),"Stop-loss hit - pause; fix creative/offer",IF(C113="Seed","P2 keep (seeding)",IF(I113&gt;=G113,"P2 hero - scale",IF(AND(B113="0→1 validate",F113&lt;50),"Learning - hold until ~50 conversions",IF(I113&gt;=G113*0.7,"P1 watch","P0 fix opening")))))))</f>
        <v/>
      </c>
    </row>
    <row r="114">
      <c r="D114" s="3" t="n"/>
      <c r="E114" s="3" t="n"/>
      <c r="G114" s="4" t="n"/>
      <c r="H114" s="3" t="n"/>
      <c r="I114" s="5">
        <f>IF(A114="","",IFERROR(E114/D114,0))</f>
        <v/>
      </c>
      <c r="J114" s="6">
        <f>IF(A114="","",IFERROR(E114/G114,0)-D114)</f>
        <v/>
      </c>
      <c r="K114" s="7">
        <f>IF(A114="","",IF(D114&gt;0,"Yes","No spend"))</f>
        <v/>
      </c>
      <c r="L114" s="7">
        <f>IF(A114="","",IF(D114=0,"Check target/activation",IF(AND(H114&gt;0,J114&lt;=0-H114),"Stop-loss hit - pause; fix creative/offer",IF(C114="Seed","P2 keep (seeding)",IF(I114&gt;=G114,"P2 hero - scale",IF(AND(B114="0→1 validate",F114&lt;50),"Learning - hold until ~50 conversions",IF(I114&gt;=G114*0.7,"P1 watch","P0 fix opening")))))))</f>
        <v/>
      </c>
    </row>
    <row r="115">
      <c r="D115" s="3" t="n"/>
      <c r="E115" s="3" t="n"/>
      <c r="G115" s="4" t="n"/>
      <c r="H115" s="3" t="n"/>
      <c r="I115" s="5">
        <f>IF(A115="","",IFERROR(E115/D115,0))</f>
        <v/>
      </c>
      <c r="J115" s="6">
        <f>IF(A115="","",IFERROR(E115/G115,0)-D115)</f>
        <v/>
      </c>
      <c r="K115" s="7">
        <f>IF(A115="","",IF(D115&gt;0,"Yes","No spend"))</f>
        <v/>
      </c>
      <c r="L115" s="7">
        <f>IF(A115="","",IF(D115=0,"Check target/activation",IF(AND(H115&gt;0,J115&lt;=0-H115),"Stop-loss hit - pause; fix creative/offer",IF(C115="Seed","P2 keep (seeding)",IF(I115&gt;=G115,"P2 hero - scale",IF(AND(B115="0→1 validate",F115&lt;50),"Learning - hold until ~50 conversions",IF(I115&gt;=G115*0.7,"P1 watch","P0 fix opening")))))))</f>
        <v/>
      </c>
    </row>
    <row r="116">
      <c r="D116" s="3" t="n"/>
      <c r="E116" s="3" t="n"/>
      <c r="G116" s="4" t="n"/>
      <c r="H116" s="3" t="n"/>
      <c r="I116" s="5">
        <f>IF(A116="","",IFERROR(E116/D116,0))</f>
        <v/>
      </c>
      <c r="J116" s="6">
        <f>IF(A116="","",IFERROR(E116/G116,0)-D116)</f>
        <v/>
      </c>
      <c r="K116" s="7">
        <f>IF(A116="","",IF(D116&gt;0,"Yes","No spend"))</f>
        <v/>
      </c>
      <c r="L116" s="7">
        <f>IF(A116="","",IF(D116=0,"Check target/activation",IF(AND(H116&gt;0,J116&lt;=0-H116),"Stop-loss hit - pause; fix creative/offer",IF(C116="Seed","P2 keep (seeding)",IF(I116&gt;=G116,"P2 hero - scale",IF(AND(B116="0→1 validate",F116&lt;50),"Learning - hold until ~50 conversions",IF(I116&gt;=G116*0.7,"P1 watch","P0 fix opening")))))))</f>
        <v/>
      </c>
    </row>
    <row r="117">
      <c r="D117" s="3" t="n"/>
      <c r="E117" s="3" t="n"/>
      <c r="G117" s="4" t="n"/>
      <c r="H117" s="3" t="n"/>
      <c r="I117" s="5">
        <f>IF(A117="","",IFERROR(E117/D117,0))</f>
        <v/>
      </c>
      <c r="J117" s="6">
        <f>IF(A117="","",IFERROR(E117/G117,0)-D117)</f>
        <v/>
      </c>
      <c r="K117" s="7">
        <f>IF(A117="","",IF(D117&gt;0,"Yes","No spend"))</f>
        <v/>
      </c>
      <c r="L117" s="7">
        <f>IF(A117="","",IF(D117=0,"Check target/activation",IF(AND(H117&gt;0,J117&lt;=0-H117),"Stop-loss hit - pause; fix creative/offer",IF(C117="Seed","P2 keep (seeding)",IF(I117&gt;=G117,"P2 hero - scale",IF(AND(B117="0→1 validate",F117&lt;50),"Learning - hold until ~50 conversions",IF(I117&gt;=G117*0.7,"P1 watch","P0 fix opening")))))))</f>
        <v/>
      </c>
    </row>
    <row r="118">
      <c r="D118" s="3" t="n"/>
      <c r="E118" s="3" t="n"/>
      <c r="G118" s="4" t="n"/>
      <c r="H118" s="3" t="n"/>
      <c r="I118" s="5">
        <f>IF(A118="","",IFERROR(E118/D118,0))</f>
        <v/>
      </c>
      <c r="J118" s="6">
        <f>IF(A118="","",IFERROR(E118/G118,0)-D118)</f>
        <v/>
      </c>
      <c r="K118" s="7">
        <f>IF(A118="","",IF(D118&gt;0,"Yes","No spend"))</f>
        <v/>
      </c>
      <c r="L118" s="7">
        <f>IF(A118="","",IF(D118=0,"Check target/activation",IF(AND(H118&gt;0,J118&lt;=0-H118),"Stop-loss hit - pause; fix creative/offer",IF(C118="Seed","P2 keep (seeding)",IF(I118&gt;=G118,"P2 hero - scale",IF(AND(B118="0→1 validate",F118&lt;50),"Learning - hold until ~50 conversions",IF(I118&gt;=G118*0.7,"P1 watch","P0 fix opening")))))))</f>
        <v/>
      </c>
    </row>
    <row r="119">
      <c r="D119" s="3" t="n"/>
      <c r="E119" s="3" t="n"/>
      <c r="G119" s="4" t="n"/>
      <c r="H119" s="3" t="n"/>
      <c r="I119" s="5">
        <f>IF(A119="","",IFERROR(E119/D119,0))</f>
        <v/>
      </c>
      <c r="J119" s="6">
        <f>IF(A119="","",IFERROR(E119/G119,0)-D119)</f>
        <v/>
      </c>
      <c r="K119" s="7">
        <f>IF(A119="","",IF(D119&gt;0,"Yes","No spend"))</f>
        <v/>
      </c>
      <c r="L119" s="7">
        <f>IF(A119="","",IF(D119=0,"Check target/activation",IF(AND(H119&gt;0,J119&lt;=0-H119),"Stop-loss hit - pause; fix creative/offer",IF(C119="Seed","P2 keep (seeding)",IF(I119&gt;=G119,"P2 hero - scale",IF(AND(B119="0→1 validate",F119&lt;50),"Learning - hold until ~50 conversions",IF(I119&gt;=G119*0.7,"P1 watch","P0 fix opening")))))))</f>
        <v/>
      </c>
    </row>
    <row r="120">
      <c r="D120" s="3" t="n"/>
      <c r="E120" s="3" t="n"/>
      <c r="G120" s="4" t="n"/>
      <c r="H120" s="3" t="n"/>
      <c r="I120" s="5">
        <f>IF(A120="","",IFERROR(E120/D120,0))</f>
        <v/>
      </c>
      <c r="J120" s="6">
        <f>IF(A120="","",IFERROR(E120/G120,0)-D120)</f>
        <v/>
      </c>
      <c r="K120" s="7">
        <f>IF(A120="","",IF(D120&gt;0,"Yes","No spend"))</f>
        <v/>
      </c>
      <c r="L120" s="7">
        <f>IF(A120="","",IF(D120=0,"Check target/activation",IF(AND(H120&gt;0,J120&lt;=0-H120),"Stop-loss hit - pause; fix creative/offer",IF(C120="Seed","P2 keep (seeding)",IF(I120&gt;=G120,"P2 hero - scale",IF(AND(B120="0→1 validate",F120&lt;50),"Learning - hold until ~50 conversions",IF(I120&gt;=G120*0.7,"P1 watch","P0 fix opening")))))))</f>
        <v/>
      </c>
    </row>
    <row r="121">
      <c r="D121" s="3" t="n"/>
      <c r="E121" s="3" t="n"/>
      <c r="G121" s="4" t="n"/>
      <c r="H121" s="3" t="n"/>
      <c r="I121" s="5">
        <f>IF(A121="","",IFERROR(E121/D121,0))</f>
        <v/>
      </c>
      <c r="J121" s="6">
        <f>IF(A121="","",IFERROR(E121/G121,0)-D121)</f>
        <v/>
      </c>
      <c r="K121" s="7">
        <f>IF(A121="","",IF(D121&gt;0,"Yes","No spend"))</f>
        <v/>
      </c>
      <c r="L121" s="7">
        <f>IF(A121="","",IF(D121=0,"Check target/activation",IF(AND(H121&gt;0,J121&lt;=0-H121),"Stop-loss hit - pause; fix creative/offer",IF(C121="Seed","P2 keep (seeding)",IF(I121&gt;=G121,"P2 hero - scale",IF(AND(B121="0→1 validate",F121&lt;50),"Learning - hold until ~50 conversions",IF(I121&gt;=G121*0.7,"P1 watch","P0 fix opening")))))))</f>
        <v/>
      </c>
    </row>
    <row r="122">
      <c r="D122" s="3" t="n"/>
      <c r="E122" s="3" t="n"/>
      <c r="G122" s="4" t="n"/>
      <c r="H122" s="3" t="n"/>
      <c r="I122" s="5">
        <f>IF(A122="","",IFERROR(E122/D122,0))</f>
        <v/>
      </c>
      <c r="J122" s="6">
        <f>IF(A122="","",IFERROR(E122/G122,0)-D122)</f>
        <v/>
      </c>
      <c r="K122" s="7">
        <f>IF(A122="","",IF(D122&gt;0,"Yes","No spend"))</f>
        <v/>
      </c>
      <c r="L122" s="7">
        <f>IF(A122="","",IF(D122=0,"Check target/activation",IF(AND(H122&gt;0,J122&lt;=0-H122),"Stop-loss hit - pause; fix creative/offer",IF(C122="Seed","P2 keep (seeding)",IF(I122&gt;=G122,"P2 hero - scale",IF(AND(B122="0→1 validate",F122&lt;50),"Learning - hold until ~50 conversions",IF(I122&gt;=G122*0.7,"P1 watch","P0 fix opening")))))))</f>
        <v/>
      </c>
    </row>
    <row r="123">
      <c r="D123" s="3" t="n"/>
      <c r="E123" s="3" t="n"/>
      <c r="G123" s="4" t="n"/>
      <c r="H123" s="3" t="n"/>
      <c r="I123" s="5">
        <f>IF(A123="","",IFERROR(E123/D123,0))</f>
        <v/>
      </c>
      <c r="J123" s="6">
        <f>IF(A123="","",IFERROR(E123/G123,0)-D123)</f>
        <v/>
      </c>
      <c r="K123" s="7">
        <f>IF(A123="","",IF(D123&gt;0,"Yes","No spend"))</f>
        <v/>
      </c>
      <c r="L123" s="7">
        <f>IF(A123="","",IF(D123=0,"Check target/activation",IF(AND(H123&gt;0,J123&lt;=0-H123),"Stop-loss hit - pause; fix creative/offer",IF(C123="Seed","P2 keep (seeding)",IF(I123&gt;=G123,"P2 hero - scale",IF(AND(B123="0→1 validate",F123&lt;50),"Learning - hold until ~50 conversions",IF(I123&gt;=G123*0.7,"P1 watch","P0 fix opening")))))))</f>
        <v/>
      </c>
    </row>
    <row r="124">
      <c r="D124" s="3" t="n"/>
      <c r="E124" s="3" t="n"/>
      <c r="G124" s="4" t="n"/>
      <c r="H124" s="3" t="n"/>
      <c r="I124" s="5">
        <f>IF(A124="","",IFERROR(E124/D124,0))</f>
        <v/>
      </c>
      <c r="J124" s="6">
        <f>IF(A124="","",IFERROR(E124/G124,0)-D124)</f>
        <v/>
      </c>
      <c r="K124" s="7">
        <f>IF(A124="","",IF(D124&gt;0,"Yes","No spend"))</f>
        <v/>
      </c>
      <c r="L124" s="7">
        <f>IF(A124="","",IF(D124=0,"Check target/activation",IF(AND(H124&gt;0,J124&lt;=0-H124),"Stop-loss hit - pause; fix creative/offer",IF(C124="Seed","P2 keep (seeding)",IF(I124&gt;=G124,"P2 hero - scale",IF(AND(B124="0→1 validate",F124&lt;50),"Learning - hold until ~50 conversions",IF(I124&gt;=G124*0.7,"P1 watch","P0 fix opening")))))))</f>
        <v/>
      </c>
    </row>
    <row r="125">
      <c r="D125" s="3" t="n"/>
      <c r="E125" s="3" t="n"/>
      <c r="G125" s="4" t="n"/>
      <c r="H125" s="3" t="n"/>
      <c r="I125" s="5">
        <f>IF(A125="","",IFERROR(E125/D125,0))</f>
        <v/>
      </c>
      <c r="J125" s="6">
        <f>IF(A125="","",IFERROR(E125/G125,0)-D125)</f>
        <v/>
      </c>
      <c r="K125" s="7">
        <f>IF(A125="","",IF(D125&gt;0,"Yes","No spend"))</f>
        <v/>
      </c>
      <c r="L125" s="7">
        <f>IF(A125="","",IF(D125=0,"Check target/activation",IF(AND(H125&gt;0,J125&lt;=0-H125),"Stop-loss hit - pause; fix creative/offer",IF(C125="Seed","P2 keep (seeding)",IF(I125&gt;=G125,"P2 hero - scale",IF(AND(B125="0→1 validate",F125&lt;50),"Learning - hold until ~50 conversions",IF(I125&gt;=G125*0.7,"P1 watch","P0 fix opening")))))))</f>
        <v/>
      </c>
    </row>
    <row r="126">
      <c r="D126" s="3" t="n"/>
      <c r="E126" s="3" t="n"/>
      <c r="G126" s="4" t="n"/>
      <c r="H126" s="3" t="n"/>
      <c r="I126" s="5">
        <f>IF(A126="","",IFERROR(E126/D126,0))</f>
        <v/>
      </c>
      <c r="J126" s="6">
        <f>IF(A126="","",IFERROR(E126/G126,0)-D126)</f>
        <v/>
      </c>
      <c r="K126" s="7">
        <f>IF(A126="","",IF(D126&gt;0,"Yes","No spend"))</f>
        <v/>
      </c>
      <c r="L126" s="7">
        <f>IF(A126="","",IF(D126=0,"Check target/activation",IF(AND(H126&gt;0,J126&lt;=0-H126),"Stop-loss hit - pause; fix creative/offer",IF(C126="Seed","P2 keep (seeding)",IF(I126&gt;=G126,"P2 hero - scale",IF(AND(B126="0→1 validate",F126&lt;50),"Learning - hold until ~50 conversions",IF(I126&gt;=G126*0.7,"P1 watch","P0 fix opening")))))))</f>
        <v/>
      </c>
    </row>
    <row r="127">
      <c r="D127" s="3" t="n"/>
      <c r="E127" s="3" t="n"/>
      <c r="G127" s="4" t="n"/>
      <c r="H127" s="3" t="n"/>
      <c r="I127" s="5">
        <f>IF(A127="","",IFERROR(E127/D127,0))</f>
        <v/>
      </c>
      <c r="J127" s="6">
        <f>IF(A127="","",IFERROR(E127/G127,0)-D127)</f>
        <v/>
      </c>
      <c r="K127" s="7">
        <f>IF(A127="","",IF(D127&gt;0,"Yes","No spend"))</f>
        <v/>
      </c>
      <c r="L127" s="7">
        <f>IF(A127="","",IF(D127=0,"Check target/activation",IF(AND(H127&gt;0,J127&lt;=0-H127),"Stop-loss hit - pause; fix creative/offer",IF(C127="Seed","P2 keep (seeding)",IF(I127&gt;=G127,"P2 hero - scale",IF(AND(B127="0→1 validate",F127&lt;50),"Learning - hold until ~50 conversions",IF(I127&gt;=G127*0.7,"P1 watch","P0 fix opening")))))))</f>
        <v/>
      </c>
    </row>
    <row r="128">
      <c r="D128" s="3" t="n"/>
      <c r="E128" s="3" t="n"/>
      <c r="G128" s="4" t="n"/>
      <c r="H128" s="3" t="n"/>
      <c r="I128" s="5">
        <f>IF(A128="","",IFERROR(E128/D128,0))</f>
        <v/>
      </c>
      <c r="J128" s="6">
        <f>IF(A128="","",IFERROR(E128/G128,0)-D128)</f>
        <v/>
      </c>
      <c r="K128" s="7">
        <f>IF(A128="","",IF(D128&gt;0,"Yes","No spend"))</f>
        <v/>
      </c>
      <c r="L128" s="7">
        <f>IF(A128="","",IF(D128=0,"Check target/activation",IF(AND(H128&gt;0,J128&lt;=0-H128),"Stop-loss hit - pause; fix creative/offer",IF(C128="Seed","P2 keep (seeding)",IF(I128&gt;=G128,"P2 hero - scale",IF(AND(B128="0→1 validate",F128&lt;50),"Learning - hold until ~50 conversions",IF(I128&gt;=G128*0.7,"P1 watch","P0 fix opening")))))))</f>
        <v/>
      </c>
    </row>
    <row r="129">
      <c r="D129" s="3" t="n"/>
      <c r="E129" s="3" t="n"/>
      <c r="G129" s="4" t="n"/>
      <c r="H129" s="3" t="n"/>
      <c r="I129" s="5">
        <f>IF(A129="","",IFERROR(E129/D129,0))</f>
        <v/>
      </c>
      <c r="J129" s="6">
        <f>IF(A129="","",IFERROR(E129/G129,0)-D129)</f>
        <v/>
      </c>
      <c r="K129" s="7">
        <f>IF(A129="","",IF(D129&gt;0,"Yes","No spend"))</f>
        <v/>
      </c>
      <c r="L129" s="7">
        <f>IF(A129="","",IF(D129=0,"Check target/activation",IF(AND(H129&gt;0,J129&lt;=0-H129),"Stop-loss hit - pause; fix creative/offer",IF(C129="Seed","P2 keep (seeding)",IF(I129&gt;=G129,"P2 hero - scale",IF(AND(B129="0→1 validate",F129&lt;50),"Learning - hold until ~50 conversions",IF(I129&gt;=G129*0.7,"P1 watch","P0 fix opening")))))))</f>
        <v/>
      </c>
    </row>
    <row r="130">
      <c r="D130" s="3" t="n"/>
      <c r="E130" s="3" t="n"/>
      <c r="G130" s="4" t="n"/>
      <c r="H130" s="3" t="n"/>
      <c r="I130" s="5">
        <f>IF(A130="","",IFERROR(E130/D130,0))</f>
        <v/>
      </c>
      <c r="J130" s="6">
        <f>IF(A130="","",IFERROR(E130/G130,0)-D130)</f>
        <v/>
      </c>
      <c r="K130" s="7">
        <f>IF(A130="","",IF(D130&gt;0,"Yes","No spend"))</f>
        <v/>
      </c>
      <c r="L130" s="7">
        <f>IF(A130="","",IF(D130=0,"Check target/activation",IF(AND(H130&gt;0,J130&lt;=0-H130),"Stop-loss hit - pause; fix creative/offer",IF(C130="Seed","P2 keep (seeding)",IF(I130&gt;=G130,"P2 hero - scale",IF(AND(B130="0→1 validate",F130&lt;50),"Learning - hold until ~50 conversions",IF(I130&gt;=G130*0.7,"P1 watch","P0 fix opening")))))))</f>
        <v/>
      </c>
    </row>
    <row r="131">
      <c r="D131" s="3" t="n"/>
      <c r="E131" s="3" t="n"/>
      <c r="G131" s="4" t="n"/>
      <c r="H131" s="3" t="n"/>
      <c r="I131" s="5">
        <f>IF(A131="","",IFERROR(E131/D131,0))</f>
        <v/>
      </c>
      <c r="J131" s="6">
        <f>IF(A131="","",IFERROR(E131/G131,0)-D131)</f>
        <v/>
      </c>
      <c r="K131" s="7">
        <f>IF(A131="","",IF(D131&gt;0,"Yes","No spend"))</f>
        <v/>
      </c>
      <c r="L131" s="7">
        <f>IF(A131="","",IF(D131=0,"Check target/activation",IF(AND(H131&gt;0,J131&lt;=0-H131),"Stop-loss hit - pause; fix creative/offer",IF(C131="Seed","P2 keep (seeding)",IF(I131&gt;=G131,"P2 hero - scale",IF(AND(B131="0→1 validate",F131&lt;50),"Learning - hold until ~50 conversions",IF(I131&gt;=G131*0.7,"P1 watch","P0 fix opening")))))))</f>
        <v/>
      </c>
    </row>
    <row r="132">
      <c r="D132" s="3" t="n"/>
      <c r="E132" s="3" t="n"/>
      <c r="G132" s="4" t="n"/>
      <c r="H132" s="3" t="n"/>
      <c r="I132" s="5">
        <f>IF(A132="","",IFERROR(E132/D132,0))</f>
        <v/>
      </c>
      <c r="J132" s="6">
        <f>IF(A132="","",IFERROR(E132/G132,0)-D132)</f>
        <v/>
      </c>
      <c r="K132" s="7">
        <f>IF(A132="","",IF(D132&gt;0,"Yes","No spend"))</f>
        <v/>
      </c>
      <c r="L132" s="7">
        <f>IF(A132="","",IF(D132=0,"Check target/activation",IF(AND(H132&gt;0,J132&lt;=0-H132),"Stop-loss hit - pause; fix creative/offer",IF(C132="Seed","P2 keep (seeding)",IF(I132&gt;=G132,"P2 hero - scale",IF(AND(B132="0→1 validate",F132&lt;50),"Learning - hold until ~50 conversions",IF(I132&gt;=G132*0.7,"P1 watch","P0 fix opening")))))))</f>
        <v/>
      </c>
    </row>
    <row r="133">
      <c r="D133" s="3" t="n"/>
      <c r="E133" s="3" t="n"/>
      <c r="G133" s="4" t="n"/>
      <c r="H133" s="3" t="n"/>
      <c r="I133" s="5">
        <f>IF(A133="","",IFERROR(E133/D133,0))</f>
        <v/>
      </c>
      <c r="J133" s="6">
        <f>IF(A133="","",IFERROR(E133/G133,0)-D133)</f>
        <v/>
      </c>
      <c r="K133" s="7">
        <f>IF(A133="","",IF(D133&gt;0,"Yes","No spend"))</f>
        <v/>
      </c>
      <c r="L133" s="7">
        <f>IF(A133="","",IF(D133=0,"Check target/activation",IF(AND(H133&gt;0,J133&lt;=0-H133),"Stop-loss hit - pause; fix creative/offer",IF(C133="Seed","P2 keep (seeding)",IF(I133&gt;=G133,"P2 hero - scale",IF(AND(B133="0→1 validate",F133&lt;50),"Learning - hold until ~50 conversions",IF(I133&gt;=G133*0.7,"P1 watch","P0 fix opening")))))))</f>
        <v/>
      </c>
    </row>
    <row r="134">
      <c r="D134" s="3" t="n"/>
      <c r="E134" s="3" t="n"/>
      <c r="G134" s="4" t="n"/>
      <c r="H134" s="3" t="n"/>
      <c r="I134" s="5">
        <f>IF(A134="","",IFERROR(E134/D134,0))</f>
        <v/>
      </c>
      <c r="J134" s="6">
        <f>IF(A134="","",IFERROR(E134/G134,0)-D134)</f>
        <v/>
      </c>
      <c r="K134" s="7">
        <f>IF(A134="","",IF(D134&gt;0,"Yes","No spend"))</f>
        <v/>
      </c>
      <c r="L134" s="7">
        <f>IF(A134="","",IF(D134=0,"Check target/activation",IF(AND(H134&gt;0,J134&lt;=0-H134),"Stop-loss hit - pause; fix creative/offer",IF(C134="Seed","P2 keep (seeding)",IF(I134&gt;=G134,"P2 hero - scale",IF(AND(B134="0→1 validate",F134&lt;50),"Learning - hold until ~50 conversions",IF(I134&gt;=G134*0.7,"P1 watch","P0 fix opening")))))))</f>
        <v/>
      </c>
    </row>
    <row r="135">
      <c r="D135" s="3" t="n"/>
      <c r="E135" s="3" t="n"/>
      <c r="G135" s="4" t="n"/>
      <c r="H135" s="3" t="n"/>
      <c r="I135" s="5">
        <f>IF(A135="","",IFERROR(E135/D135,0))</f>
        <v/>
      </c>
      <c r="J135" s="6">
        <f>IF(A135="","",IFERROR(E135/G135,0)-D135)</f>
        <v/>
      </c>
      <c r="K135" s="7">
        <f>IF(A135="","",IF(D135&gt;0,"Yes","No spend"))</f>
        <v/>
      </c>
      <c r="L135" s="7">
        <f>IF(A135="","",IF(D135=0,"Check target/activation",IF(AND(H135&gt;0,J135&lt;=0-H135),"Stop-loss hit - pause; fix creative/offer",IF(C135="Seed","P2 keep (seeding)",IF(I135&gt;=G135,"P2 hero - scale",IF(AND(B135="0→1 validate",F135&lt;50),"Learning - hold until ~50 conversions",IF(I135&gt;=G135*0.7,"P1 watch","P0 fix opening")))))))</f>
        <v/>
      </c>
    </row>
    <row r="136">
      <c r="D136" s="3" t="n"/>
      <c r="E136" s="3" t="n"/>
      <c r="G136" s="4" t="n"/>
      <c r="H136" s="3" t="n"/>
      <c r="I136" s="5">
        <f>IF(A136="","",IFERROR(E136/D136,0))</f>
        <v/>
      </c>
      <c r="J136" s="6">
        <f>IF(A136="","",IFERROR(E136/G136,0)-D136)</f>
        <v/>
      </c>
      <c r="K136" s="7">
        <f>IF(A136="","",IF(D136&gt;0,"Yes","No spend"))</f>
        <v/>
      </c>
      <c r="L136" s="7">
        <f>IF(A136="","",IF(D136=0,"Check target/activation",IF(AND(H136&gt;0,J136&lt;=0-H136),"Stop-loss hit - pause; fix creative/offer",IF(C136="Seed","P2 keep (seeding)",IF(I136&gt;=G136,"P2 hero - scale",IF(AND(B136="0→1 validate",F136&lt;50),"Learning - hold until ~50 conversions",IF(I136&gt;=G136*0.7,"P1 watch","P0 fix opening")))))))</f>
        <v/>
      </c>
    </row>
    <row r="137">
      <c r="D137" s="3" t="n"/>
      <c r="E137" s="3" t="n"/>
      <c r="G137" s="4" t="n"/>
      <c r="H137" s="3" t="n"/>
      <c r="I137" s="5">
        <f>IF(A137="","",IFERROR(E137/D137,0))</f>
        <v/>
      </c>
      <c r="J137" s="6">
        <f>IF(A137="","",IFERROR(E137/G137,0)-D137)</f>
        <v/>
      </c>
      <c r="K137" s="7">
        <f>IF(A137="","",IF(D137&gt;0,"Yes","No spend"))</f>
        <v/>
      </c>
      <c r="L137" s="7">
        <f>IF(A137="","",IF(D137=0,"Check target/activation",IF(AND(H137&gt;0,J137&lt;=0-H137),"Stop-loss hit - pause; fix creative/offer",IF(C137="Seed","P2 keep (seeding)",IF(I137&gt;=G137,"P2 hero - scale",IF(AND(B137="0→1 validate",F137&lt;50),"Learning - hold until ~50 conversions",IF(I137&gt;=G137*0.7,"P1 watch","P0 fix opening")))))))</f>
        <v/>
      </c>
    </row>
    <row r="138">
      <c r="D138" s="3" t="n"/>
      <c r="E138" s="3" t="n"/>
      <c r="G138" s="4" t="n"/>
      <c r="H138" s="3" t="n"/>
      <c r="I138" s="5">
        <f>IF(A138="","",IFERROR(E138/D138,0))</f>
        <v/>
      </c>
      <c r="J138" s="6">
        <f>IF(A138="","",IFERROR(E138/G138,0)-D138)</f>
        <v/>
      </c>
      <c r="K138" s="7">
        <f>IF(A138="","",IF(D138&gt;0,"Yes","No spend"))</f>
        <v/>
      </c>
      <c r="L138" s="7">
        <f>IF(A138="","",IF(D138=0,"Check target/activation",IF(AND(H138&gt;0,J138&lt;=0-H138),"Stop-loss hit - pause; fix creative/offer",IF(C138="Seed","P2 keep (seeding)",IF(I138&gt;=G138,"P2 hero - scale",IF(AND(B138="0→1 validate",F138&lt;50),"Learning - hold until ~50 conversions",IF(I138&gt;=G138*0.7,"P1 watch","P0 fix opening")))))))</f>
        <v/>
      </c>
    </row>
    <row r="139">
      <c r="D139" s="3" t="n"/>
      <c r="E139" s="3" t="n"/>
      <c r="G139" s="4" t="n"/>
      <c r="H139" s="3" t="n"/>
      <c r="I139" s="5">
        <f>IF(A139="","",IFERROR(E139/D139,0))</f>
        <v/>
      </c>
      <c r="J139" s="6">
        <f>IF(A139="","",IFERROR(E139/G139,0)-D139)</f>
        <v/>
      </c>
      <c r="K139" s="7">
        <f>IF(A139="","",IF(D139&gt;0,"Yes","No spend"))</f>
        <v/>
      </c>
      <c r="L139" s="7">
        <f>IF(A139="","",IF(D139=0,"Check target/activation",IF(AND(H139&gt;0,J139&lt;=0-H139),"Stop-loss hit - pause; fix creative/offer",IF(C139="Seed","P2 keep (seeding)",IF(I139&gt;=G139,"P2 hero - scale",IF(AND(B139="0→1 validate",F139&lt;50),"Learning - hold until ~50 conversions",IF(I139&gt;=G139*0.7,"P1 watch","P0 fix opening")))))))</f>
        <v/>
      </c>
    </row>
    <row r="140">
      <c r="D140" s="3" t="n"/>
      <c r="E140" s="3" t="n"/>
      <c r="G140" s="4" t="n"/>
      <c r="H140" s="3" t="n"/>
      <c r="I140" s="5">
        <f>IF(A140="","",IFERROR(E140/D140,0))</f>
        <v/>
      </c>
      <c r="J140" s="6">
        <f>IF(A140="","",IFERROR(E140/G140,0)-D140)</f>
        <v/>
      </c>
      <c r="K140" s="7">
        <f>IF(A140="","",IF(D140&gt;0,"Yes","No spend"))</f>
        <v/>
      </c>
      <c r="L140" s="7">
        <f>IF(A140="","",IF(D140=0,"Check target/activation",IF(AND(H140&gt;0,J140&lt;=0-H140),"Stop-loss hit - pause; fix creative/offer",IF(C140="Seed","P2 keep (seeding)",IF(I140&gt;=G140,"P2 hero - scale",IF(AND(B140="0→1 validate",F140&lt;50),"Learning - hold until ~50 conversions",IF(I140&gt;=G140*0.7,"P1 watch","P0 fix opening")))))))</f>
        <v/>
      </c>
    </row>
    <row r="141">
      <c r="D141" s="3" t="n"/>
      <c r="E141" s="3" t="n"/>
      <c r="G141" s="4" t="n"/>
      <c r="H141" s="3" t="n"/>
      <c r="I141" s="5">
        <f>IF(A141="","",IFERROR(E141/D141,0))</f>
        <v/>
      </c>
      <c r="J141" s="6">
        <f>IF(A141="","",IFERROR(E141/G141,0)-D141)</f>
        <v/>
      </c>
      <c r="K141" s="7">
        <f>IF(A141="","",IF(D141&gt;0,"Yes","No spend"))</f>
        <v/>
      </c>
      <c r="L141" s="7">
        <f>IF(A141="","",IF(D141=0,"Check target/activation",IF(AND(H141&gt;0,J141&lt;=0-H141),"Stop-loss hit - pause; fix creative/offer",IF(C141="Seed","P2 keep (seeding)",IF(I141&gt;=G141,"P2 hero - scale",IF(AND(B141="0→1 validate",F141&lt;50),"Learning - hold until ~50 conversions",IF(I141&gt;=G141*0.7,"P1 watch","P0 fix opening")))))))</f>
        <v/>
      </c>
    </row>
    <row r="142">
      <c r="D142" s="3" t="n"/>
      <c r="E142" s="3" t="n"/>
      <c r="G142" s="4" t="n"/>
      <c r="H142" s="3" t="n"/>
      <c r="I142" s="5">
        <f>IF(A142="","",IFERROR(E142/D142,0))</f>
        <v/>
      </c>
      <c r="J142" s="6">
        <f>IF(A142="","",IFERROR(E142/G142,0)-D142)</f>
        <v/>
      </c>
      <c r="K142" s="7">
        <f>IF(A142="","",IF(D142&gt;0,"Yes","No spend"))</f>
        <v/>
      </c>
      <c r="L142" s="7">
        <f>IF(A142="","",IF(D142=0,"Check target/activation",IF(AND(H142&gt;0,J142&lt;=0-H142),"Stop-loss hit - pause; fix creative/offer",IF(C142="Seed","P2 keep (seeding)",IF(I142&gt;=G142,"P2 hero - scale",IF(AND(B142="0→1 validate",F142&lt;50),"Learning - hold until ~50 conversions",IF(I142&gt;=G142*0.7,"P1 watch","P0 fix opening")))))))</f>
        <v/>
      </c>
    </row>
    <row r="143">
      <c r="D143" s="3" t="n"/>
      <c r="E143" s="3" t="n"/>
      <c r="G143" s="4" t="n"/>
      <c r="H143" s="3" t="n"/>
      <c r="I143" s="5">
        <f>IF(A143="","",IFERROR(E143/D143,0))</f>
        <v/>
      </c>
      <c r="J143" s="6">
        <f>IF(A143="","",IFERROR(E143/G143,0)-D143)</f>
        <v/>
      </c>
      <c r="K143" s="7">
        <f>IF(A143="","",IF(D143&gt;0,"Yes","No spend"))</f>
        <v/>
      </c>
      <c r="L143" s="7">
        <f>IF(A143="","",IF(D143=0,"Check target/activation",IF(AND(H143&gt;0,J143&lt;=0-H143),"Stop-loss hit - pause; fix creative/offer",IF(C143="Seed","P2 keep (seeding)",IF(I143&gt;=G143,"P2 hero - scale",IF(AND(B143="0→1 validate",F143&lt;50),"Learning - hold until ~50 conversions",IF(I143&gt;=G143*0.7,"P1 watch","P0 fix opening")))))))</f>
        <v/>
      </c>
    </row>
    <row r="144">
      <c r="D144" s="3" t="n"/>
      <c r="E144" s="3" t="n"/>
      <c r="G144" s="4" t="n"/>
      <c r="H144" s="3" t="n"/>
      <c r="I144" s="5">
        <f>IF(A144="","",IFERROR(E144/D144,0))</f>
        <v/>
      </c>
      <c r="J144" s="6">
        <f>IF(A144="","",IFERROR(E144/G144,0)-D144)</f>
        <v/>
      </c>
      <c r="K144" s="7">
        <f>IF(A144="","",IF(D144&gt;0,"Yes","No spend"))</f>
        <v/>
      </c>
      <c r="L144" s="7">
        <f>IF(A144="","",IF(D144=0,"Check target/activation",IF(AND(H144&gt;0,J144&lt;=0-H144),"Stop-loss hit - pause; fix creative/offer",IF(C144="Seed","P2 keep (seeding)",IF(I144&gt;=G144,"P2 hero - scale",IF(AND(B144="0→1 validate",F144&lt;50),"Learning - hold until ~50 conversions",IF(I144&gt;=G144*0.7,"P1 watch","P0 fix opening")))))))</f>
        <v/>
      </c>
    </row>
    <row r="145">
      <c r="D145" s="3" t="n"/>
      <c r="E145" s="3" t="n"/>
      <c r="G145" s="4" t="n"/>
      <c r="H145" s="3" t="n"/>
      <c r="I145" s="5">
        <f>IF(A145="","",IFERROR(E145/D145,0))</f>
        <v/>
      </c>
      <c r="J145" s="6">
        <f>IF(A145="","",IFERROR(E145/G145,0)-D145)</f>
        <v/>
      </c>
      <c r="K145" s="7">
        <f>IF(A145="","",IF(D145&gt;0,"Yes","No spend"))</f>
        <v/>
      </c>
      <c r="L145" s="7">
        <f>IF(A145="","",IF(D145=0,"Check target/activation",IF(AND(H145&gt;0,J145&lt;=0-H145),"Stop-loss hit - pause; fix creative/offer",IF(C145="Seed","P2 keep (seeding)",IF(I145&gt;=G145,"P2 hero - scale",IF(AND(B145="0→1 validate",F145&lt;50),"Learning - hold until ~50 conversions",IF(I145&gt;=G145*0.7,"P1 watch","P0 fix opening")))))))</f>
        <v/>
      </c>
    </row>
    <row r="146">
      <c r="D146" s="3" t="n"/>
      <c r="E146" s="3" t="n"/>
      <c r="G146" s="4" t="n"/>
      <c r="H146" s="3" t="n"/>
      <c r="I146" s="5">
        <f>IF(A146="","",IFERROR(E146/D146,0))</f>
        <v/>
      </c>
      <c r="J146" s="6">
        <f>IF(A146="","",IFERROR(E146/G146,0)-D146)</f>
        <v/>
      </c>
      <c r="K146" s="7">
        <f>IF(A146="","",IF(D146&gt;0,"Yes","No spend"))</f>
        <v/>
      </c>
      <c r="L146" s="7">
        <f>IF(A146="","",IF(D146=0,"Check target/activation",IF(AND(H146&gt;0,J146&lt;=0-H146),"Stop-loss hit - pause; fix creative/offer",IF(C146="Seed","P2 keep (seeding)",IF(I146&gt;=G146,"P2 hero - scale",IF(AND(B146="0→1 validate",F146&lt;50),"Learning - hold until ~50 conversions",IF(I146&gt;=G146*0.7,"P1 watch","P0 fix opening")))))))</f>
        <v/>
      </c>
    </row>
    <row r="147">
      <c r="D147" s="3" t="n"/>
      <c r="E147" s="3" t="n"/>
      <c r="G147" s="4" t="n"/>
      <c r="H147" s="3" t="n"/>
      <c r="I147" s="5">
        <f>IF(A147="","",IFERROR(E147/D147,0))</f>
        <v/>
      </c>
      <c r="J147" s="6">
        <f>IF(A147="","",IFERROR(E147/G147,0)-D147)</f>
        <v/>
      </c>
      <c r="K147" s="7">
        <f>IF(A147="","",IF(D147&gt;0,"Yes","No spend"))</f>
        <v/>
      </c>
      <c r="L147" s="7">
        <f>IF(A147="","",IF(D147=0,"Check target/activation",IF(AND(H147&gt;0,J147&lt;=0-H147),"Stop-loss hit - pause; fix creative/offer",IF(C147="Seed","P2 keep (seeding)",IF(I147&gt;=G147,"P2 hero - scale",IF(AND(B147="0→1 validate",F147&lt;50),"Learning - hold until ~50 conversions",IF(I147&gt;=G147*0.7,"P1 watch","P0 fix opening")))))))</f>
        <v/>
      </c>
    </row>
    <row r="148">
      <c r="D148" s="3" t="n"/>
      <c r="E148" s="3" t="n"/>
      <c r="G148" s="4" t="n"/>
      <c r="H148" s="3" t="n"/>
      <c r="I148" s="5">
        <f>IF(A148="","",IFERROR(E148/D148,0))</f>
        <v/>
      </c>
      <c r="J148" s="6">
        <f>IF(A148="","",IFERROR(E148/G148,0)-D148)</f>
        <v/>
      </c>
      <c r="K148" s="7">
        <f>IF(A148="","",IF(D148&gt;0,"Yes","No spend"))</f>
        <v/>
      </c>
      <c r="L148" s="7">
        <f>IF(A148="","",IF(D148=0,"Check target/activation",IF(AND(H148&gt;0,J148&lt;=0-H148),"Stop-loss hit - pause; fix creative/offer",IF(C148="Seed","P2 keep (seeding)",IF(I148&gt;=G148,"P2 hero - scale",IF(AND(B148="0→1 validate",F148&lt;50),"Learning - hold until ~50 conversions",IF(I148&gt;=G148*0.7,"P1 watch","P0 fix opening")))))))</f>
        <v/>
      </c>
    </row>
    <row r="149">
      <c r="D149" s="3" t="n"/>
      <c r="E149" s="3" t="n"/>
      <c r="G149" s="4" t="n"/>
      <c r="H149" s="3" t="n"/>
      <c r="I149" s="5">
        <f>IF(A149="","",IFERROR(E149/D149,0))</f>
        <v/>
      </c>
      <c r="J149" s="6">
        <f>IF(A149="","",IFERROR(E149/G149,0)-D149)</f>
        <v/>
      </c>
      <c r="K149" s="7">
        <f>IF(A149="","",IF(D149&gt;0,"Yes","No spend"))</f>
        <v/>
      </c>
      <c r="L149" s="7">
        <f>IF(A149="","",IF(D149=0,"Check target/activation",IF(AND(H149&gt;0,J149&lt;=0-H149),"Stop-loss hit - pause; fix creative/offer",IF(C149="Seed","P2 keep (seeding)",IF(I149&gt;=G149,"P2 hero - scale",IF(AND(B149="0→1 validate",F149&lt;50),"Learning - hold until ~50 conversions",IF(I149&gt;=G149*0.7,"P1 watch","P0 fix opening")))))))</f>
        <v/>
      </c>
    </row>
    <row r="150">
      <c r="D150" s="3" t="n"/>
      <c r="E150" s="3" t="n"/>
      <c r="G150" s="4" t="n"/>
      <c r="H150" s="3" t="n"/>
      <c r="I150" s="5">
        <f>IF(A150="","",IFERROR(E150/D150,0))</f>
        <v/>
      </c>
      <c r="J150" s="6">
        <f>IF(A150="","",IFERROR(E150/G150,0)-D150)</f>
        <v/>
      </c>
      <c r="K150" s="7">
        <f>IF(A150="","",IF(D150&gt;0,"Yes","No spend"))</f>
        <v/>
      </c>
      <c r="L150" s="7">
        <f>IF(A150="","",IF(D150=0,"Check target/activation",IF(AND(H150&gt;0,J150&lt;=0-H150),"Stop-loss hit - pause; fix creative/offer",IF(C150="Seed","P2 keep (seeding)",IF(I150&gt;=G150,"P2 hero - scale",IF(AND(B150="0→1 validate",F150&lt;50),"Learning - hold until ~50 conversions",IF(I150&gt;=G150*0.7,"P1 watch","P0 fix opening")))))))</f>
        <v/>
      </c>
    </row>
    <row r="151">
      <c r="D151" s="3" t="n"/>
      <c r="E151" s="3" t="n"/>
      <c r="G151" s="4" t="n"/>
      <c r="H151" s="3" t="n"/>
      <c r="I151" s="5">
        <f>IF(A151="","",IFERROR(E151/D151,0))</f>
        <v/>
      </c>
      <c r="J151" s="6">
        <f>IF(A151="","",IFERROR(E151/G151,0)-D151)</f>
        <v/>
      </c>
      <c r="K151" s="7">
        <f>IF(A151="","",IF(D151&gt;0,"Yes","No spend"))</f>
        <v/>
      </c>
      <c r="L151" s="7">
        <f>IF(A151="","",IF(D151=0,"Check target/activation",IF(AND(H151&gt;0,J151&lt;=0-H151),"Stop-loss hit - pause; fix creative/offer",IF(C151="Seed","P2 keep (seeding)",IF(I151&gt;=G151,"P2 hero - scale",IF(AND(B151="0→1 validate",F151&lt;50),"Learning - hold until ~50 conversions",IF(I151&gt;=G151*0.7,"P1 watch","P0 fix opening")))))))</f>
        <v/>
      </c>
    </row>
    <row r="152">
      <c r="D152" s="3" t="n"/>
      <c r="E152" s="3" t="n"/>
      <c r="G152" s="4" t="n"/>
      <c r="H152" s="3" t="n"/>
      <c r="I152" s="5">
        <f>IF(A152="","",IFERROR(E152/D152,0))</f>
        <v/>
      </c>
      <c r="J152" s="6">
        <f>IF(A152="","",IFERROR(E152/G152,0)-D152)</f>
        <v/>
      </c>
      <c r="K152" s="7">
        <f>IF(A152="","",IF(D152&gt;0,"Yes","No spend"))</f>
        <v/>
      </c>
      <c r="L152" s="7">
        <f>IF(A152="","",IF(D152=0,"Check target/activation",IF(AND(H152&gt;0,J152&lt;=0-H152),"Stop-loss hit - pause; fix creative/offer",IF(C152="Seed","P2 keep (seeding)",IF(I152&gt;=G152,"P2 hero - scale",IF(AND(B152="0→1 validate",F152&lt;50),"Learning - hold until ~50 conversions",IF(I152&gt;=G152*0.7,"P1 watch","P0 fix opening")))))))</f>
        <v/>
      </c>
    </row>
    <row r="153">
      <c r="D153" s="3" t="n"/>
      <c r="E153" s="3" t="n"/>
      <c r="G153" s="4" t="n"/>
      <c r="H153" s="3" t="n"/>
      <c r="I153" s="5">
        <f>IF(A153="","",IFERROR(E153/D153,0))</f>
        <v/>
      </c>
      <c r="J153" s="6">
        <f>IF(A153="","",IFERROR(E153/G153,0)-D153)</f>
        <v/>
      </c>
      <c r="K153" s="7">
        <f>IF(A153="","",IF(D153&gt;0,"Yes","No spend"))</f>
        <v/>
      </c>
      <c r="L153" s="7">
        <f>IF(A153="","",IF(D153=0,"Check target/activation",IF(AND(H153&gt;0,J153&lt;=0-H153),"Stop-loss hit - pause; fix creative/offer",IF(C153="Seed","P2 keep (seeding)",IF(I153&gt;=G153,"P2 hero - scale",IF(AND(B153="0→1 validate",F153&lt;50),"Learning - hold until ~50 conversions",IF(I153&gt;=G153*0.7,"P1 watch","P0 fix opening")))))))</f>
        <v/>
      </c>
    </row>
    <row r="154">
      <c r="D154" s="3" t="n"/>
      <c r="E154" s="3" t="n"/>
      <c r="G154" s="4" t="n"/>
      <c r="H154" s="3" t="n"/>
      <c r="I154" s="5">
        <f>IF(A154="","",IFERROR(E154/D154,0))</f>
        <v/>
      </c>
      <c r="J154" s="6">
        <f>IF(A154="","",IFERROR(E154/G154,0)-D154)</f>
        <v/>
      </c>
      <c r="K154" s="7">
        <f>IF(A154="","",IF(D154&gt;0,"Yes","No spend"))</f>
        <v/>
      </c>
      <c r="L154" s="7">
        <f>IF(A154="","",IF(D154=0,"Check target/activation",IF(AND(H154&gt;0,J154&lt;=0-H154),"Stop-loss hit - pause; fix creative/offer",IF(C154="Seed","P2 keep (seeding)",IF(I154&gt;=G154,"P2 hero - scale",IF(AND(B154="0→1 validate",F154&lt;50),"Learning - hold until ~50 conversions",IF(I154&gt;=G154*0.7,"P1 watch","P0 fix opening")))))))</f>
        <v/>
      </c>
    </row>
    <row r="155">
      <c r="D155" s="3" t="n"/>
      <c r="E155" s="3" t="n"/>
      <c r="G155" s="4" t="n"/>
      <c r="H155" s="3" t="n"/>
      <c r="I155" s="5">
        <f>IF(A155="","",IFERROR(E155/D155,0))</f>
        <v/>
      </c>
      <c r="J155" s="6">
        <f>IF(A155="","",IFERROR(E155/G155,0)-D155)</f>
        <v/>
      </c>
      <c r="K155" s="7">
        <f>IF(A155="","",IF(D155&gt;0,"Yes","No spend"))</f>
        <v/>
      </c>
      <c r="L155" s="7">
        <f>IF(A155="","",IF(D155=0,"Check target/activation",IF(AND(H155&gt;0,J155&lt;=0-H155),"Stop-loss hit - pause; fix creative/offer",IF(C155="Seed","P2 keep (seeding)",IF(I155&gt;=G155,"P2 hero - scale",IF(AND(B155="0→1 validate",F155&lt;50),"Learning - hold until ~50 conversions",IF(I155&gt;=G155*0.7,"P1 watch","P0 fix opening")))))))</f>
        <v/>
      </c>
    </row>
    <row r="156">
      <c r="D156" s="3" t="n"/>
      <c r="E156" s="3" t="n"/>
      <c r="G156" s="4" t="n"/>
      <c r="H156" s="3" t="n"/>
      <c r="I156" s="5">
        <f>IF(A156="","",IFERROR(E156/D156,0))</f>
        <v/>
      </c>
      <c r="J156" s="6">
        <f>IF(A156="","",IFERROR(E156/G156,0)-D156)</f>
        <v/>
      </c>
      <c r="K156" s="7">
        <f>IF(A156="","",IF(D156&gt;0,"Yes","No spend"))</f>
        <v/>
      </c>
      <c r="L156" s="7">
        <f>IF(A156="","",IF(D156=0,"Check target/activation",IF(AND(H156&gt;0,J156&lt;=0-H156),"Stop-loss hit - pause; fix creative/offer",IF(C156="Seed","P2 keep (seeding)",IF(I156&gt;=G156,"P2 hero - scale",IF(AND(B156="0→1 validate",F156&lt;50),"Learning - hold until ~50 conversions",IF(I156&gt;=G156*0.7,"P1 watch","P0 fix opening")))))))</f>
        <v/>
      </c>
    </row>
    <row r="157">
      <c r="D157" s="3" t="n"/>
      <c r="E157" s="3" t="n"/>
      <c r="G157" s="4" t="n"/>
      <c r="H157" s="3" t="n"/>
      <c r="I157" s="5">
        <f>IF(A157="","",IFERROR(E157/D157,0))</f>
        <v/>
      </c>
      <c r="J157" s="6">
        <f>IF(A157="","",IFERROR(E157/G157,0)-D157)</f>
        <v/>
      </c>
      <c r="K157" s="7">
        <f>IF(A157="","",IF(D157&gt;0,"Yes","No spend"))</f>
        <v/>
      </c>
      <c r="L157" s="7">
        <f>IF(A157="","",IF(D157=0,"Check target/activation",IF(AND(H157&gt;0,J157&lt;=0-H157),"Stop-loss hit - pause; fix creative/offer",IF(C157="Seed","P2 keep (seeding)",IF(I157&gt;=G157,"P2 hero - scale",IF(AND(B157="0→1 validate",F157&lt;50),"Learning - hold until ~50 conversions",IF(I157&gt;=G157*0.7,"P1 watch","P0 fix opening")))))))</f>
        <v/>
      </c>
    </row>
    <row r="158">
      <c r="D158" s="3" t="n"/>
      <c r="E158" s="3" t="n"/>
      <c r="G158" s="4" t="n"/>
      <c r="H158" s="3" t="n"/>
      <c r="I158" s="5">
        <f>IF(A158="","",IFERROR(E158/D158,0))</f>
        <v/>
      </c>
      <c r="J158" s="6">
        <f>IF(A158="","",IFERROR(E158/G158,0)-D158)</f>
        <v/>
      </c>
      <c r="K158" s="7">
        <f>IF(A158="","",IF(D158&gt;0,"Yes","No spend"))</f>
        <v/>
      </c>
      <c r="L158" s="7">
        <f>IF(A158="","",IF(D158=0,"Check target/activation",IF(AND(H158&gt;0,J158&lt;=0-H158),"Stop-loss hit - pause; fix creative/offer",IF(C158="Seed","P2 keep (seeding)",IF(I158&gt;=G158,"P2 hero - scale",IF(AND(B158="0→1 validate",F158&lt;50),"Learning - hold until ~50 conversions",IF(I158&gt;=G158*0.7,"P1 watch","P0 fix opening")))))))</f>
        <v/>
      </c>
    </row>
    <row r="159">
      <c r="D159" s="3" t="n"/>
      <c r="E159" s="3" t="n"/>
      <c r="G159" s="4" t="n"/>
      <c r="H159" s="3" t="n"/>
      <c r="I159" s="5">
        <f>IF(A159="","",IFERROR(E159/D159,0))</f>
        <v/>
      </c>
      <c r="J159" s="6">
        <f>IF(A159="","",IFERROR(E159/G159,0)-D159)</f>
        <v/>
      </c>
      <c r="K159" s="7">
        <f>IF(A159="","",IF(D159&gt;0,"Yes","No spend"))</f>
        <v/>
      </c>
      <c r="L159" s="7">
        <f>IF(A159="","",IF(D159=0,"Check target/activation",IF(AND(H159&gt;0,J159&lt;=0-H159),"Stop-loss hit - pause; fix creative/offer",IF(C159="Seed","P2 keep (seeding)",IF(I159&gt;=G159,"P2 hero - scale",IF(AND(B159="0→1 validate",F159&lt;50),"Learning - hold until ~50 conversions",IF(I159&gt;=G159*0.7,"P1 watch","P0 fix opening")))))))</f>
        <v/>
      </c>
    </row>
    <row r="160">
      <c r="D160" s="3" t="n"/>
      <c r="E160" s="3" t="n"/>
      <c r="G160" s="4" t="n"/>
      <c r="H160" s="3" t="n"/>
      <c r="I160" s="5">
        <f>IF(A160="","",IFERROR(E160/D160,0))</f>
        <v/>
      </c>
      <c r="J160" s="6">
        <f>IF(A160="","",IFERROR(E160/G160,0)-D160)</f>
        <v/>
      </c>
      <c r="K160" s="7">
        <f>IF(A160="","",IF(D160&gt;0,"Yes","No spend"))</f>
        <v/>
      </c>
      <c r="L160" s="7">
        <f>IF(A160="","",IF(D160=0,"Check target/activation",IF(AND(H160&gt;0,J160&lt;=0-H160),"Stop-loss hit - pause; fix creative/offer",IF(C160="Seed","P2 keep (seeding)",IF(I160&gt;=G160,"P2 hero - scale",IF(AND(B160="0→1 validate",F160&lt;50),"Learning - hold until ~50 conversions",IF(I160&gt;=G160*0.7,"P1 watch","P0 fix opening")))))))</f>
        <v/>
      </c>
    </row>
    <row r="161">
      <c r="D161" s="3" t="n"/>
      <c r="E161" s="3" t="n"/>
      <c r="G161" s="4" t="n"/>
      <c r="H161" s="3" t="n"/>
      <c r="I161" s="5">
        <f>IF(A161="","",IFERROR(E161/D161,0))</f>
        <v/>
      </c>
      <c r="J161" s="6">
        <f>IF(A161="","",IFERROR(E161/G161,0)-D161)</f>
        <v/>
      </c>
      <c r="K161" s="7">
        <f>IF(A161="","",IF(D161&gt;0,"Yes","No spend"))</f>
        <v/>
      </c>
      <c r="L161" s="7">
        <f>IF(A161="","",IF(D161=0,"Check target/activation",IF(AND(H161&gt;0,J161&lt;=0-H161),"Stop-loss hit - pause; fix creative/offer",IF(C161="Seed","P2 keep (seeding)",IF(I161&gt;=G161,"P2 hero - scale",IF(AND(B161="0→1 validate",F161&lt;50),"Learning - hold until ~50 conversions",IF(I161&gt;=G161*0.7,"P1 watch","P0 fix opening")))))))</f>
        <v/>
      </c>
    </row>
    <row r="162">
      <c r="D162" s="3" t="n"/>
      <c r="E162" s="3" t="n"/>
      <c r="G162" s="4" t="n"/>
      <c r="H162" s="3" t="n"/>
      <c r="I162" s="5">
        <f>IF(A162="","",IFERROR(E162/D162,0))</f>
        <v/>
      </c>
      <c r="J162" s="6">
        <f>IF(A162="","",IFERROR(E162/G162,0)-D162)</f>
        <v/>
      </c>
      <c r="K162" s="7">
        <f>IF(A162="","",IF(D162&gt;0,"Yes","No spend"))</f>
        <v/>
      </c>
      <c r="L162" s="7">
        <f>IF(A162="","",IF(D162=0,"Check target/activation",IF(AND(H162&gt;0,J162&lt;=0-H162),"Stop-loss hit - pause; fix creative/offer",IF(C162="Seed","P2 keep (seeding)",IF(I162&gt;=G162,"P2 hero - scale",IF(AND(B162="0→1 validate",F162&lt;50),"Learning - hold until ~50 conversions",IF(I162&gt;=G162*0.7,"P1 watch","P0 fix opening")))))))</f>
        <v/>
      </c>
    </row>
    <row r="163">
      <c r="D163" s="3" t="n"/>
      <c r="E163" s="3" t="n"/>
      <c r="G163" s="4" t="n"/>
      <c r="H163" s="3" t="n"/>
      <c r="I163" s="5">
        <f>IF(A163="","",IFERROR(E163/D163,0))</f>
        <v/>
      </c>
      <c r="J163" s="6">
        <f>IF(A163="","",IFERROR(E163/G163,0)-D163)</f>
        <v/>
      </c>
      <c r="K163" s="7">
        <f>IF(A163="","",IF(D163&gt;0,"Yes","No spend"))</f>
        <v/>
      </c>
      <c r="L163" s="7">
        <f>IF(A163="","",IF(D163=0,"Check target/activation",IF(AND(H163&gt;0,J163&lt;=0-H163),"Stop-loss hit - pause; fix creative/offer",IF(C163="Seed","P2 keep (seeding)",IF(I163&gt;=G163,"P2 hero - scale",IF(AND(B163="0→1 validate",F163&lt;50),"Learning - hold until ~50 conversions",IF(I163&gt;=G163*0.7,"P1 watch","P0 fix opening")))))))</f>
        <v/>
      </c>
    </row>
    <row r="164">
      <c r="D164" s="3" t="n"/>
      <c r="E164" s="3" t="n"/>
      <c r="G164" s="4" t="n"/>
      <c r="H164" s="3" t="n"/>
      <c r="I164" s="5">
        <f>IF(A164="","",IFERROR(E164/D164,0))</f>
        <v/>
      </c>
      <c r="J164" s="6">
        <f>IF(A164="","",IFERROR(E164/G164,0)-D164)</f>
        <v/>
      </c>
      <c r="K164" s="7">
        <f>IF(A164="","",IF(D164&gt;0,"Yes","No spend"))</f>
        <v/>
      </c>
      <c r="L164" s="7">
        <f>IF(A164="","",IF(D164=0,"Check target/activation",IF(AND(H164&gt;0,J164&lt;=0-H164),"Stop-loss hit - pause; fix creative/offer",IF(C164="Seed","P2 keep (seeding)",IF(I164&gt;=G164,"P2 hero - scale",IF(AND(B164="0→1 validate",F164&lt;50),"Learning - hold until ~50 conversions",IF(I164&gt;=G164*0.7,"P1 watch","P0 fix opening")))))))</f>
        <v/>
      </c>
    </row>
    <row r="165">
      <c r="D165" s="3" t="n"/>
      <c r="E165" s="3" t="n"/>
      <c r="G165" s="4" t="n"/>
      <c r="H165" s="3" t="n"/>
      <c r="I165" s="5">
        <f>IF(A165="","",IFERROR(E165/D165,0))</f>
        <v/>
      </c>
      <c r="J165" s="6">
        <f>IF(A165="","",IFERROR(E165/G165,0)-D165)</f>
        <v/>
      </c>
      <c r="K165" s="7">
        <f>IF(A165="","",IF(D165&gt;0,"Yes","No spend"))</f>
        <v/>
      </c>
      <c r="L165" s="7">
        <f>IF(A165="","",IF(D165=0,"Check target/activation",IF(AND(H165&gt;0,J165&lt;=0-H165),"Stop-loss hit - pause; fix creative/offer",IF(C165="Seed","P2 keep (seeding)",IF(I165&gt;=G165,"P2 hero - scale",IF(AND(B165="0→1 validate",F165&lt;50),"Learning - hold until ~50 conversions",IF(I165&gt;=G165*0.7,"P1 watch","P0 fix opening")))))))</f>
        <v/>
      </c>
    </row>
    <row r="166">
      <c r="D166" s="3" t="n"/>
      <c r="E166" s="3" t="n"/>
      <c r="G166" s="4" t="n"/>
      <c r="H166" s="3" t="n"/>
      <c r="I166" s="5">
        <f>IF(A166="","",IFERROR(E166/D166,0))</f>
        <v/>
      </c>
      <c r="J166" s="6">
        <f>IF(A166="","",IFERROR(E166/G166,0)-D166)</f>
        <v/>
      </c>
      <c r="K166" s="7">
        <f>IF(A166="","",IF(D166&gt;0,"Yes","No spend"))</f>
        <v/>
      </c>
      <c r="L166" s="7">
        <f>IF(A166="","",IF(D166=0,"Check target/activation",IF(AND(H166&gt;0,J166&lt;=0-H166),"Stop-loss hit - pause; fix creative/offer",IF(C166="Seed","P2 keep (seeding)",IF(I166&gt;=G166,"P2 hero - scale",IF(AND(B166="0→1 validate",F166&lt;50),"Learning - hold until ~50 conversions",IF(I166&gt;=G166*0.7,"P1 watch","P0 fix opening")))))))</f>
        <v/>
      </c>
    </row>
    <row r="167">
      <c r="D167" s="3" t="n"/>
      <c r="E167" s="3" t="n"/>
      <c r="G167" s="4" t="n"/>
      <c r="H167" s="3" t="n"/>
      <c r="I167" s="5">
        <f>IF(A167="","",IFERROR(E167/D167,0))</f>
        <v/>
      </c>
      <c r="J167" s="6">
        <f>IF(A167="","",IFERROR(E167/G167,0)-D167)</f>
        <v/>
      </c>
      <c r="K167" s="7">
        <f>IF(A167="","",IF(D167&gt;0,"Yes","No spend"))</f>
        <v/>
      </c>
      <c r="L167" s="7">
        <f>IF(A167="","",IF(D167=0,"Check target/activation",IF(AND(H167&gt;0,J167&lt;=0-H167),"Stop-loss hit - pause; fix creative/offer",IF(C167="Seed","P2 keep (seeding)",IF(I167&gt;=G167,"P2 hero - scale",IF(AND(B167="0→1 validate",F167&lt;50),"Learning - hold until ~50 conversions",IF(I167&gt;=G167*0.7,"P1 watch","P0 fix opening")))))))</f>
        <v/>
      </c>
    </row>
    <row r="168">
      <c r="D168" s="3" t="n"/>
      <c r="E168" s="3" t="n"/>
      <c r="G168" s="4" t="n"/>
      <c r="H168" s="3" t="n"/>
      <c r="I168" s="5">
        <f>IF(A168="","",IFERROR(E168/D168,0))</f>
        <v/>
      </c>
      <c r="J168" s="6">
        <f>IF(A168="","",IFERROR(E168/G168,0)-D168)</f>
        <v/>
      </c>
      <c r="K168" s="7">
        <f>IF(A168="","",IF(D168&gt;0,"Yes","No spend"))</f>
        <v/>
      </c>
      <c r="L168" s="7">
        <f>IF(A168="","",IF(D168=0,"Check target/activation",IF(AND(H168&gt;0,J168&lt;=0-H168),"Stop-loss hit - pause; fix creative/offer",IF(C168="Seed","P2 keep (seeding)",IF(I168&gt;=G168,"P2 hero - scale",IF(AND(B168="0→1 validate",F168&lt;50),"Learning - hold until ~50 conversions",IF(I168&gt;=G168*0.7,"P1 watch","P0 fix opening")))))))</f>
        <v/>
      </c>
    </row>
    <row r="169">
      <c r="D169" s="3" t="n"/>
      <c r="E169" s="3" t="n"/>
      <c r="G169" s="4" t="n"/>
      <c r="H169" s="3" t="n"/>
      <c r="I169" s="5">
        <f>IF(A169="","",IFERROR(E169/D169,0))</f>
        <v/>
      </c>
      <c r="J169" s="6">
        <f>IF(A169="","",IFERROR(E169/G169,0)-D169)</f>
        <v/>
      </c>
      <c r="K169" s="7">
        <f>IF(A169="","",IF(D169&gt;0,"Yes","No spend"))</f>
        <v/>
      </c>
      <c r="L169" s="7">
        <f>IF(A169="","",IF(D169=0,"Check target/activation",IF(AND(H169&gt;0,J169&lt;=0-H169),"Stop-loss hit - pause; fix creative/offer",IF(C169="Seed","P2 keep (seeding)",IF(I169&gt;=G169,"P2 hero - scale",IF(AND(B169="0→1 validate",F169&lt;50),"Learning - hold until ~50 conversions",IF(I169&gt;=G169*0.7,"P1 watch","P0 fix opening")))))))</f>
        <v/>
      </c>
    </row>
    <row r="170">
      <c r="D170" s="3" t="n"/>
      <c r="E170" s="3" t="n"/>
      <c r="G170" s="4" t="n"/>
      <c r="H170" s="3" t="n"/>
      <c r="I170" s="5">
        <f>IF(A170="","",IFERROR(E170/D170,0))</f>
        <v/>
      </c>
      <c r="J170" s="6">
        <f>IF(A170="","",IFERROR(E170/G170,0)-D170)</f>
        <v/>
      </c>
      <c r="K170" s="7">
        <f>IF(A170="","",IF(D170&gt;0,"Yes","No spend"))</f>
        <v/>
      </c>
      <c r="L170" s="7">
        <f>IF(A170="","",IF(D170=0,"Check target/activation",IF(AND(H170&gt;0,J170&lt;=0-H170),"Stop-loss hit - pause; fix creative/offer",IF(C170="Seed","P2 keep (seeding)",IF(I170&gt;=G170,"P2 hero - scale",IF(AND(B170="0→1 validate",F170&lt;50),"Learning - hold until ~50 conversions",IF(I170&gt;=G170*0.7,"P1 watch","P0 fix opening")))))))</f>
        <v/>
      </c>
    </row>
    <row r="171">
      <c r="D171" s="3" t="n"/>
      <c r="E171" s="3" t="n"/>
      <c r="G171" s="4" t="n"/>
      <c r="H171" s="3" t="n"/>
      <c r="I171" s="5">
        <f>IF(A171="","",IFERROR(E171/D171,0))</f>
        <v/>
      </c>
      <c r="J171" s="6">
        <f>IF(A171="","",IFERROR(E171/G171,0)-D171)</f>
        <v/>
      </c>
      <c r="K171" s="7">
        <f>IF(A171="","",IF(D171&gt;0,"Yes","No spend"))</f>
        <v/>
      </c>
      <c r="L171" s="7">
        <f>IF(A171="","",IF(D171=0,"Check target/activation",IF(AND(H171&gt;0,J171&lt;=0-H171),"Stop-loss hit - pause; fix creative/offer",IF(C171="Seed","P2 keep (seeding)",IF(I171&gt;=G171,"P2 hero - scale",IF(AND(B171="0→1 validate",F171&lt;50),"Learning - hold until ~50 conversions",IF(I171&gt;=G171*0.7,"P1 watch","P0 fix opening")))))))</f>
        <v/>
      </c>
    </row>
    <row r="172">
      <c r="D172" s="3" t="n"/>
      <c r="E172" s="3" t="n"/>
      <c r="G172" s="4" t="n"/>
      <c r="H172" s="3" t="n"/>
      <c r="I172" s="5">
        <f>IF(A172="","",IFERROR(E172/D172,0))</f>
        <v/>
      </c>
      <c r="J172" s="6">
        <f>IF(A172="","",IFERROR(E172/G172,0)-D172)</f>
        <v/>
      </c>
      <c r="K172" s="7">
        <f>IF(A172="","",IF(D172&gt;0,"Yes","No spend"))</f>
        <v/>
      </c>
      <c r="L172" s="7">
        <f>IF(A172="","",IF(D172=0,"Check target/activation",IF(AND(H172&gt;0,J172&lt;=0-H172),"Stop-loss hit - pause; fix creative/offer",IF(C172="Seed","P2 keep (seeding)",IF(I172&gt;=G172,"P2 hero - scale",IF(AND(B172="0→1 validate",F172&lt;50),"Learning - hold until ~50 conversions",IF(I172&gt;=G172*0.7,"P1 watch","P0 fix opening")))))))</f>
        <v/>
      </c>
    </row>
    <row r="173">
      <c r="D173" s="3" t="n"/>
      <c r="E173" s="3" t="n"/>
      <c r="G173" s="4" t="n"/>
      <c r="H173" s="3" t="n"/>
      <c r="I173" s="5">
        <f>IF(A173="","",IFERROR(E173/D173,0))</f>
        <v/>
      </c>
      <c r="J173" s="6">
        <f>IF(A173="","",IFERROR(E173/G173,0)-D173)</f>
        <v/>
      </c>
      <c r="K173" s="7">
        <f>IF(A173="","",IF(D173&gt;0,"Yes","No spend"))</f>
        <v/>
      </c>
      <c r="L173" s="7">
        <f>IF(A173="","",IF(D173=0,"Check target/activation",IF(AND(H173&gt;0,J173&lt;=0-H173),"Stop-loss hit - pause; fix creative/offer",IF(C173="Seed","P2 keep (seeding)",IF(I173&gt;=G173,"P2 hero - scale",IF(AND(B173="0→1 validate",F173&lt;50),"Learning - hold until ~50 conversions",IF(I173&gt;=G173*0.7,"P1 watch","P0 fix opening")))))))</f>
        <v/>
      </c>
    </row>
    <row r="174">
      <c r="D174" s="3" t="n"/>
      <c r="E174" s="3" t="n"/>
      <c r="G174" s="4" t="n"/>
      <c r="H174" s="3" t="n"/>
      <c r="I174" s="5">
        <f>IF(A174="","",IFERROR(E174/D174,0))</f>
        <v/>
      </c>
      <c r="J174" s="6">
        <f>IF(A174="","",IFERROR(E174/G174,0)-D174)</f>
        <v/>
      </c>
      <c r="K174" s="7">
        <f>IF(A174="","",IF(D174&gt;0,"Yes","No spend"))</f>
        <v/>
      </c>
      <c r="L174" s="7">
        <f>IF(A174="","",IF(D174=0,"Check target/activation",IF(AND(H174&gt;0,J174&lt;=0-H174),"Stop-loss hit - pause; fix creative/offer",IF(C174="Seed","P2 keep (seeding)",IF(I174&gt;=G174,"P2 hero - scale",IF(AND(B174="0→1 validate",F174&lt;50),"Learning - hold until ~50 conversions",IF(I174&gt;=G174*0.7,"P1 watch","P0 fix opening")))))))</f>
        <v/>
      </c>
    </row>
    <row r="175">
      <c r="D175" s="3" t="n"/>
      <c r="E175" s="3" t="n"/>
      <c r="G175" s="4" t="n"/>
      <c r="H175" s="3" t="n"/>
      <c r="I175" s="5">
        <f>IF(A175="","",IFERROR(E175/D175,0))</f>
        <v/>
      </c>
      <c r="J175" s="6">
        <f>IF(A175="","",IFERROR(E175/G175,0)-D175)</f>
        <v/>
      </c>
      <c r="K175" s="7">
        <f>IF(A175="","",IF(D175&gt;0,"Yes","No spend"))</f>
        <v/>
      </c>
      <c r="L175" s="7">
        <f>IF(A175="","",IF(D175=0,"Check target/activation",IF(AND(H175&gt;0,J175&lt;=0-H175),"Stop-loss hit - pause; fix creative/offer",IF(C175="Seed","P2 keep (seeding)",IF(I175&gt;=G175,"P2 hero - scale",IF(AND(B175="0→1 validate",F175&lt;50),"Learning - hold until ~50 conversions",IF(I175&gt;=G175*0.7,"P1 watch","P0 fix opening")))))))</f>
        <v/>
      </c>
    </row>
    <row r="176">
      <c r="D176" s="3" t="n"/>
      <c r="E176" s="3" t="n"/>
      <c r="G176" s="4" t="n"/>
      <c r="H176" s="3" t="n"/>
      <c r="I176" s="5">
        <f>IF(A176="","",IFERROR(E176/D176,0))</f>
        <v/>
      </c>
      <c r="J176" s="6">
        <f>IF(A176="","",IFERROR(E176/G176,0)-D176)</f>
        <v/>
      </c>
      <c r="K176" s="7">
        <f>IF(A176="","",IF(D176&gt;0,"Yes","No spend"))</f>
        <v/>
      </c>
      <c r="L176" s="7">
        <f>IF(A176="","",IF(D176=0,"Check target/activation",IF(AND(H176&gt;0,J176&lt;=0-H176),"Stop-loss hit - pause; fix creative/offer",IF(C176="Seed","P2 keep (seeding)",IF(I176&gt;=G176,"P2 hero - scale",IF(AND(B176="0→1 validate",F176&lt;50),"Learning - hold until ~50 conversions",IF(I176&gt;=G176*0.7,"P1 watch","P0 fix opening")))))))</f>
        <v/>
      </c>
    </row>
    <row r="177">
      <c r="D177" s="3" t="n"/>
      <c r="E177" s="3" t="n"/>
      <c r="G177" s="4" t="n"/>
      <c r="H177" s="3" t="n"/>
      <c r="I177" s="5">
        <f>IF(A177="","",IFERROR(E177/D177,0))</f>
        <v/>
      </c>
      <c r="J177" s="6">
        <f>IF(A177="","",IFERROR(E177/G177,0)-D177)</f>
        <v/>
      </c>
      <c r="K177" s="7">
        <f>IF(A177="","",IF(D177&gt;0,"Yes","No spend"))</f>
        <v/>
      </c>
      <c r="L177" s="7">
        <f>IF(A177="","",IF(D177=0,"Check target/activation",IF(AND(H177&gt;0,J177&lt;=0-H177),"Stop-loss hit - pause; fix creative/offer",IF(C177="Seed","P2 keep (seeding)",IF(I177&gt;=G177,"P2 hero - scale",IF(AND(B177="0→1 validate",F177&lt;50),"Learning - hold until ~50 conversions",IF(I177&gt;=G177*0.7,"P1 watch","P0 fix opening")))))))</f>
        <v/>
      </c>
    </row>
    <row r="178">
      <c r="D178" s="3" t="n"/>
      <c r="E178" s="3" t="n"/>
      <c r="G178" s="4" t="n"/>
      <c r="H178" s="3" t="n"/>
      <c r="I178" s="5">
        <f>IF(A178="","",IFERROR(E178/D178,0))</f>
        <v/>
      </c>
      <c r="J178" s="6">
        <f>IF(A178="","",IFERROR(E178/G178,0)-D178)</f>
        <v/>
      </c>
      <c r="K178" s="7">
        <f>IF(A178="","",IF(D178&gt;0,"Yes","No spend"))</f>
        <v/>
      </c>
      <c r="L178" s="7">
        <f>IF(A178="","",IF(D178=0,"Check target/activation",IF(AND(H178&gt;0,J178&lt;=0-H178),"Stop-loss hit - pause; fix creative/offer",IF(C178="Seed","P2 keep (seeding)",IF(I178&gt;=G178,"P2 hero - scale",IF(AND(B178="0→1 validate",F178&lt;50),"Learning - hold until ~50 conversions",IF(I178&gt;=G178*0.7,"P1 watch","P0 fix opening")))))))</f>
        <v/>
      </c>
    </row>
    <row r="179">
      <c r="D179" s="3" t="n"/>
      <c r="E179" s="3" t="n"/>
      <c r="G179" s="4" t="n"/>
      <c r="H179" s="3" t="n"/>
      <c r="I179" s="5">
        <f>IF(A179="","",IFERROR(E179/D179,0))</f>
        <v/>
      </c>
      <c r="J179" s="6">
        <f>IF(A179="","",IFERROR(E179/G179,0)-D179)</f>
        <v/>
      </c>
      <c r="K179" s="7">
        <f>IF(A179="","",IF(D179&gt;0,"Yes","No spend"))</f>
        <v/>
      </c>
      <c r="L179" s="7">
        <f>IF(A179="","",IF(D179=0,"Check target/activation",IF(AND(H179&gt;0,J179&lt;=0-H179),"Stop-loss hit - pause; fix creative/offer",IF(C179="Seed","P2 keep (seeding)",IF(I179&gt;=G179,"P2 hero - scale",IF(AND(B179="0→1 validate",F179&lt;50),"Learning - hold until ~50 conversions",IF(I179&gt;=G179*0.7,"P1 watch","P0 fix opening")))))))</f>
        <v/>
      </c>
    </row>
    <row r="180">
      <c r="D180" s="3" t="n"/>
      <c r="E180" s="3" t="n"/>
      <c r="G180" s="4" t="n"/>
      <c r="H180" s="3" t="n"/>
      <c r="I180" s="5">
        <f>IF(A180="","",IFERROR(E180/D180,0))</f>
        <v/>
      </c>
      <c r="J180" s="6">
        <f>IF(A180="","",IFERROR(E180/G180,0)-D180)</f>
        <v/>
      </c>
      <c r="K180" s="7">
        <f>IF(A180="","",IF(D180&gt;0,"Yes","No spend"))</f>
        <v/>
      </c>
      <c r="L180" s="7">
        <f>IF(A180="","",IF(D180=0,"Check target/activation",IF(AND(H180&gt;0,J180&lt;=0-H180),"Stop-loss hit - pause; fix creative/offer",IF(C180="Seed","P2 keep (seeding)",IF(I180&gt;=G180,"P2 hero - scale",IF(AND(B180="0→1 validate",F180&lt;50),"Learning - hold until ~50 conversions",IF(I180&gt;=G180*0.7,"P1 watch","P0 fix opening")))))))</f>
        <v/>
      </c>
    </row>
    <row r="181">
      <c r="D181" s="3" t="n"/>
      <c r="E181" s="3" t="n"/>
      <c r="G181" s="4" t="n"/>
      <c r="H181" s="3" t="n"/>
      <c r="I181" s="5">
        <f>IF(A181="","",IFERROR(E181/D181,0))</f>
        <v/>
      </c>
      <c r="J181" s="6">
        <f>IF(A181="","",IFERROR(E181/G181,0)-D181)</f>
        <v/>
      </c>
      <c r="K181" s="7">
        <f>IF(A181="","",IF(D181&gt;0,"Yes","No spend"))</f>
        <v/>
      </c>
      <c r="L181" s="7">
        <f>IF(A181="","",IF(D181=0,"Check target/activation",IF(AND(H181&gt;0,J181&lt;=0-H181),"Stop-loss hit - pause; fix creative/offer",IF(C181="Seed","P2 keep (seeding)",IF(I181&gt;=G181,"P2 hero - scale",IF(AND(B181="0→1 validate",F181&lt;50),"Learning - hold until ~50 conversions",IF(I181&gt;=G181*0.7,"P1 watch","P0 fix opening")))))))</f>
        <v/>
      </c>
    </row>
    <row r="182">
      <c r="D182" s="3" t="n"/>
      <c r="E182" s="3" t="n"/>
      <c r="G182" s="4" t="n"/>
      <c r="H182" s="3" t="n"/>
      <c r="I182" s="5">
        <f>IF(A182="","",IFERROR(E182/D182,0))</f>
        <v/>
      </c>
      <c r="J182" s="6">
        <f>IF(A182="","",IFERROR(E182/G182,0)-D182)</f>
        <v/>
      </c>
      <c r="K182" s="7">
        <f>IF(A182="","",IF(D182&gt;0,"Yes","No spend"))</f>
        <v/>
      </c>
      <c r="L182" s="7">
        <f>IF(A182="","",IF(D182=0,"Check target/activation",IF(AND(H182&gt;0,J182&lt;=0-H182),"Stop-loss hit - pause; fix creative/offer",IF(C182="Seed","P2 keep (seeding)",IF(I182&gt;=G182,"P2 hero - scale",IF(AND(B182="0→1 validate",F182&lt;50),"Learning - hold until ~50 conversions",IF(I182&gt;=G182*0.7,"P1 watch","P0 fix opening")))))))</f>
        <v/>
      </c>
    </row>
    <row r="183">
      <c r="D183" s="3" t="n"/>
      <c r="E183" s="3" t="n"/>
      <c r="G183" s="4" t="n"/>
      <c r="H183" s="3" t="n"/>
      <c r="I183" s="5">
        <f>IF(A183="","",IFERROR(E183/D183,0))</f>
        <v/>
      </c>
      <c r="J183" s="6">
        <f>IF(A183="","",IFERROR(E183/G183,0)-D183)</f>
        <v/>
      </c>
      <c r="K183" s="7">
        <f>IF(A183="","",IF(D183&gt;0,"Yes","No spend"))</f>
        <v/>
      </c>
      <c r="L183" s="7">
        <f>IF(A183="","",IF(D183=0,"Check target/activation",IF(AND(H183&gt;0,J183&lt;=0-H183),"Stop-loss hit - pause; fix creative/offer",IF(C183="Seed","P2 keep (seeding)",IF(I183&gt;=G183,"P2 hero - scale",IF(AND(B183="0→1 validate",F183&lt;50),"Learning - hold until ~50 conversions",IF(I183&gt;=G183*0.7,"P1 watch","P0 fix opening")))))))</f>
        <v/>
      </c>
    </row>
    <row r="184">
      <c r="D184" s="3" t="n"/>
      <c r="E184" s="3" t="n"/>
      <c r="G184" s="4" t="n"/>
      <c r="H184" s="3" t="n"/>
      <c r="I184" s="5">
        <f>IF(A184="","",IFERROR(E184/D184,0))</f>
        <v/>
      </c>
      <c r="J184" s="6">
        <f>IF(A184="","",IFERROR(E184/G184,0)-D184)</f>
        <v/>
      </c>
      <c r="K184" s="7">
        <f>IF(A184="","",IF(D184&gt;0,"Yes","No spend"))</f>
        <v/>
      </c>
      <c r="L184" s="7">
        <f>IF(A184="","",IF(D184=0,"Check target/activation",IF(AND(H184&gt;0,J184&lt;=0-H184),"Stop-loss hit - pause; fix creative/offer",IF(C184="Seed","P2 keep (seeding)",IF(I184&gt;=G184,"P2 hero - scale",IF(AND(B184="0→1 validate",F184&lt;50),"Learning - hold until ~50 conversions",IF(I184&gt;=G184*0.7,"P1 watch","P0 fix opening")))))))</f>
        <v/>
      </c>
    </row>
    <row r="185">
      <c r="D185" s="3" t="n"/>
      <c r="E185" s="3" t="n"/>
      <c r="G185" s="4" t="n"/>
      <c r="H185" s="3" t="n"/>
      <c r="I185" s="5">
        <f>IF(A185="","",IFERROR(E185/D185,0))</f>
        <v/>
      </c>
      <c r="J185" s="6">
        <f>IF(A185="","",IFERROR(E185/G185,0)-D185)</f>
        <v/>
      </c>
      <c r="K185" s="7">
        <f>IF(A185="","",IF(D185&gt;0,"Yes","No spend"))</f>
        <v/>
      </c>
      <c r="L185" s="7">
        <f>IF(A185="","",IF(D185=0,"Check target/activation",IF(AND(H185&gt;0,J185&lt;=0-H185),"Stop-loss hit - pause; fix creative/offer",IF(C185="Seed","P2 keep (seeding)",IF(I185&gt;=G185,"P2 hero - scale",IF(AND(B185="0→1 validate",F185&lt;50),"Learning - hold until ~50 conversions",IF(I185&gt;=G185*0.7,"P1 watch","P0 fix opening")))))))</f>
        <v/>
      </c>
    </row>
    <row r="186">
      <c r="D186" s="3" t="n"/>
      <c r="E186" s="3" t="n"/>
      <c r="G186" s="4" t="n"/>
      <c r="H186" s="3" t="n"/>
      <c r="I186" s="5">
        <f>IF(A186="","",IFERROR(E186/D186,0))</f>
        <v/>
      </c>
      <c r="J186" s="6">
        <f>IF(A186="","",IFERROR(E186/G186,0)-D186)</f>
        <v/>
      </c>
      <c r="K186" s="7">
        <f>IF(A186="","",IF(D186&gt;0,"Yes","No spend"))</f>
        <v/>
      </c>
      <c r="L186" s="7">
        <f>IF(A186="","",IF(D186=0,"Check target/activation",IF(AND(H186&gt;0,J186&lt;=0-H186),"Stop-loss hit - pause; fix creative/offer",IF(C186="Seed","P2 keep (seeding)",IF(I186&gt;=G186,"P2 hero - scale",IF(AND(B186="0→1 validate",F186&lt;50),"Learning - hold until ~50 conversions",IF(I186&gt;=G186*0.7,"P1 watch","P0 fix opening")))))))</f>
        <v/>
      </c>
    </row>
    <row r="187">
      <c r="D187" s="3" t="n"/>
      <c r="E187" s="3" t="n"/>
      <c r="G187" s="4" t="n"/>
      <c r="H187" s="3" t="n"/>
      <c r="I187" s="5">
        <f>IF(A187="","",IFERROR(E187/D187,0))</f>
        <v/>
      </c>
      <c r="J187" s="6">
        <f>IF(A187="","",IFERROR(E187/G187,0)-D187)</f>
        <v/>
      </c>
      <c r="K187" s="7">
        <f>IF(A187="","",IF(D187&gt;0,"Yes","No spend"))</f>
        <v/>
      </c>
      <c r="L187" s="7">
        <f>IF(A187="","",IF(D187=0,"Check target/activation",IF(AND(H187&gt;0,J187&lt;=0-H187),"Stop-loss hit - pause; fix creative/offer",IF(C187="Seed","P2 keep (seeding)",IF(I187&gt;=G187,"P2 hero - scale",IF(AND(B187="0→1 validate",F187&lt;50),"Learning - hold until ~50 conversions",IF(I187&gt;=G187*0.7,"P1 watch","P0 fix opening")))))))</f>
        <v/>
      </c>
    </row>
    <row r="188">
      <c r="D188" s="3" t="n"/>
      <c r="E188" s="3" t="n"/>
      <c r="G188" s="4" t="n"/>
      <c r="H188" s="3" t="n"/>
      <c r="I188" s="5">
        <f>IF(A188="","",IFERROR(E188/D188,0))</f>
        <v/>
      </c>
      <c r="J188" s="6">
        <f>IF(A188="","",IFERROR(E188/G188,0)-D188)</f>
        <v/>
      </c>
      <c r="K188" s="7">
        <f>IF(A188="","",IF(D188&gt;0,"Yes","No spend"))</f>
        <v/>
      </c>
      <c r="L188" s="7">
        <f>IF(A188="","",IF(D188=0,"Check target/activation",IF(AND(H188&gt;0,J188&lt;=0-H188),"Stop-loss hit - pause; fix creative/offer",IF(C188="Seed","P2 keep (seeding)",IF(I188&gt;=G188,"P2 hero - scale",IF(AND(B188="0→1 validate",F188&lt;50),"Learning - hold until ~50 conversions",IF(I188&gt;=G188*0.7,"P1 watch","P0 fix opening")))))))</f>
        <v/>
      </c>
    </row>
    <row r="189">
      <c r="D189" s="3" t="n"/>
      <c r="E189" s="3" t="n"/>
      <c r="G189" s="4" t="n"/>
      <c r="H189" s="3" t="n"/>
      <c r="I189" s="5">
        <f>IF(A189="","",IFERROR(E189/D189,0))</f>
        <v/>
      </c>
      <c r="J189" s="6">
        <f>IF(A189="","",IFERROR(E189/G189,0)-D189)</f>
        <v/>
      </c>
      <c r="K189" s="7">
        <f>IF(A189="","",IF(D189&gt;0,"Yes","No spend"))</f>
        <v/>
      </c>
      <c r="L189" s="7">
        <f>IF(A189="","",IF(D189=0,"Check target/activation",IF(AND(H189&gt;0,J189&lt;=0-H189),"Stop-loss hit - pause; fix creative/offer",IF(C189="Seed","P2 keep (seeding)",IF(I189&gt;=G189,"P2 hero - scale",IF(AND(B189="0→1 validate",F189&lt;50),"Learning - hold until ~50 conversions",IF(I189&gt;=G189*0.7,"P1 watch","P0 fix opening")))))))</f>
        <v/>
      </c>
    </row>
    <row r="190">
      <c r="D190" s="3" t="n"/>
      <c r="E190" s="3" t="n"/>
      <c r="G190" s="4" t="n"/>
      <c r="H190" s="3" t="n"/>
      <c r="I190" s="5">
        <f>IF(A190="","",IFERROR(E190/D190,0))</f>
        <v/>
      </c>
      <c r="J190" s="6">
        <f>IF(A190="","",IFERROR(E190/G190,0)-D190)</f>
        <v/>
      </c>
      <c r="K190" s="7">
        <f>IF(A190="","",IF(D190&gt;0,"Yes","No spend"))</f>
        <v/>
      </c>
      <c r="L190" s="7">
        <f>IF(A190="","",IF(D190=0,"Check target/activation",IF(AND(H190&gt;0,J190&lt;=0-H190),"Stop-loss hit - pause; fix creative/offer",IF(C190="Seed","P2 keep (seeding)",IF(I190&gt;=G190,"P2 hero - scale",IF(AND(B190="0→1 validate",F190&lt;50),"Learning - hold until ~50 conversions",IF(I190&gt;=G190*0.7,"P1 watch","P0 fix opening")))))))</f>
        <v/>
      </c>
    </row>
    <row r="191">
      <c r="D191" s="3" t="n"/>
      <c r="E191" s="3" t="n"/>
      <c r="G191" s="4" t="n"/>
      <c r="H191" s="3" t="n"/>
      <c r="I191" s="5">
        <f>IF(A191="","",IFERROR(E191/D191,0))</f>
        <v/>
      </c>
      <c r="J191" s="6">
        <f>IF(A191="","",IFERROR(E191/G191,0)-D191)</f>
        <v/>
      </c>
      <c r="K191" s="7">
        <f>IF(A191="","",IF(D191&gt;0,"Yes","No spend"))</f>
        <v/>
      </c>
      <c r="L191" s="7">
        <f>IF(A191="","",IF(D191=0,"Check target/activation",IF(AND(H191&gt;0,J191&lt;=0-H191),"Stop-loss hit - pause; fix creative/offer",IF(C191="Seed","P2 keep (seeding)",IF(I191&gt;=G191,"P2 hero - scale",IF(AND(B191="0→1 validate",F191&lt;50),"Learning - hold until ~50 conversions",IF(I191&gt;=G191*0.7,"P1 watch","P0 fix opening")))))))</f>
        <v/>
      </c>
    </row>
    <row r="192">
      <c r="D192" s="3" t="n"/>
      <c r="E192" s="3" t="n"/>
      <c r="G192" s="4" t="n"/>
      <c r="H192" s="3" t="n"/>
      <c r="I192" s="5">
        <f>IF(A192="","",IFERROR(E192/D192,0))</f>
        <v/>
      </c>
      <c r="J192" s="6">
        <f>IF(A192="","",IFERROR(E192/G192,0)-D192)</f>
        <v/>
      </c>
      <c r="K192" s="7">
        <f>IF(A192="","",IF(D192&gt;0,"Yes","No spend"))</f>
        <v/>
      </c>
      <c r="L192" s="7">
        <f>IF(A192="","",IF(D192=0,"Check target/activation",IF(AND(H192&gt;0,J192&lt;=0-H192),"Stop-loss hit - pause; fix creative/offer",IF(C192="Seed","P2 keep (seeding)",IF(I192&gt;=G192,"P2 hero - scale",IF(AND(B192="0→1 validate",F192&lt;50),"Learning - hold until ~50 conversions",IF(I192&gt;=G192*0.7,"P1 watch","P0 fix opening")))))))</f>
        <v/>
      </c>
    </row>
    <row r="193">
      <c r="D193" s="3" t="n"/>
      <c r="E193" s="3" t="n"/>
      <c r="G193" s="4" t="n"/>
      <c r="H193" s="3" t="n"/>
      <c r="I193" s="5">
        <f>IF(A193="","",IFERROR(E193/D193,0))</f>
        <v/>
      </c>
      <c r="J193" s="6">
        <f>IF(A193="","",IFERROR(E193/G193,0)-D193)</f>
        <v/>
      </c>
      <c r="K193" s="7">
        <f>IF(A193="","",IF(D193&gt;0,"Yes","No spend"))</f>
        <v/>
      </c>
      <c r="L193" s="7">
        <f>IF(A193="","",IF(D193=0,"Check target/activation",IF(AND(H193&gt;0,J193&lt;=0-H193),"Stop-loss hit - pause; fix creative/offer",IF(C193="Seed","P2 keep (seeding)",IF(I193&gt;=G193,"P2 hero - scale",IF(AND(B193="0→1 validate",F193&lt;50),"Learning - hold until ~50 conversions",IF(I193&gt;=G193*0.7,"P1 watch","P0 fix opening")))))))</f>
        <v/>
      </c>
    </row>
    <row r="194">
      <c r="D194" s="3" t="n"/>
      <c r="E194" s="3" t="n"/>
      <c r="G194" s="4" t="n"/>
      <c r="H194" s="3" t="n"/>
      <c r="I194" s="5">
        <f>IF(A194="","",IFERROR(E194/D194,0))</f>
        <v/>
      </c>
      <c r="J194" s="6">
        <f>IF(A194="","",IFERROR(E194/G194,0)-D194)</f>
        <v/>
      </c>
      <c r="K194" s="7">
        <f>IF(A194="","",IF(D194&gt;0,"Yes","No spend"))</f>
        <v/>
      </c>
      <c r="L194" s="7">
        <f>IF(A194="","",IF(D194=0,"Check target/activation",IF(AND(H194&gt;0,J194&lt;=0-H194),"Stop-loss hit - pause; fix creative/offer",IF(C194="Seed","P2 keep (seeding)",IF(I194&gt;=G194,"P2 hero - scale",IF(AND(B194="0→1 validate",F194&lt;50),"Learning - hold until ~50 conversions",IF(I194&gt;=G194*0.7,"P1 watch","P0 fix opening")))))))</f>
        <v/>
      </c>
    </row>
    <row r="195">
      <c r="D195" s="3" t="n"/>
      <c r="E195" s="3" t="n"/>
      <c r="G195" s="4" t="n"/>
      <c r="H195" s="3" t="n"/>
      <c r="I195" s="5">
        <f>IF(A195="","",IFERROR(E195/D195,0))</f>
        <v/>
      </c>
      <c r="J195" s="6">
        <f>IF(A195="","",IFERROR(E195/G195,0)-D195)</f>
        <v/>
      </c>
      <c r="K195" s="7">
        <f>IF(A195="","",IF(D195&gt;0,"Yes","No spend"))</f>
        <v/>
      </c>
      <c r="L195" s="7">
        <f>IF(A195="","",IF(D195=0,"Check target/activation",IF(AND(H195&gt;0,J195&lt;=0-H195),"Stop-loss hit - pause; fix creative/offer",IF(C195="Seed","P2 keep (seeding)",IF(I195&gt;=G195,"P2 hero - scale",IF(AND(B195="0→1 validate",F195&lt;50),"Learning - hold until ~50 conversions",IF(I195&gt;=G195*0.7,"P1 watch","P0 fix opening")))))))</f>
        <v/>
      </c>
    </row>
    <row r="196">
      <c r="D196" s="3" t="n"/>
      <c r="E196" s="3" t="n"/>
      <c r="G196" s="4" t="n"/>
      <c r="H196" s="3" t="n"/>
      <c r="I196" s="5">
        <f>IF(A196="","",IFERROR(E196/D196,0))</f>
        <v/>
      </c>
      <c r="J196" s="6">
        <f>IF(A196="","",IFERROR(E196/G196,0)-D196)</f>
        <v/>
      </c>
      <c r="K196" s="7">
        <f>IF(A196="","",IF(D196&gt;0,"Yes","No spend"))</f>
        <v/>
      </c>
      <c r="L196" s="7">
        <f>IF(A196="","",IF(D196=0,"Check target/activation",IF(AND(H196&gt;0,J196&lt;=0-H196),"Stop-loss hit - pause; fix creative/offer",IF(C196="Seed","P2 keep (seeding)",IF(I196&gt;=G196,"P2 hero - scale",IF(AND(B196="0→1 validate",F196&lt;50),"Learning - hold until ~50 conversions",IF(I196&gt;=G196*0.7,"P1 watch","P0 fix opening")))))))</f>
        <v/>
      </c>
    </row>
    <row r="197">
      <c r="D197" s="3" t="n"/>
      <c r="E197" s="3" t="n"/>
      <c r="G197" s="4" t="n"/>
      <c r="H197" s="3" t="n"/>
      <c r="I197" s="5">
        <f>IF(A197="","",IFERROR(E197/D197,0))</f>
        <v/>
      </c>
      <c r="J197" s="6">
        <f>IF(A197="","",IFERROR(E197/G197,0)-D197)</f>
        <v/>
      </c>
      <c r="K197" s="7">
        <f>IF(A197="","",IF(D197&gt;0,"Yes","No spend"))</f>
        <v/>
      </c>
      <c r="L197" s="7">
        <f>IF(A197="","",IF(D197=0,"Check target/activation",IF(AND(H197&gt;0,J197&lt;=0-H197),"Stop-loss hit - pause; fix creative/offer",IF(C197="Seed","P2 keep (seeding)",IF(I197&gt;=G197,"P2 hero - scale",IF(AND(B197="0→1 validate",F197&lt;50),"Learning - hold until ~50 conversions",IF(I197&gt;=G197*0.7,"P1 watch","P0 fix opening")))))))</f>
        <v/>
      </c>
    </row>
    <row r="198">
      <c r="D198" s="3" t="n"/>
      <c r="E198" s="3" t="n"/>
      <c r="G198" s="4" t="n"/>
      <c r="H198" s="3" t="n"/>
      <c r="I198" s="5">
        <f>IF(A198="","",IFERROR(E198/D198,0))</f>
        <v/>
      </c>
      <c r="J198" s="6">
        <f>IF(A198="","",IFERROR(E198/G198,0)-D198)</f>
        <v/>
      </c>
      <c r="K198" s="7">
        <f>IF(A198="","",IF(D198&gt;0,"Yes","No spend"))</f>
        <v/>
      </c>
      <c r="L198" s="7">
        <f>IF(A198="","",IF(D198=0,"Check target/activation",IF(AND(H198&gt;0,J198&lt;=0-H198),"Stop-loss hit - pause; fix creative/offer",IF(C198="Seed","P2 keep (seeding)",IF(I198&gt;=G198,"P2 hero - scale",IF(AND(B198="0→1 validate",F198&lt;50),"Learning - hold until ~50 conversions",IF(I198&gt;=G198*0.7,"P1 watch","P0 fix opening")))))))</f>
        <v/>
      </c>
    </row>
    <row r="199">
      <c r="D199" s="3" t="n"/>
      <c r="E199" s="3" t="n"/>
      <c r="G199" s="4" t="n"/>
      <c r="H199" s="3" t="n"/>
      <c r="I199" s="5">
        <f>IF(A199="","",IFERROR(E199/D199,0))</f>
        <v/>
      </c>
      <c r="J199" s="6">
        <f>IF(A199="","",IFERROR(E199/G199,0)-D199)</f>
        <v/>
      </c>
      <c r="K199" s="7">
        <f>IF(A199="","",IF(D199&gt;0,"Yes","No spend"))</f>
        <v/>
      </c>
      <c r="L199" s="7">
        <f>IF(A199="","",IF(D199=0,"Check target/activation",IF(AND(H199&gt;0,J199&lt;=0-H199),"Stop-loss hit - pause; fix creative/offer",IF(C199="Seed","P2 keep (seeding)",IF(I199&gt;=G199,"P2 hero - scale",IF(AND(B199="0→1 validate",F199&lt;50),"Learning - hold until ~50 conversions",IF(I199&gt;=G199*0.7,"P1 watch","P0 fix opening")))))))</f>
        <v/>
      </c>
    </row>
    <row r="200">
      <c r="D200" s="3" t="n"/>
      <c r="E200" s="3" t="n"/>
      <c r="G200" s="4" t="n"/>
      <c r="H200" s="3" t="n"/>
      <c r="I200" s="5">
        <f>IF(A200="","",IFERROR(E200/D200,0))</f>
        <v/>
      </c>
      <c r="J200" s="6">
        <f>IF(A200="","",IFERROR(E200/G200,0)-D200)</f>
        <v/>
      </c>
      <c r="K200" s="7">
        <f>IF(A200="","",IF(D200&gt;0,"Yes","No spend"))</f>
        <v/>
      </c>
      <c r="L200" s="7">
        <f>IF(A200="","",IF(D200=0,"Check target/activation",IF(AND(H200&gt;0,J200&lt;=0-H200),"Stop-loss hit - pause; fix creative/offer",IF(C200="Seed","P2 keep (seeding)",IF(I200&gt;=G200,"P2 hero - scale",IF(AND(B200="0→1 validate",F200&lt;50),"Learning - hold until ~50 conversions",IF(I200&gt;=G200*0.7,"P1 watch","P0 fix opening")))))))</f>
        <v/>
      </c>
    </row>
    <row r="201">
      <c r="D201" s="3" t="n"/>
      <c r="E201" s="3" t="n"/>
      <c r="G201" s="4" t="n"/>
      <c r="H201" s="3" t="n"/>
      <c r="I201" s="5">
        <f>IF(A201="","",IFERROR(E201/D201,0))</f>
        <v/>
      </c>
      <c r="J201" s="6">
        <f>IF(A201="","",IFERROR(E201/G201,0)-D201)</f>
        <v/>
      </c>
      <c r="K201" s="7">
        <f>IF(A201="","",IF(D201&gt;0,"Yes","No spend"))</f>
        <v/>
      </c>
      <c r="L201" s="7">
        <f>IF(A201="","",IF(D201=0,"Check target/activation",IF(AND(H201&gt;0,J201&lt;=0-H201),"Stop-loss hit - pause; fix creative/offer",IF(C201="Seed","P2 keep (seeding)",IF(I201&gt;=G201,"P2 hero - scale",IF(AND(B201="0→1 validate",F201&lt;50),"Learning - hold until ~50 conversions",IF(I201&gt;=G201*0.7,"P1 watch","P0 fix opening")))))))</f>
        <v/>
      </c>
    </row>
    <row r="203">
      <c r="A203" s="8" t="inlineStr">
        <is>
          <t>TOTAL</t>
        </is>
      </c>
      <c r="D203" s="9">
        <f>SUM(D2:D201)</f>
        <v/>
      </c>
      <c r="E203" s="9">
        <f>SUM(E2:E201)</f>
        <v/>
      </c>
      <c r="F203" s="8">
        <f>SUM(F2:F201)</f>
        <v/>
      </c>
    </row>
    <row r="205">
      <c r="A205" s="8" t="inlineStr">
        <is>
          <t>Blended ROAS</t>
        </is>
      </c>
      <c r="B205" s="4">
        <f>IFERROR(SUM(E2:E201)/SUM(D2:D201),0)</f>
        <v/>
      </c>
    </row>
    <row r="206">
      <c r="A206" s="8" t="inlineStr">
        <is>
          <t>Conversions toward ~50 learning target</t>
        </is>
      </c>
      <c r="B206" s="10">
        <f>IFERROR(SUM(F2:F201),0)</f>
        <v/>
      </c>
    </row>
    <row r="207">
      <c r="A207" s="8" t="inlineStr">
        <is>
          <t>Net after ads</t>
        </is>
      </c>
      <c r="B207" s="3">
        <f>IFERROR(SUM(J2:J201),0)</f>
        <v/>
      </c>
    </row>
  </sheetData>
  <dataValidations count="2">
    <dataValidation sqref="B2:B201" showDropDown="0" showInputMessage="0" showErrorMessage="0" allowBlank="1" type="list">
      <formula1>"0→1 validate,1→10 replicate,10→100 scale"</formula1>
    </dataValidation>
    <dataValidation sqref="C2:C201" showDropDown="0" showInputMessage="0" showErrorMessage="0" allowBlank="1" type="list">
      <formula1>"Seed,Harvest"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aiOS Grok Edition · Paid Ads Diagnosis</t>
        </is>
      </c>
    </row>
    <row r="2">
      <c r="A2" t="inlineStr">
        <is>
          <t>Per creative: activation, ROAS vs break-even, net result vs a stop-loss line. Diagnose in order: target → activation → creative → conversion path. CC's 0→1 rule (slide): define the break-even ROI line AND the stop-loss line before launch; accept losses while the system learns (≈50 conversions), but stop at the stop-loss line. The 70%-of-break-even 'watch' band is an aiOS default.</t>
        </is>
      </c>
    </row>
    <row r="3">
      <c r="A3" t="inlineStr">
        <is>
          <t>Module 04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