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ale Ceiling" sheetId="1" state="visible" r:id="rId1"/>
    <sheet xmlns:r="http://schemas.openxmlformats.org/officeDocument/2006/relationships" name="About" sheetId="2" state="visible" r:id="rId2"/>
  </sheets>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111316"/>
      </patternFill>
    </fill>
    <fill>
      <patternFill patternType="solid">
        <fgColor rgb="000F766E"/>
      </patternFill>
    </fill>
    <fill>
      <patternFill patternType="solid">
        <fgColor rgb="00F2FAF8"/>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164" fontId="0" fillId="0" borderId="0" pivotButton="0" quotePrefix="0" xfId="0"/>
    <xf numFmtId="165" fontId="0" fillId="0" borderId="0" pivotButton="0" quotePrefix="0" xfId="0"/>
    <xf numFmtId="164" fontId="0" fillId="4" borderId="0" pivotButton="0" quotePrefix="0" xfId="0"/>
    <xf numFmtId="2" fontId="0" fillId="4" borderId="0" pivotButton="0" quotePrefix="0" xfId="0"/>
    <xf numFmtId="0"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71428571428571" customWidth="1" min="1" max="1"/>
    <col width="15.71428571428571" customWidth="1" min="2" max="2"/>
    <col width="15.71428571428571" customWidth="1" min="3" max="3"/>
    <col width="15.71428571428571" customWidth="1" min="4" max="4"/>
    <col width="15.71428571428571" customWidth="1" min="5" max="5"/>
    <col width="15.71428571428571" customWidth="1" min="6" max="6"/>
    <col width="15.71428571428571" customWidth="1" min="7" max="7"/>
    <col width="15.71428571428571" customWidth="1" min="8" max="8"/>
    <col width="15.71428571428571" customWidth="1" min="9" max="9"/>
    <col width="15.71428571428571" customWidth="1" min="10" max="10"/>
    <col width="15.71428571428571" customWidth="1" min="11" max="11"/>
    <col width="15.71428571428571" customWidth="1" min="12" max="12"/>
    <col width="15.71428571428571" customWidth="1" min="13" max="13"/>
    <col width="15.71428571428571" customWidth="1" min="14" max="14"/>
    <col width="40" customWidth="1" min="15" max="15"/>
  </cols>
  <sheetData>
    <row r="1" ht="48" customHeight="1">
      <c r="A1" s="1" t="inlineStr">
        <is>
          <t>Period</t>
        </is>
      </c>
      <c r="B1" s="1" t="inlineStr">
        <is>
          <t>Ad spend, previous period ($)</t>
        </is>
      </c>
      <c r="C1" s="1" t="inlineStr">
        <is>
          <t>Ad spend, this period ($)</t>
        </is>
      </c>
      <c r="D1" s="1" t="inlineStr">
        <is>
          <t>Orders, previous</t>
        </is>
      </c>
      <c r="E1" s="1" t="inlineStr">
        <is>
          <t>Orders, this period</t>
        </is>
      </c>
      <c r="F1" s="1" t="inlineStr">
        <is>
          <t>Contribution profit, previous ($)</t>
        </is>
      </c>
      <c r="G1" s="1" t="inlineStr">
        <is>
          <t>Contribution profit, this period ($)</t>
        </is>
      </c>
      <c r="H1" s="1" t="inlineStr">
        <is>
          <t>Conversion rate, previous %</t>
        </is>
      </c>
      <c r="I1" s="1" t="inlineStr">
        <is>
          <t>Conversion rate, this period %</t>
        </is>
      </c>
      <c r="J1" s="1" t="inlineStr">
        <is>
          <t>New creatives launched this period</t>
        </is>
      </c>
      <c r="K1" s="1" t="inlineStr">
        <is>
          <t>New audiences/markets opened</t>
        </is>
      </c>
      <c r="L1" s="1" t="inlineStr">
        <is>
          <t>Inventory days of cover</t>
        </is>
      </c>
      <c r="M1" s="2" t="inlineStr">
        <is>
          <t>Marginal cost per extra order ($) ƒ</t>
        </is>
      </c>
      <c r="N1" s="2" t="inlineStr">
        <is>
          <t>Extra profit per extra $1 of spend ƒ</t>
        </is>
      </c>
      <c r="O1" s="2" t="inlineStr">
        <is>
          <t>Verdict ƒ</t>
        </is>
      </c>
    </row>
    <row r="2">
      <c r="A2" t="inlineStr">
        <is>
          <t>Example wk 3→4</t>
        </is>
      </c>
      <c r="B2" s="3" t="n">
        <v>2000</v>
      </c>
      <c r="C2" s="3" t="n">
        <v>3000</v>
      </c>
      <c r="D2" t="n">
        <v>400</v>
      </c>
      <c r="E2" t="n">
        <v>520</v>
      </c>
      <c r="F2" s="3" t="n">
        <v>5200</v>
      </c>
      <c r="G2" s="3" t="n">
        <v>5050</v>
      </c>
      <c r="H2" s="4" t="n">
        <v>0.031</v>
      </c>
      <c r="I2" s="4" t="n">
        <v>0.027</v>
      </c>
      <c r="J2" t="n">
        <v>4</v>
      </c>
      <c r="K2" t="n">
        <v>0</v>
      </c>
      <c r="L2" t="n">
        <v>35</v>
      </c>
      <c r="M2" s="5">
        <f>IF(A2="","",IF(E2-D2&lt;=0,"",(C2-B2)/(E2-D2)))</f>
        <v/>
      </c>
      <c r="N2" s="6">
        <f>IF(A2="","",IF(C2-B2&lt;=0,"",(G2-F2)/(C2-B2)))</f>
        <v/>
      </c>
      <c r="O2" s="7">
        <f>IF(A2="","",IF(C2&lt;=B2,"Budget not raised - no read",IF(G2&lt;F2,"Ceiling: profit falling as budget rises - stop pushing; add creatives, improve product or open a market",IF(AND(H2&gt;0,I2&lt;H2),"Watch: conversion slipping - refresh creatives before more budget",IF(J2=0,"Watch: no new creatives - freshness will decay","Keep scaling in steps")))))</f>
        <v/>
      </c>
    </row>
    <row r="3">
      <c r="B3" s="3" t="n"/>
      <c r="C3" s="3" t="n"/>
      <c r="F3" s="3" t="n"/>
      <c r="G3" s="3" t="n"/>
      <c r="H3" s="4" t="n"/>
      <c r="I3" s="4" t="n"/>
      <c r="M3" s="5">
        <f>IF(A3="","",IF(E3-D3&lt;=0,"",(C3-B3)/(E3-D3)))</f>
        <v/>
      </c>
      <c r="N3" s="6">
        <f>IF(A3="","",IF(C3-B3&lt;=0,"",(G3-F3)/(C3-B3)))</f>
        <v/>
      </c>
      <c r="O3" s="7">
        <f>IF(A3="","",IF(C3&lt;=B3,"Budget not raised - no read",IF(G3&lt;F3,"Ceiling: profit falling as budget rises - stop pushing; add creatives, improve product or open a market",IF(AND(H3&gt;0,I3&lt;H3),"Watch: conversion slipping - refresh creatives before more budget",IF(J3=0,"Watch: no new creatives - freshness will decay","Keep scaling in steps")))))</f>
        <v/>
      </c>
    </row>
    <row r="4">
      <c r="B4" s="3" t="n"/>
      <c r="C4" s="3" t="n"/>
      <c r="F4" s="3" t="n"/>
      <c r="G4" s="3" t="n"/>
      <c r="H4" s="4" t="n"/>
      <c r="I4" s="4" t="n"/>
      <c r="M4" s="5">
        <f>IF(A4="","",IF(E4-D4&lt;=0,"",(C4-B4)/(E4-D4)))</f>
        <v/>
      </c>
      <c r="N4" s="6">
        <f>IF(A4="","",IF(C4-B4&lt;=0,"",(G4-F4)/(C4-B4)))</f>
        <v/>
      </c>
      <c r="O4" s="7">
        <f>IF(A4="","",IF(C4&lt;=B4,"Budget not raised - no read",IF(G4&lt;F4,"Ceiling: profit falling as budget rises - stop pushing; add creatives, improve product or open a market",IF(AND(H4&gt;0,I4&lt;H4),"Watch: conversion slipping - refresh creatives before more budget",IF(J4=0,"Watch: no new creatives - freshness will decay","Keep scaling in steps")))))</f>
        <v/>
      </c>
    </row>
    <row r="5">
      <c r="B5" s="3" t="n"/>
      <c r="C5" s="3" t="n"/>
      <c r="F5" s="3" t="n"/>
      <c r="G5" s="3" t="n"/>
      <c r="H5" s="4" t="n"/>
      <c r="I5" s="4" t="n"/>
      <c r="M5" s="5">
        <f>IF(A5="","",IF(E5-D5&lt;=0,"",(C5-B5)/(E5-D5)))</f>
        <v/>
      </c>
      <c r="N5" s="6">
        <f>IF(A5="","",IF(C5-B5&lt;=0,"",(G5-F5)/(C5-B5)))</f>
        <v/>
      </c>
      <c r="O5" s="7">
        <f>IF(A5="","",IF(C5&lt;=B5,"Budget not raised - no read",IF(G5&lt;F5,"Ceiling: profit falling as budget rises - stop pushing; add creatives, improve product or open a market",IF(AND(H5&gt;0,I5&lt;H5),"Watch: conversion slipping - refresh creatives before more budget",IF(J5=0,"Watch: no new creatives - freshness will decay","Keep scaling in steps")))))</f>
        <v/>
      </c>
    </row>
    <row r="6">
      <c r="B6" s="3" t="n"/>
      <c r="C6" s="3" t="n"/>
      <c r="F6" s="3" t="n"/>
      <c r="G6" s="3" t="n"/>
      <c r="H6" s="4" t="n"/>
      <c r="I6" s="4" t="n"/>
      <c r="M6" s="5">
        <f>IF(A6="","",IF(E6-D6&lt;=0,"",(C6-B6)/(E6-D6)))</f>
        <v/>
      </c>
      <c r="N6" s="6">
        <f>IF(A6="","",IF(C6-B6&lt;=0,"",(G6-F6)/(C6-B6)))</f>
        <v/>
      </c>
      <c r="O6" s="7">
        <f>IF(A6="","",IF(C6&lt;=B6,"Budget not raised - no read",IF(G6&lt;F6,"Ceiling: profit falling as budget rises - stop pushing; add creatives, improve product or open a market",IF(AND(H6&gt;0,I6&lt;H6),"Watch: conversion slipping - refresh creatives before more budget",IF(J6=0,"Watch: no new creatives - freshness will decay","Keep scaling in steps")))))</f>
        <v/>
      </c>
    </row>
    <row r="7">
      <c r="B7" s="3" t="n"/>
      <c r="C7" s="3" t="n"/>
      <c r="F7" s="3" t="n"/>
      <c r="G7" s="3" t="n"/>
      <c r="H7" s="4" t="n"/>
      <c r="I7" s="4" t="n"/>
      <c r="M7" s="5">
        <f>IF(A7="","",IF(E7-D7&lt;=0,"",(C7-B7)/(E7-D7)))</f>
        <v/>
      </c>
      <c r="N7" s="6">
        <f>IF(A7="","",IF(C7-B7&lt;=0,"",(G7-F7)/(C7-B7)))</f>
        <v/>
      </c>
      <c r="O7" s="7">
        <f>IF(A7="","",IF(C7&lt;=B7,"Budget not raised - no read",IF(G7&lt;F7,"Ceiling: profit falling as budget rises - stop pushing; add creatives, improve product or open a market",IF(AND(H7&gt;0,I7&lt;H7),"Watch: conversion slipping - refresh creatives before more budget",IF(J7=0,"Watch: no new creatives - freshness will decay","Keep scaling in steps")))))</f>
        <v/>
      </c>
    </row>
    <row r="8">
      <c r="B8" s="3" t="n"/>
      <c r="C8" s="3" t="n"/>
      <c r="F8" s="3" t="n"/>
      <c r="G8" s="3" t="n"/>
      <c r="H8" s="4" t="n"/>
      <c r="I8" s="4" t="n"/>
      <c r="M8" s="5">
        <f>IF(A8="","",IF(E8-D8&lt;=0,"",(C8-B8)/(E8-D8)))</f>
        <v/>
      </c>
      <c r="N8" s="6">
        <f>IF(A8="","",IF(C8-B8&lt;=0,"",(G8-F8)/(C8-B8)))</f>
        <v/>
      </c>
      <c r="O8" s="7">
        <f>IF(A8="","",IF(C8&lt;=B8,"Budget not raised - no read",IF(G8&lt;F8,"Ceiling: profit falling as budget rises - stop pushing; add creatives, improve product or open a market",IF(AND(H8&gt;0,I8&lt;H8),"Watch: conversion slipping - refresh creatives before more budget",IF(J8=0,"Watch: no new creatives - freshness will decay","Keep scaling in steps")))))</f>
        <v/>
      </c>
    </row>
    <row r="9">
      <c r="B9" s="3" t="n"/>
      <c r="C9" s="3" t="n"/>
      <c r="F9" s="3" t="n"/>
      <c r="G9" s="3" t="n"/>
      <c r="H9" s="4" t="n"/>
      <c r="I9" s="4" t="n"/>
      <c r="M9" s="5">
        <f>IF(A9="","",IF(E9-D9&lt;=0,"",(C9-B9)/(E9-D9)))</f>
        <v/>
      </c>
      <c r="N9" s="6">
        <f>IF(A9="","",IF(C9-B9&lt;=0,"",(G9-F9)/(C9-B9)))</f>
        <v/>
      </c>
      <c r="O9" s="7">
        <f>IF(A9="","",IF(C9&lt;=B9,"Budget not raised - no read",IF(G9&lt;F9,"Ceiling: profit falling as budget rises - stop pushing; add creatives, improve product or open a market",IF(AND(H9&gt;0,I9&lt;H9),"Watch: conversion slipping - refresh creatives before more budget",IF(J9=0,"Watch: no new creatives - freshness will decay","Keep scaling in steps")))))</f>
        <v/>
      </c>
    </row>
    <row r="10">
      <c r="B10" s="3" t="n"/>
      <c r="C10" s="3" t="n"/>
      <c r="F10" s="3" t="n"/>
      <c r="G10" s="3" t="n"/>
      <c r="H10" s="4" t="n"/>
      <c r="I10" s="4" t="n"/>
      <c r="M10" s="5">
        <f>IF(A10="","",IF(E10-D10&lt;=0,"",(C10-B10)/(E10-D10)))</f>
        <v/>
      </c>
      <c r="N10" s="6">
        <f>IF(A10="","",IF(C10-B10&lt;=0,"",(G10-F10)/(C10-B10)))</f>
        <v/>
      </c>
      <c r="O10" s="7">
        <f>IF(A10="","",IF(C10&lt;=B10,"Budget not raised - no read",IF(G10&lt;F10,"Ceiling: profit falling as budget rises - stop pushing; add creatives, improve product or open a market",IF(AND(H10&gt;0,I10&lt;H10),"Watch: conversion slipping - refresh creatives before more budget",IF(J10=0,"Watch: no new creatives - freshness will decay","Keep scaling in steps")))))</f>
        <v/>
      </c>
    </row>
    <row r="11">
      <c r="B11" s="3" t="n"/>
      <c r="C11" s="3" t="n"/>
      <c r="F11" s="3" t="n"/>
      <c r="G11" s="3" t="n"/>
      <c r="H11" s="4" t="n"/>
      <c r="I11" s="4" t="n"/>
      <c r="M11" s="5">
        <f>IF(A11="","",IF(E11-D11&lt;=0,"",(C11-B11)/(E11-D11)))</f>
        <v/>
      </c>
      <c r="N11" s="6">
        <f>IF(A11="","",IF(C11-B11&lt;=0,"",(G11-F11)/(C11-B11)))</f>
        <v/>
      </c>
      <c r="O11" s="7">
        <f>IF(A11="","",IF(C11&lt;=B11,"Budget not raised - no read",IF(G11&lt;F11,"Ceiling: profit falling as budget rises - stop pushing; add creatives, improve product or open a market",IF(AND(H11&gt;0,I11&lt;H11),"Watch: conversion slipping - refresh creatives before more budget",IF(J11=0,"Watch: no new creatives - freshness will decay","Keep scaling in steps")))))</f>
        <v/>
      </c>
    </row>
    <row r="12">
      <c r="B12" s="3" t="n"/>
      <c r="C12" s="3" t="n"/>
      <c r="F12" s="3" t="n"/>
      <c r="G12" s="3" t="n"/>
      <c r="H12" s="4" t="n"/>
      <c r="I12" s="4" t="n"/>
      <c r="M12" s="5">
        <f>IF(A12="","",IF(E12-D12&lt;=0,"",(C12-B12)/(E12-D12)))</f>
        <v/>
      </c>
      <c r="N12" s="6">
        <f>IF(A12="","",IF(C12-B12&lt;=0,"",(G12-F12)/(C12-B12)))</f>
        <v/>
      </c>
      <c r="O12" s="7">
        <f>IF(A12="","",IF(C12&lt;=B12,"Budget not raised - no read",IF(G12&lt;F12,"Ceiling: profit falling as budget rises - stop pushing; add creatives, improve product or open a market",IF(AND(H12&gt;0,I12&lt;H12),"Watch: conversion slipping - refresh creatives before more budget",IF(J12=0,"Watch: no new creatives - freshness will decay","Keep scaling in steps")))))</f>
        <v/>
      </c>
    </row>
    <row r="13">
      <c r="B13" s="3" t="n"/>
      <c r="C13" s="3" t="n"/>
      <c r="F13" s="3" t="n"/>
      <c r="G13" s="3" t="n"/>
      <c r="H13" s="4" t="n"/>
      <c r="I13" s="4" t="n"/>
      <c r="M13" s="5">
        <f>IF(A13="","",IF(E13-D13&lt;=0,"",(C13-B13)/(E13-D13)))</f>
        <v/>
      </c>
      <c r="N13" s="6">
        <f>IF(A13="","",IF(C13-B13&lt;=0,"",(G13-F13)/(C13-B13)))</f>
        <v/>
      </c>
      <c r="O13" s="7">
        <f>IF(A13="","",IF(C13&lt;=B13,"Budget not raised - no read",IF(G13&lt;F13,"Ceiling: profit falling as budget rises - stop pushing; add creatives, improve product or open a market",IF(AND(H13&gt;0,I13&lt;H13),"Watch: conversion slipping - refresh creatives before more budget",IF(J13=0,"Watch: no new creatives - freshness will decay","Keep scaling in steps")))))</f>
        <v/>
      </c>
    </row>
    <row r="14">
      <c r="B14" s="3" t="n"/>
      <c r="C14" s="3" t="n"/>
      <c r="F14" s="3" t="n"/>
      <c r="G14" s="3" t="n"/>
      <c r="H14" s="4" t="n"/>
      <c r="I14" s="4" t="n"/>
      <c r="M14" s="5">
        <f>IF(A14="","",IF(E14-D14&lt;=0,"",(C14-B14)/(E14-D14)))</f>
        <v/>
      </c>
      <c r="N14" s="6">
        <f>IF(A14="","",IF(C14-B14&lt;=0,"",(G14-F14)/(C14-B14)))</f>
        <v/>
      </c>
      <c r="O14" s="7">
        <f>IF(A14="","",IF(C14&lt;=B14,"Budget not raised - no read",IF(G14&lt;F14,"Ceiling: profit falling as budget rises - stop pushing; add creatives, improve product or open a market",IF(AND(H14&gt;0,I14&lt;H14),"Watch: conversion slipping - refresh creatives before more budget",IF(J14=0,"Watch: no new creatives - freshness will decay","Keep scaling in steps")))))</f>
        <v/>
      </c>
    </row>
    <row r="15">
      <c r="B15" s="3" t="n"/>
      <c r="C15" s="3" t="n"/>
      <c r="F15" s="3" t="n"/>
      <c r="G15" s="3" t="n"/>
      <c r="H15" s="4" t="n"/>
      <c r="I15" s="4" t="n"/>
      <c r="M15" s="5">
        <f>IF(A15="","",IF(E15-D15&lt;=0,"",(C15-B15)/(E15-D15)))</f>
        <v/>
      </c>
      <c r="N15" s="6">
        <f>IF(A15="","",IF(C15-B15&lt;=0,"",(G15-F15)/(C15-B15)))</f>
        <v/>
      </c>
      <c r="O15" s="7">
        <f>IF(A15="","",IF(C15&lt;=B15,"Budget not raised - no read",IF(G15&lt;F15,"Ceiling: profit falling as budget rises - stop pushing; add creatives, improve product or open a market",IF(AND(H15&gt;0,I15&lt;H15),"Watch: conversion slipping - refresh creatives before more budget",IF(J15=0,"Watch: no new creatives - freshness will decay","Keep scaling in steps")))))</f>
        <v/>
      </c>
    </row>
    <row r="16">
      <c r="B16" s="3" t="n"/>
      <c r="C16" s="3" t="n"/>
      <c r="F16" s="3" t="n"/>
      <c r="G16" s="3" t="n"/>
      <c r="H16" s="4" t="n"/>
      <c r="I16" s="4" t="n"/>
      <c r="M16" s="5">
        <f>IF(A16="","",IF(E16-D16&lt;=0,"",(C16-B16)/(E16-D16)))</f>
        <v/>
      </c>
      <c r="N16" s="6">
        <f>IF(A16="","",IF(C16-B16&lt;=0,"",(G16-F16)/(C16-B16)))</f>
        <v/>
      </c>
      <c r="O16" s="7">
        <f>IF(A16="","",IF(C16&lt;=B16,"Budget not raised - no read",IF(G16&lt;F16,"Ceiling: profit falling as budget rises - stop pushing; add creatives, improve product or open a market",IF(AND(H16&gt;0,I16&lt;H16),"Watch: conversion slipping - refresh creatives before more budget",IF(J16=0,"Watch: no new creatives - freshness will decay","Keep scaling in steps")))))</f>
        <v/>
      </c>
    </row>
    <row r="17">
      <c r="B17" s="3" t="n"/>
      <c r="C17" s="3" t="n"/>
      <c r="F17" s="3" t="n"/>
      <c r="G17" s="3" t="n"/>
      <c r="H17" s="4" t="n"/>
      <c r="I17" s="4" t="n"/>
      <c r="M17" s="5">
        <f>IF(A17="","",IF(E17-D17&lt;=0,"",(C17-B17)/(E17-D17)))</f>
        <v/>
      </c>
      <c r="N17" s="6">
        <f>IF(A17="","",IF(C17-B17&lt;=0,"",(G17-F17)/(C17-B17)))</f>
        <v/>
      </c>
      <c r="O17" s="7">
        <f>IF(A17="","",IF(C17&lt;=B17,"Budget not raised - no read",IF(G17&lt;F17,"Ceiling: profit falling as budget rises - stop pushing; add creatives, improve product or open a market",IF(AND(H17&gt;0,I17&lt;H17),"Watch: conversion slipping - refresh creatives before more budget",IF(J17=0,"Watch: no new creatives - freshness will decay","Keep scaling in steps")))))</f>
        <v/>
      </c>
    </row>
    <row r="18">
      <c r="B18" s="3" t="n"/>
      <c r="C18" s="3" t="n"/>
      <c r="F18" s="3" t="n"/>
      <c r="G18" s="3" t="n"/>
      <c r="H18" s="4" t="n"/>
      <c r="I18" s="4" t="n"/>
      <c r="M18" s="5">
        <f>IF(A18="","",IF(E18-D18&lt;=0,"",(C18-B18)/(E18-D18)))</f>
        <v/>
      </c>
      <c r="N18" s="6">
        <f>IF(A18="","",IF(C18-B18&lt;=0,"",(G18-F18)/(C18-B18)))</f>
        <v/>
      </c>
      <c r="O18" s="7">
        <f>IF(A18="","",IF(C18&lt;=B18,"Budget not raised - no read",IF(G18&lt;F18,"Ceiling: profit falling as budget rises - stop pushing; add creatives, improve product or open a market",IF(AND(H18&gt;0,I18&lt;H18),"Watch: conversion slipping - refresh creatives before more budget",IF(J18=0,"Watch: no new creatives - freshness will decay","Keep scaling in steps")))))</f>
        <v/>
      </c>
    </row>
    <row r="19">
      <c r="B19" s="3" t="n"/>
      <c r="C19" s="3" t="n"/>
      <c r="F19" s="3" t="n"/>
      <c r="G19" s="3" t="n"/>
      <c r="H19" s="4" t="n"/>
      <c r="I19" s="4" t="n"/>
      <c r="M19" s="5">
        <f>IF(A19="","",IF(E19-D19&lt;=0,"",(C19-B19)/(E19-D19)))</f>
        <v/>
      </c>
      <c r="N19" s="6">
        <f>IF(A19="","",IF(C19-B19&lt;=0,"",(G19-F19)/(C19-B19)))</f>
        <v/>
      </c>
      <c r="O19" s="7">
        <f>IF(A19="","",IF(C19&lt;=B19,"Budget not raised - no read",IF(G19&lt;F19,"Ceiling: profit falling as budget rises - stop pushing; add creatives, improve product or open a market",IF(AND(H19&gt;0,I19&lt;H19),"Watch: conversion slipping - refresh creatives before more budget",IF(J19=0,"Watch: no new creatives - freshness will decay","Keep scaling in steps")))))</f>
        <v/>
      </c>
    </row>
    <row r="20">
      <c r="B20" s="3" t="n"/>
      <c r="C20" s="3" t="n"/>
      <c r="F20" s="3" t="n"/>
      <c r="G20" s="3" t="n"/>
      <c r="H20" s="4" t="n"/>
      <c r="I20" s="4" t="n"/>
      <c r="M20" s="5">
        <f>IF(A20="","",IF(E20-D20&lt;=0,"",(C20-B20)/(E20-D20)))</f>
        <v/>
      </c>
      <c r="N20" s="6">
        <f>IF(A20="","",IF(C20-B20&lt;=0,"",(G20-F20)/(C20-B20)))</f>
        <v/>
      </c>
      <c r="O20" s="7">
        <f>IF(A20="","",IF(C20&lt;=B20,"Budget not raised - no read",IF(G20&lt;F20,"Ceiling: profit falling as budget rises - stop pushing; add creatives, improve product or open a market",IF(AND(H20&gt;0,I20&lt;H20),"Watch: conversion slipping - refresh creatives before more budget",IF(J20=0,"Watch: no new creatives - freshness will decay","Keep scaling in steps")))))</f>
        <v/>
      </c>
    </row>
    <row r="21">
      <c r="B21" s="3" t="n"/>
      <c r="C21" s="3" t="n"/>
      <c r="F21" s="3" t="n"/>
      <c r="G21" s="3" t="n"/>
      <c r="H21" s="4" t="n"/>
      <c r="I21" s="4" t="n"/>
      <c r="M21" s="5">
        <f>IF(A21="","",IF(E21-D21&lt;=0,"",(C21-B21)/(E21-D21)))</f>
        <v/>
      </c>
      <c r="N21" s="6">
        <f>IF(A21="","",IF(C21-B21&lt;=0,"",(G21-F21)/(C21-B21)))</f>
        <v/>
      </c>
      <c r="O21" s="7">
        <f>IF(A21="","",IF(C21&lt;=B21,"Budget not raised - no read",IF(G21&lt;F21,"Ceiling: profit falling as budget rises - stop pushing; add creatives, improve product or open a market",IF(AND(H21&gt;0,I21&lt;H21),"Watch: conversion slipping - refresh creatives before more budget",IF(J21=0,"Watch: no new creatives - freshness will decay","Keep scaling in steps")))))</f>
        <v/>
      </c>
    </row>
    <row r="22">
      <c r="B22" s="3" t="n"/>
      <c r="C22" s="3" t="n"/>
      <c r="F22" s="3" t="n"/>
      <c r="G22" s="3" t="n"/>
      <c r="H22" s="4" t="n"/>
      <c r="I22" s="4" t="n"/>
      <c r="M22" s="5">
        <f>IF(A22="","",IF(E22-D22&lt;=0,"",(C22-B22)/(E22-D22)))</f>
        <v/>
      </c>
      <c r="N22" s="6">
        <f>IF(A22="","",IF(C22-B22&lt;=0,"",(G22-F22)/(C22-B22)))</f>
        <v/>
      </c>
      <c r="O22" s="7">
        <f>IF(A22="","",IF(C22&lt;=B22,"Budget not raised - no read",IF(G22&lt;F22,"Ceiling: profit falling as budget rises - stop pushing; add creatives, improve product or open a market",IF(AND(H22&gt;0,I22&lt;H22),"Watch: conversion slipping - refresh creatives before more budget",IF(J22=0,"Watch: no new creatives - freshness will decay","Keep scaling in steps")))))</f>
        <v/>
      </c>
    </row>
    <row r="23">
      <c r="B23" s="3" t="n"/>
      <c r="C23" s="3" t="n"/>
      <c r="F23" s="3" t="n"/>
      <c r="G23" s="3" t="n"/>
      <c r="H23" s="4" t="n"/>
      <c r="I23" s="4" t="n"/>
      <c r="M23" s="5">
        <f>IF(A23="","",IF(E23-D23&lt;=0,"",(C23-B23)/(E23-D23)))</f>
        <v/>
      </c>
      <c r="N23" s="6">
        <f>IF(A23="","",IF(C23-B23&lt;=0,"",(G23-F23)/(C23-B23)))</f>
        <v/>
      </c>
      <c r="O23" s="7">
        <f>IF(A23="","",IF(C23&lt;=B23,"Budget not raised - no read",IF(G23&lt;F23,"Ceiling: profit falling as budget rises - stop pushing; add creatives, improve product or open a market",IF(AND(H23&gt;0,I23&lt;H23),"Watch: conversion slipping - refresh creatives before more budget",IF(J23=0,"Watch: no new creatives - freshness will decay","Keep scaling in steps")))))</f>
        <v/>
      </c>
    </row>
    <row r="24">
      <c r="B24" s="3" t="n"/>
      <c r="C24" s="3" t="n"/>
      <c r="F24" s="3" t="n"/>
      <c r="G24" s="3" t="n"/>
      <c r="H24" s="4" t="n"/>
      <c r="I24" s="4" t="n"/>
      <c r="M24" s="5">
        <f>IF(A24="","",IF(E24-D24&lt;=0,"",(C24-B24)/(E24-D24)))</f>
        <v/>
      </c>
      <c r="N24" s="6">
        <f>IF(A24="","",IF(C24-B24&lt;=0,"",(G24-F24)/(C24-B24)))</f>
        <v/>
      </c>
      <c r="O24" s="7">
        <f>IF(A24="","",IF(C24&lt;=B24,"Budget not raised - no read",IF(G24&lt;F24,"Ceiling: profit falling as budget rises - stop pushing; add creatives, improve product or open a market",IF(AND(H24&gt;0,I24&lt;H24),"Watch: conversion slipping - refresh creatives before more budget",IF(J24=0,"Watch: no new creatives - freshness will decay","Keep scaling in steps")))))</f>
        <v/>
      </c>
    </row>
    <row r="25">
      <c r="B25" s="3" t="n"/>
      <c r="C25" s="3" t="n"/>
      <c r="F25" s="3" t="n"/>
      <c r="G25" s="3" t="n"/>
      <c r="H25" s="4" t="n"/>
      <c r="I25" s="4" t="n"/>
      <c r="M25" s="5">
        <f>IF(A25="","",IF(E25-D25&lt;=0,"",(C25-B25)/(E25-D25)))</f>
        <v/>
      </c>
      <c r="N25" s="6">
        <f>IF(A25="","",IF(C25-B25&lt;=0,"",(G25-F25)/(C25-B25)))</f>
        <v/>
      </c>
      <c r="O25" s="7">
        <f>IF(A25="","",IF(C25&lt;=B25,"Budget not raised - no read",IF(G25&lt;F25,"Ceiling: profit falling as budget rises - stop pushing; add creatives, improve product or open a market",IF(AND(H25&gt;0,I25&lt;H25),"Watch: conversion slipping - refresh creatives before more budget",IF(J25=0,"Watch: no new creatives - freshness will decay","Keep scaling in steps")))))</f>
        <v/>
      </c>
    </row>
    <row r="26">
      <c r="B26" s="3" t="n"/>
      <c r="C26" s="3" t="n"/>
      <c r="F26" s="3" t="n"/>
      <c r="G26" s="3" t="n"/>
      <c r="H26" s="4" t="n"/>
      <c r="I26" s="4" t="n"/>
      <c r="M26" s="5">
        <f>IF(A26="","",IF(E26-D26&lt;=0,"",(C26-B26)/(E26-D26)))</f>
        <v/>
      </c>
      <c r="N26" s="6">
        <f>IF(A26="","",IF(C26-B26&lt;=0,"",(G26-F26)/(C26-B26)))</f>
        <v/>
      </c>
      <c r="O26" s="7">
        <f>IF(A26="","",IF(C26&lt;=B26,"Budget not raised - no read",IF(G26&lt;F26,"Ceiling: profit falling as budget rises - stop pushing; add creatives, improve product or open a market",IF(AND(H26&gt;0,I26&lt;H26),"Watch: conversion slipping - refresh creatives before more budget",IF(J26=0,"Watch: no new creatives - freshness will decay","Keep scaling in steps")))))</f>
        <v/>
      </c>
    </row>
    <row r="27">
      <c r="B27" s="3" t="n"/>
      <c r="C27" s="3" t="n"/>
      <c r="F27" s="3" t="n"/>
      <c r="G27" s="3" t="n"/>
      <c r="H27" s="4" t="n"/>
      <c r="I27" s="4" t="n"/>
      <c r="M27" s="5">
        <f>IF(A27="","",IF(E27-D27&lt;=0,"",(C27-B27)/(E27-D27)))</f>
        <v/>
      </c>
      <c r="N27" s="6">
        <f>IF(A27="","",IF(C27-B27&lt;=0,"",(G27-F27)/(C27-B27)))</f>
        <v/>
      </c>
      <c r="O27" s="7">
        <f>IF(A27="","",IF(C27&lt;=B27,"Budget not raised - no read",IF(G27&lt;F27,"Ceiling: profit falling as budget rises - stop pushing; add creatives, improve product or open a market",IF(AND(H27&gt;0,I27&lt;H27),"Watch: conversion slipping - refresh creatives before more budget",IF(J27=0,"Watch: no new creatives - freshness will decay","Keep scaling in steps")))))</f>
        <v/>
      </c>
    </row>
    <row r="28">
      <c r="B28" s="3" t="n"/>
      <c r="C28" s="3" t="n"/>
      <c r="F28" s="3" t="n"/>
      <c r="G28" s="3" t="n"/>
      <c r="H28" s="4" t="n"/>
      <c r="I28" s="4" t="n"/>
      <c r="M28" s="5">
        <f>IF(A28="","",IF(E28-D28&lt;=0,"",(C28-B28)/(E28-D28)))</f>
        <v/>
      </c>
      <c r="N28" s="6">
        <f>IF(A28="","",IF(C28-B28&lt;=0,"",(G28-F28)/(C28-B28)))</f>
        <v/>
      </c>
      <c r="O28" s="7">
        <f>IF(A28="","",IF(C28&lt;=B28,"Budget not raised - no read",IF(G28&lt;F28,"Ceiling: profit falling as budget rises - stop pushing; add creatives, improve product or open a market",IF(AND(H28&gt;0,I28&lt;H28),"Watch: conversion slipping - refresh creatives before more budget",IF(J28=0,"Watch: no new creatives - freshness will decay","Keep scaling in steps")))))</f>
        <v/>
      </c>
    </row>
    <row r="29">
      <c r="B29" s="3" t="n"/>
      <c r="C29" s="3" t="n"/>
      <c r="F29" s="3" t="n"/>
      <c r="G29" s="3" t="n"/>
      <c r="H29" s="4" t="n"/>
      <c r="I29" s="4" t="n"/>
      <c r="M29" s="5">
        <f>IF(A29="","",IF(E29-D29&lt;=0,"",(C29-B29)/(E29-D29)))</f>
        <v/>
      </c>
      <c r="N29" s="6">
        <f>IF(A29="","",IF(C29-B29&lt;=0,"",(G29-F29)/(C29-B29)))</f>
        <v/>
      </c>
      <c r="O29" s="7">
        <f>IF(A29="","",IF(C29&lt;=B29,"Budget not raised - no read",IF(G29&lt;F29,"Ceiling: profit falling as budget rises - stop pushing; add creatives, improve product or open a market",IF(AND(H29&gt;0,I29&lt;H29),"Watch: conversion slipping - refresh creatives before more budget",IF(J29=0,"Watch: no new creatives - freshness will decay","Keep scaling in steps")))))</f>
        <v/>
      </c>
    </row>
    <row r="30">
      <c r="B30" s="3" t="n"/>
      <c r="C30" s="3" t="n"/>
      <c r="F30" s="3" t="n"/>
      <c r="G30" s="3" t="n"/>
      <c r="H30" s="4" t="n"/>
      <c r="I30" s="4" t="n"/>
      <c r="M30" s="5">
        <f>IF(A30="","",IF(E30-D30&lt;=0,"",(C30-B30)/(E30-D30)))</f>
        <v/>
      </c>
      <c r="N30" s="6">
        <f>IF(A30="","",IF(C30-B30&lt;=0,"",(G30-F30)/(C30-B30)))</f>
        <v/>
      </c>
      <c r="O30" s="7">
        <f>IF(A30="","",IF(C30&lt;=B30,"Budget not raised - no read",IF(G30&lt;F30,"Ceiling: profit falling as budget rises - stop pushing; add creatives, improve product or open a market",IF(AND(H30&gt;0,I30&lt;H30),"Watch: conversion slipping - refresh creatives before more budget",IF(J30=0,"Watch: no new creatives - freshness will decay","Keep scaling in steps")))))</f>
        <v/>
      </c>
    </row>
    <row r="31">
      <c r="B31" s="3" t="n"/>
      <c r="C31" s="3" t="n"/>
      <c r="F31" s="3" t="n"/>
      <c r="G31" s="3" t="n"/>
      <c r="H31" s="4" t="n"/>
      <c r="I31" s="4" t="n"/>
      <c r="M31" s="5">
        <f>IF(A31="","",IF(E31-D31&lt;=0,"",(C31-B31)/(E31-D31)))</f>
        <v/>
      </c>
      <c r="N31" s="6">
        <f>IF(A31="","",IF(C31-B31&lt;=0,"",(G31-F31)/(C31-B31)))</f>
        <v/>
      </c>
      <c r="O31" s="7">
        <f>IF(A31="","",IF(C31&lt;=B31,"Budget not raised - no read",IF(G31&lt;F31,"Ceiling: profit falling as budget rises - stop pushing; add creatives, improve product or open a market",IF(AND(H31&gt;0,I31&lt;H31),"Watch: conversion slipping - refresh creatives before more budget",IF(J31=0,"Watch: no new creatives - freshness will decay","Keep scaling in steps")))))</f>
        <v/>
      </c>
    </row>
    <row r="32">
      <c r="B32" s="3" t="n"/>
      <c r="C32" s="3" t="n"/>
      <c r="F32" s="3" t="n"/>
      <c r="G32" s="3" t="n"/>
      <c r="H32" s="4" t="n"/>
      <c r="I32" s="4" t="n"/>
      <c r="M32" s="5">
        <f>IF(A32="","",IF(E32-D32&lt;=0,"",(C32-B32)/(E32-D32)))</f>
        <v/>
      </c>
      <c r="N32" s="6">
        <f>IF(A32="","",IF(C32-B32&lt;=0,"",(G32-F32)/(C32-B32)))</f>
        <v/>
      </c>
      <c r="O32" s="7">
        <f>IF(A32="","",IF(C32&lt;=B32,"Budget not raised - no read",IF(G32&lt;F32,"Ceiling: profit falling as budget rises - stop pushing; add creatives, improve product or open a market",IF(AND(H32&gt;0,I32&lt;H32),"Watch: conversion slipping - refresh creatives before more budget",IF(J32=0,"Watch: no new creatives - freshness will decay","Keep scaling in steps")))))</f>
        <v/>
      </c>
    </row>
    <row r="33">
      <c r="B33" s="3" t="n"/>
      <c r="C33" s="3" t="n"/>
      <c r="F33" s="3" t="n"/>
      <c r="G33" s="3" t="n"/>
      <c r="H33" s="4" t="n"/>
      <c r="I33" s="4" t="n"/>
      <c r="M33" s="5">
        <f>IF(A33="","",IF(E33-D33&lt;=0,"",(C33-B33)/(E33-D33)))</f>
        <v/>
      </c>
      <c r="N33" s="6">
        <f>IF(A33="","",IF(C33-B33&lt;=0,"",(G33-F33)/(C33-B33)))</f>
        <v/>
      </c>
      <c r="O33" s="7">
        <f>IF(A33="","",IF(C33&lt;=B33,"Budget not raised - no read",IF(G33&lt;F33,"Ceiling: profit falling as budget rises - stop pushing; add creatives, improve product or open a market",IF(AND(H33&gt;0,I33&lt;H33),"Watch: conversion slipping - refresh creatives before more budget",IF(J33=0,"Watch: no new creatives - freshness will decay","Keep scaling in steps")))))</f>
        <v/>
      </c>
    </row>
    <row r="34">
      <c r="B34" s="3" t="n"/>
      <c r="C34" s="3" t="n"/>
      <c r="F34" s="3" t="n"/>
      <c r="G34" s="3" t="n"/>
      <c r="H34" s="4" t="n"/>
      <c r="I34" s="4" t="n"/>
      <c r="M34" s="5">
        <f>IF(A34="","",IF(E34-D34&lt;=0,"",(C34-B34)/(E34-D34)))</f>
        <v/>
      </c>
      <c r="N34" s="6">
        <f>IF(A34="","",IF(C34-B34&lt;=0,"",(G34-F34)/(C34-B34)))</f>
        <v/>
      </c>
      <c r="O34" s="7">
        <f>IF(A34="","",IF(C34&lt;=B34,"Budget not raised - no read",IF(G34&lt;F34,"Ceiling: profit falling as budget rises - stop pushing; add creatives, improve product or open a market",IF(AND(H34&gt;0,I34&lt;H34),"Watch: conversion slipping - refresh creatives before more budget",IF(J34=0,"Watch: no new creatives - freshness will decay","Keep scaling in steps")))))</f>
        <v/>
      </c>
    </row>
    <row r="35">
      <c r="B35" s="3" t="n"/>
      <c r="C35" s="3" t="n"/>
      <c r="F35" s="3" t="n"/>
      <c r="G35" s="3" t="n"/>
      <c r="H35" s="4" t="n"/>
      <c r="I35" s="4" t="n"/>
      <c r="M35" s="5">
        <f>IF(A35="","",IF(E35-D35&lt;=0,"",(C35-B35)/(E35-D35)))</f>
        <v/>
      </c>
      <c r="N35" s="6">
        <f>IF(A35="","",IF(C35-B35&lt;=0,"",(G35-F35)/(C35-B35)))</f>
        <v/>
      </c>
      <c r="O35" s="7">
        <f>IF(A35="","",IF(C35&lt;=B35,"Budget not raised - no read",IF(G35&lt;F35,"Ceiling: profit falling as budget rises - stop pushing; add creatives, improve product or open a market",IF(AND(H35&gt;0,I35&lt;H35),"Watch: conversion slipping - refresh creatives before more budget",IF(J35=0,"Watch: no new creatives - freshness will decay","Keep scaling in steps")))))</f>
        <v/>
      </c>
    </row>
    <row r="36">
      <c r="B36" s="3" t="n"/>
      <c r="C36" s="3" t="n"/>
      <c r="F36" s="3" t="n"/>
      <c r="G36" s="3" t="n"/>
      <c r="H36" s="4" t="n"/>
      <c r="I36" s="4" t="n"/>
      <c r="M36" s="5">
        <f>IF(A36="","",IF(E36-D36&lt;=0,"",(C36-B36)/(E36-D36)))</f>
        <v/>
      </c>
      <c r="N36" s="6">
        <f>IF(A36="","",IF(C36-B36&lt;=0,"",(G36-F36)/(C36-B36)))</f>
        <v/>
      </c>
      <c r="O36" s="7">
        <f>IF(A36="","",IF(C36&lt;=B36,"Budget not raised - no read",IF(G36&lt;F36,"Ceiling: profit falling as budget rises - stop pushing; add creatives, improve product or open a market",IF(AND(H36&gt;0,I36&lt;H36),"Watch: conversion slipping - refresh creatives before more budget",IF(J36=0,"Watch: no new creatives - freshness will decay","Keep scaling in steps")))))</f>
        <v/>
      </c>
    </row>
    <row r="37">
      <c r="B37" s="3" t="n"/>
      <c r="C37" s="3" t="n"/>
      <c r="F37" s="3" t="n"/>
      <c r="G37" s="3" t="n"/>
      <c r="H37" s="4" t="n"/>
      <c r="I37" s="4" t="n"/>
      <c r="M37" s="5">
        <f>IF(A37="","",IF(E37-D37&lt;=0,"",(C37-B37)/(E37-D37)))</f>
        <v/>
      </c>
      <c r="N37" s="6">
        <f>IF(A37="","",IF(C37-B37&lt;=0,"",(G37-F37)/(C37-B37)))</f>
        <v/>
      </c>
      <c r="O37" s="7">
        <f>IF(A37="","",IF(C37&lt;=B37,"Budget not raised - no read",IF(G37&lt;F37,"Ceiling: profit falling as budget rises - stop pushing; add creatives, improve product or open a market",IF(AND(H37&gt;0,I37&lt;H37),"Watch: conversion slipping - refresh creatives before more budget",IF(J37=0,"Watch: no new creatives - freshness will decay","Keep scaling in steps")))))</f>
        <v/>
      </c>
    </row>
    <row r="38">
      <c r="B38" s="3" t="n"/>
      <c r="C38" s="3" t="n"/>
      <c r="F38" s="3" t="n"/>
      <c r="G38" s="3" t="n"/>
      <c r="H38" s="4" t="n"/>
      <c r="I38" s="4" t="n"/>
      <c r="M38" s="5">
        <f>IF(A38="","",IF(E38-D38&lt;=0,"",(C38-B38)/(E38-D38)))</f>
        <v/>
      </c>
      <c r="N38" s="6">
        <f>IF(A38="","",IF(C38-B38&lt;=0,"",(G38-F38)/(C38-B38)))</f>
        <v/>
      </c>
      <c r="O38" s="7">
        <f>IF(A38="","",IF(C38&lt;=B38,"Budget not raised - no read",IF(G38&lt;F38,"Ceiling: profit falling as budget rises - stop pushing; add creatives, improve product or open a market",IF(AND(H38&gt;0,I38&lt;H38),"Watch: conversion slipping - refresh creatives before more budget",IF(J38=0,"Watch: no new creatives - freshness will decay","Keep scaling in steps")))))</f>
        <v/>
      </c>
    </row>
    <row r="39">
      <c r="B39" s="3" t="n"/>
      <c r="C39" s="3" t="n"/>
      <c r="F39" s="3" t="n"/>
      <c r="G39" s="3" t="n"/>
      <c r="H39" s="4" t="n"/>
      <c r="I39" s="4" t="n"/>
      <c r="M39" s="5">
        <f>IF(A39="","",IF(E39-D39&lt;=0,"",(C39-B39)/(E39-D39)))</f>
        <v/>
      </c>
      <c r="N39" s="6">
        <f>IF(A39="","",IF(C39-B39&lt;=0,"",(G39-F39)/(C39-B39)))</f>
        <v/>
      </c>
      <c r="O39" s="7">
        <f>IF(A39="","",IF(C39&lt;=B39,"Budget not raised - no read",IF(G39&lt;F39,"Ceiling: profit falling as budget rises - stop pushing; add creatives, improve product or open a market",IF(AND(H39&gt;0,I39&lt;H39),"Watch: conversion slipping - refresh creatives before more budget",IF(J39=0,"Watch: no new creatives - freshness will decay","Keep scaling in steps")))))</f>
        <v/>
      </c>
    </row>
    <row r="40">
      <c r="B40" s="3" t="n"/>
      <c r="C40" s="3" t="n"/>
      <c r="F40" s="3" t="n"/>
      <c r="G40" s="3" t="n"/>
      <c r="H40" s="4" t="n"/>
      <c r="I40" s="4" t="n"/>
      <c r="M40" s="5">
        <f>IF(A40="","",IF(E40-D40&lt;=0,"",(C40-B40)/(E40-D40)))</f>
        <v/>
      </c>
      <c r="N40" s="6">
        <f>IF(A40="","",IF(C40-B40&lt;=0,"",(G40-F40)/(C40-B40)))</f>
        <v/>
      </c>
      <c r="O40" s="7">
        <f>IF(A40="","",IF(C40&lt;=B40,"Budget not raised - no read",IF(G40&lt;F40,"Ceiling: profit falling as budget rises - stop pushing; add creatives, improve product or open a market",IF(AND(H40&gt;0,I40&lt;H40),"Watch: conversion slipping - refresh creatives before more budget",IF(J40=0,"Watch: no new creatives - freshness will decay","Keep scaling in steps")))))</f>
        <v/>
      </c>
    </row>
    <row r="41">
      <c r="B41" s="3" t="n"/>
      <c r="C41" s="3" t="n"/>
      <c r="F41" s="3" t="n"/>
      <c r="G41" s="3" t="n"/>
      <c r="H41" s="4" t="n"/>
      <c r="I41" s="4" t="n"/>
      <c r="M41" s="5">
        <f>IF(A41="","",IF(E41-D41&lt;=0,"",(C41-B41)/(E41-D41)))</f>
        <v/>
      </c>
      <c r="N41" s="6">
        <f>IF(A41="","",IF(C41-B41&lt;=0,"",(G41-F41)/(C41-B41)))</f>
        <v/>
      </c>
      <c r="O41" s="7">
        <f>IF(A41="","",IF(C41&lt;=B41,"Budget not raised - no read",IF(G41&lt;F41,"Ceiling: profit falling as budget rises - stop pushing; add creatives, improve product or open a market",IF(AND(H41&gt;0,I41&lt;H41),"Watch: conversion slipping - refresh creatives before more budget",IF(J41=0,"Watch: no new creatives - freshness will decay","Keep scaling in steps")))))</f>
        <v/>
      </c>
    </row>
    <row r="42">
      <c r="B42" s="3" t="n"/>
      <c r="C42" s="3" t="n"/>
      <c r="F42" s="3" t="n"/>
      <c r="G42" s="3" t="n"/>
      <c r="H42" s="4" t="n"/>
      <c r="I42" s="4" t="n"/>
      <c r="M42" s="5">
        <f>IF(A42="","",IF(E42-D42&lt;=0,"",(C42-B42)/(E42-D42)))</f>
        <v/>
      </c>
      <c r="N42" s="6">
        <f>IF(A42="","",IF(C42-B42&lt;=0,"",(G42-F42)/(C42-B42)))</f>
        <v/>
      </c>
      <c r="O42" s="7">
        <f>IF(A42="","",IF(C42&lt;=B42,"Budget not raised - no read",IF(G42&lt;F42,"Ceiling: profit falling as budget rises - stop pushing; add creatives, improve product or open a market",IF(AND(H42&gt;0,I42&lt;H42),"Watch: conversion slipping - refresh creatives before more budget",IF(J42=0,"Watch: no new creatives - freshness will decay","Keep scaling in steps")))))</f>
        <v/>
      </c>
    </row>
    <row r="43">
      <c r="B43" s="3" t="n"/>
      <c r="C43" s="3" t="n"/>
      <c r="F43" s="3" t="n"/>
      <c r="G43" s="3" t="n"/>
      <c r="H43" s="4" t="n"/>
      <c r="I43" s="4" t="n"/>
      <c r="M43" s="5">
        <f>IF(A43="","",IF(E43-D43&lt;=0,"",(C43-B43)/(E43-D43)))</f>
        <v/>
      </c>
      <c r="N43" s="6">
        <f>IF(A43="","",IF(C43-B43&lt;=0,"",(G43-F43)/(C43-B43)))</f>
        <v/>
      </c>
      <c r="O43" s="7">
        <f>IF(A43="","",IF(C43&lt;=B43,"Budget not raised - no read",IF(G43&lt;F43,"Ceiling: profit falling as budget rises - stop pushing; add creatives, improve product or open a market",IF(AND(H43&gt;0,I43&lt;H43),"Watch: conversion slipping - refresh creatives before more budget",IF(J43=0,"Watch: no new creatives - freshness will decay","Keep scaling in steps")))))</f>
        <v/>
      </c>
    </row>
    <row r="44">
      <c r="B44" s="3" t="n"/>
      <c r="C44" s="3" t="n"/>
      <c r="F44" s="3" t="n"/>
      <c r="G44" s="3" t="n"/>
      <c r="H44" s="4" t="n"/>
      <c r="I44" s="4" t="n"/>
      <c r="M44" s="5">
        <f>IF(A44="","",IF(E44-D44&lt;=0,"",(C44-B44)/(E44-D44)))</f>
        <v/>
      </c>
      <c r="N44" s="6">
        <f>IF(A44="","",IF(C44-B44&lt;=0,"",(G44-F44)/(C44-B44)))</f>
        <v/>
      </c>
      <c r="O44" s="7">
        <f>IF(A44="","",IF(C44&lt;=B44,"Budget not raised - no read",IF(G44&lt;F44,"Ceiling: profit falling as budget rises - stop pushing; add creatives, improve product or open a market",IF(AND(H44&gt;0,I44&lt;H44),"Watch: conversion slipping - refresh creatives before more budget",IF(J44=0,"Watch: no new creatives - freshness will decay","Keep scaling in steps")))))</f>
        <v/>
      </c>
    </row>
    <row r="45">
      <c r="B45" s="3" t="n"/>
      <c r="C45" s="3" t="n"/>
      <c r="F45" s="3" t="n"/>
      <c r="G45" s="3" t="n"/>
      <c r="H45" s="4" t="n"/>
      <c r="I45" s="4" t="n"/>
      <c r="M45" s="5">
        <f>IF(A45="","",IF(E45-D45&lt;=0,"",(C45-B45)/(E45-D45)))</f>
        <v/>
      </c>
      <c r="N45" s="6">
        <f>IF(A45="","",IF(C45-B45&lt;=0,"",(G45-F45)/(C45-B45)))</f>
        <v/>
      </c>
      <c r="O45" s="7">
        <f>IF(A45="","",IF(C45&lt;=B45,"Budget not raised - no read",IF(G45&lt;F45,"Ceiling: profit falling as budget rises - stop pushing; add creatives, improve product or open a market",IF(AND(H45&gt;0,I45&lt;H45),"Watch: conversion slipping - refresh creatives before more budget",IF(J45=0,"Watch: no new creatives - freshness will decay","Keep scaling in steps")))))</f>
        <v/>
      </c>
    </row>
    <row r="46">
      <c r="B46" s="3" t="n"/>
      <c r="C46" s="3" t="n"/>
      <c r="F46" s="3" t="n"/>
      <c r="G46" s="3" t="n"/>
      <c r="H46" s="4" t="n"/>
      <c r="I46" s="4" t="n"/>
      <c r="M46" s="5">
        <f>IF(A46="","",IF(E46-D46&lt;=0,"",(C46-B46)/(E46-D46)))</f>
        <v/>
      </c>
      <c r="N46" s="6">
        <f>IF(A46="","",IF(C46-B46&lt;=0,"",(G46-F46)/(C46-B46)))</f>
        <v/>
      </c>
      <c r="O46" s="7">
        <f>IF(A46="","",IF(C46&lt;=B46,"Budget not raised - no read",IF(G46&lt;F46,"Ceiling: profit falling as budget rises - stop pushing; add creatives, improve product or open a market",IF(AND(H46&gt;0,I46&lt;H46),"Watch: conversion slipping - refresh creatives before more budget",IF(J46=0,"Watch: no new creatives - freshness will decay","Keep scaling in steps")))))</f>
        <v/>
      </c>
    </row>
    <row r="47">
      <c r="B47" s="3" t="n"/>
      <c r="C47" s="3" t="n"/>
      <c r="F47" s="3" t="n"/>
      <c r="G47" s="3" t="n"/>
      <c r="H47" s="4" t="n"/>
      <c r="I47" s="4" t="n"/>
      <c r="M47" s="5">
        <f>IF(A47="","",IF(E47-D47&lt;=0,"",(C47-B47)/(E47-D47)))</f>
        <v/>
      </c>
      <c r="N47" s="6">
        <f>IF(A47="","",IF(C47-B47&lt;=0,"",(G47-F47)/(C47-B47)))</f>
        <v/>
      </c>
      <c r="O47" s="7">
        <f>IF(A47="","",IF(C47&lt;=B47,"Budget not raised - no read",IF(G47&lt;F47,"Ceiling: profit falling as budget rises - stop pushing; add creatives, improve product or open a market",IF(AND(H47&gt;0,I47&lt;H47),"Watch: conversion slipping - refresh creatives before more budget",IF(J47=0,"Watch: no new creatives - freshness will decay","Keep scaling in steps")))))</f>
        <v/>
      </c>
    </row>
    <row r="48">
      <c r="B48" s="3" t="n"/>
      <c r="C48" s="3" t="n"/>
      <c r="F48" s="3" t="n"/>
      <c r="G48" s="3" t="n"/>
      <c r="H48" s="4" t="n"/>
      <c r="I48" s="4" t="n"/>
      <c r="M48" s="5">
        <f>IF(A48="","",IF(E48-D48&lt;=0,"",(C48-B48)/(E48-D48)))</f>
        <v/>
      </c>
      <c r="N48" s="6">
        <f>IF(A48="","",IF(C48-B48&lt;=0,"",(G48-F48)/(C48-B48)))</f>
        <v/>
      </c>
      <c r="O48" s="7">
        <f>IF(A48="","",IF(C48&lt;=B48,"Budget not raised - no read",IF(G48&lt;F48,"Ceiling: profit falling as budget rises - stop pushing; add creatives, improve product or open a market",IF(AND(H48&gt;0,I48&lt;H48),"Watch: conversion slipping - refresh creatives before more budget",IF(J48=0,"Watch: no new creatives - freshness will decay","Keep scaling in steps")))))</f>
        <v/>
      </c>
    </row>
    <row r="49">
      <c r="B49" s="3" t="n"/>
      <c r="C49" s="3" t="n"/>
      <c r="F49" s="3" t="n"/>
      <c r="G49" s="3" t="n"/>
      <c r="H49" s="4" t="n"/>
      <c r="I49" s="4" t="n"/>
      <c r="M49" s="5">
        <f>IF(A49="","",IF(E49-D49&lt;=0,"",(C49-B49)/(E49-D49)))</f>
        <v/>
      </c>
      <c r="N49" s="6">
        <f>IF(A49="","",IF(C49-B49&lt;=0,"",(G49-F49)/(C49-B49)))</f>
        <v/>
      </c>
      <c r="O49" s="7">
        <f>IF(A49="","",IF(C49&lt;=B49,"Budget not raised - no read",IF(G49&lt;F49,"Ceiling: profit falling as budget rises - stop pushing; add creatives, improve product or open a market",IF(AND(H49&gt;0,I49&lt;H49),"Watch: conversion slipping - refresh creatives before more budget",IF(J49=0,"Watch: no new creatives - freshness will decay","Keep scaling in steps")))))</f>
        <v/>
      </c>
    </row>
    <row r="50">
      <c r="B50" s="3" t="n"/>
      <c r="C50" s="3" t="n"/>
      <c r="F50" s="3" t="n"/>
      <c r="G50" s="3" t="n"/>
      <c r="H50" s="4" t="n"/>
      <c r="I50" s="4" t="n"/>
      <c r="M50" s="5">
        <f>IF(A50="","",IF(E50-D50&lt;=0,"",(C50-B50)/(E50-D50)))</f>
        <v/>
      </c>
      <c r="N50" s="6">
        <f>IF(A50="","",IF(C50-B50&lt;=0,"",(G50-F50)/(C50-B50)))</f>
        <v/>
      </c>
      <c r="O50" s="7">
        <f>IF(A50="","",IF(C50&lt;=B50,"Budget not raised - no read",IF(G50&lt;F50,"Ceiling: profit falling as budget rises - stop pushing; add creatives, improve product or open a market",IF(AND(H50&gt;0,I50&lt;H50),"Watch: conversion slipping - refresh creatives before more budget",IF(J50=0,"Watch: no new creatives - freshness will decay","Keep scaling in steps")))))</f>
        <v/>
      </c>
    </row>
    <row r="51">
      <c r="B51" s="3" t="n"/>
      <c r="C51" s="3" t="n"/>
      <c r="F51" s="3" t="n"/>
      <c r="G51" s="3" t="n"/>
      <c r="H51" s="4" t="n"/>
      <c r="I51" s="4" t="n"/>
      <c r="M51" s="5">
        <f>IF(A51="","",IF(E51-D51&lt;=0,"",(C51-B51)/(E51-D51)))</f>
        <v/>
      </c>
      <c r="N51" s="6">
        <f>IF(A51="","",IF(C51-B51&lt;=0,"",(G51-F51)/(C51-B51)))</f>
        <v/>
      </c>
      <c r="O51" s="7">
        <f>IF(A51="","",IF(C51&lt;=B51,"Budget not raised - no read",IF(G51&lt;F51,"Ceiling: profit falling as budget rises - stop pushing; add creatives, improve product or open a market",IF(AND(H51&gt;0,I51&lt;H51),"Watch: conversion slipping - refresh creatives before more budget",IF(J51=0,"Watch: no new creatives - freshness will decay","Keep scaling in steps")))))</f>
        <v/>
      </c>
    </row>
    <row r="52">
      <c r="B52" s="3" t="n"/>
      <c r="C52" s="3" t="n"/>
      <c r="F52" s="3" t="n"/>
      <c r="G52" s="3" t="n"/>
      <c r="H52" s="4" t="n"/>
      <c r="I52" s="4" t="n"/>
      <c r="M52" s="5">
        <f>IF(A52="","",IF(E52-D52&lt;=0,"",(C52-B52)/(E52-D52)))</f>
        <v/>
      </c>
      <c r="N52" s="6">
        <f>IF(A52="","",IF(C52-B52&lt;=0,"",(G52-F52)/(C52-B52)))</f>
        <v/>
      </c>
      <c r="O52" s="7">
        <f>IF(A52="","",IF(C52&lt;=B52,"Budget not raised - no read",IF(G52&lt;F52,"Ceiling: profit falling as budget rises - stop pushing; add creatives, improve product or open a market",IF(AND(H52&gt;0,I52&lt;H52),"Watch: conversion slipping - refresh creatives before more budget",IF(J52=0,"Watch: no new creatives - freshness will decay","Keep scaling in steps")))))</f>
        <v/>
      </c>
    </row>
    <row r="53">
      <c r="B53" s="3" t="n"/>
      <c r="C53" s="3" t="n"/>
      <c r="F53" s="3" t="n"/>
      <c r="G53" s="3" t="n"/>
      <c r="H53" s="4" t="n"/>
      <c r="I53" s="4" t="n"/>
      <c r="M53" s="5">
        <f>IF(A53="","",IF(E53-D53&lt;=0,"",(C53-B53)/(E53-D53)))</f>
        <v/>
      </c>
      <c r="N53" s="6">
        <f>IF(A53="","",IF(C53-B53&lt;=0,"",(G53-F53)/(C53-B53)))</f>
        <v/>
      </c>
      <c r="O53" s="7">
        <f>IF(A53="","",IF(C53&lt;=B53,"Budget not raised - no read",IF(G53&lt;F53,"Ceiling: profit falling as budget rises - stop pushing; add creatives, improve product or open a market",IF(AND(H53&gt;0,I53&lt;H53),"Watch: conversion slipping - refresh creatives before more budget",IF(J53=0,"Watch: no new creatives - freshness will decay","Keep scaling in steps")))))</f>
        <v/>
      </c>
    </row>
    <row r="54">
      <c r="B54" s="3" t="n"/>
      <c r="C54" s="3" t="n"/>
      <c r="F54" s="3" t="n"/>
      <c r="G54" s="3" t="n"/>
      <c r="H54" s="4" t="n"/>
      <c r="I54" s="4" t="n"/>
      <c r="M54" s="5">
        <f>IF(A54="","",IF(E54-D54&lt;=0,"",(C54-B54)/(E54-D54)))</f>
        <v/>
      </c>
      <c r="N54" s="6">
        <f>IF(A54="","",IF(C54-B54&lt;=0,"",(G54-F54)/(C54-B54)))</f>
        <v/>
      </c>
      <c r="O54" s="7">
        <f>IF(A54="","",IF(C54&lt;=B54,"Budget not raised - no read",IF(G54&lt;F54,"Ceiling: profit falling as budget rises - stop pushing; add creatives, improve product or open a market",IF(AND(H54&gt;0,I54&lt;H54),"Watch: conversion slipping - refresh creatives before more budget",IF(J54=0,"Watch: no new creatives - freshness will decay","Keep scaling in steps")))))</f>
        <v/>
      </c>
    </row>
    <row r="55">
      <c r="B55" s="3" t="n"/>
      <c r="C55" s="3" t="n"/>
      <c r="F55" s="3" t="n"/>
      <c r="G55" s="3" t="n"/>
      <c r="H55" s="4" t="n"/>
      <c r="I55" s="4" t="n"/>
      <c r="M55" s="5">
        <f>IF(A55="","",IF(E55-D55&lt;=0,"",(C55-B55)/(E55-D55)))</f>
        <v/>
      </c>
      <c r="N55" s="6">
        <f>IF(A55="","",IF(C55-B55&lt;=0,"",(G55-F55)/(C55-B55)))</f>
        <v/>
      </c>
      <c r="O55" s="7">
        <f>IF(A55="","",IF(C55&lt;=B55,"Budget not raised - no read",IF(G55&lt;F55,"Ceiling: profit falling as budget rises - stop pushing; add creatives, improve product or open a market",IF(AND(H55&gt;0,I55&lt;H55),"Watch: conversion slipping - refresh creatives before more budget",IF(J55=0,"Watch: no new creatives - freshness will decay","Keep scaling in steps")))))</f>
        <v/>
      </c>
    </row>
    <row r="56">
      <c r="B56" s="3" t="n"/>
      <c r="C56" s="3" t="n"/>
      <c r="F56" s="3" t="n"/>
      <c r="G56" s="3" t="n"/>
      <c r="H56" s="4" t="n"/>
      <c r="I56" s="4" t="n"/>
      <c r="M56" s="5">
        <f>IF(A56="","",IF(E56-D56&lt;=0,"",(C56-B56)/(E56-D56)))</f>
        <v/>
      </c>
      <c r="N56" s="6">
        <f>IF(A56="","",IF(C56-B56&lt;=0,"",(G56-F56)/(C56-B56)))</f>
        <v/>
      </c>
      <c r="O56" s="7">
        <f>IF(A56="","",IF(C56&lt;=B56,"Budget not raised - no read",IF(G56&lt;F56,"Ceiling: profit falling as budget rises - stop pushing; add creatives, improve product or open a market",IF(AND(H56&gt;0,I56&lt;H56),"Watch: conversion slipping - refresh creatives before more budget",IF(J56=0,"Watch: no new creatives - freshness will decay","Keep scaling in steps")))))</f>
        <v/>
      </c>
    </row>
    <row r="57">
      <c r="B57" s="3" t="n"/>
      <c r="C57" s="3" t="n"/>
      <c r="F57" s="3" t="n"/>
      <c r="G57" s="3" t="n"/>
      <c r="H57" s="4" t="n"/>
      <c r="I57" s="4" t="n"/>
      <c r="M57" s="5">
        <f>IF(A57="","",IF(E57-D57&lt;=0,"",(C57-B57)/(E57-D57)))</f>
        <v/>
      </c>
      <c r="N57" s="6">
        <f>IF(A57="","",IF(C57-B57&lt;=0,"",(G57-F57)/(C57-B57)))</f>
        <v/>
      </c>
      <c r="O57" s="7">
        <f>IF(A57="","",IF(C57&lt;=B57,"Budget not raised - no read",IF(G57&lt;F57,"Ceiling: profit falling as budget rises - stop pushing; add creatives, improve product or open a market",IF(AND(H57&gt;0,I57&lt;H57),"Watch: conversion slipping - refresh creatives before more budget",IF(J57=0,"Watch: no new creatives - freshness will decay","Keep scaling in steps")))))</f>
        <v/>
      </c>
    </row>
    <row r="58">
      <c r="B58" s="3" t="n"/>
      <c r="C58" s="3" t="n"/>
      <c r="F58" s="3" t="n"/>
      <c r="G58" s="3" t="n"/>
      <c r="H58" s="4" t="n"/>
      <c r="I58" s="4" t="n"/>
      <c r="M58" s="5">
        <f>IF(A58="","",IF(E58-D58&lt;=0,"",(C58-B58)/(E58-D58)))</f>
        <v/>
      </c>
      <c r="N58" s="6">
        <f>IF(A58="","",IF(C58-B58&lt;=0,"",(G58-F58)/(C58-B58)))</f>
        <v/>
      </c>
      <c r="O58" s="7">
        <f>IF(A58="","",IF(C58&lt;=B58,"Budget not raised - no read",IF(G58&lt;F58,"Ceiling: profit falling as budget rises - stop pushing; add creatives, improve product or open a market",IF(AND(H58&gt;0,I58&lt;H58),"Watch: conversion slipping - refresh creatives before more budget",IF(J58=0,"Watch: no new creatives - freshness will decay","Keep scaling in steps")))))</f>
        <v/>
      </c>
    </row>
    <row r="59">
      <c r="B59" s="3" t="n"/>
      <c r="C59" s="3" t="n"/>
      <c r="F59" s="3" t="n"/>
      <c r="G59" s="3" t="n"/>
      <c r="H59" s="4" t="n"/>
      <c r="I59" s="4" t="n"/>
      <c r="M59" s="5">
        <f>IF(A59="","",IF(E59-D59&lt;=0,"",(C59-B59)/(E59-D59)))</f>
        <v/>
      </c>
      <c r="N59" s="6">
        <f>IF(A59="","",IF(C59-B59&lt;=0,"",(G59-F59)/(C59-B59)))</f>
        <v/>
      </c>
      <c r="O59" s="7">
        <f>IF(A59="","",IF(C59&lt;=B59,"Budget not raised - no read",IF(G59&lt;F59,"Ceiling: profit falling as budget rises - stop pushing; add creatives, improve product or open a market",IF(AND(H59&gt;0,I59&lt;H59),"Watch: conversion slipping - refresh creatives before more budget",IF(J59=0,"Watch: no new creatives - freshness will decay","Keep scaling in steps")))))</f>
        <v/>
      </c>
    </row>
    <row r="60">
      <c r="B60" s="3" t="n"/>
      <c r="C60" s="3" t="n"/>
      <c r="F60" s="3" t="n"/>
      <c r="G60" s="3" t="n"/>
      <c r="H60" s="4" t="n"/>
      <c r="I60" s="4" t="n"/>
      <c r="M60" s="5">
        <f>IF(A60="","",IF(E60-D60&lt;=0,"",(C60-B60)/(E60-D60)))</f>
        <v/>
      </c>
      <c r="N60" s="6">
        <f>IF(A60="","",IF(C60-B60&lt;=0,"",(G60-F60)/(C60-B60)))</f>
        <v/>
      </c>
      <c r="O60" s="7">
        <f>IF(A60="","",IF(C60&lt;=B60,"Budget not raised - no read",IF(G60&lt;F60,"Ceiling: profit falling as budget rises - stop pushing; add creatives, improve product or open a market",IF(AND(H60&gt;0,I60&lt;H60),"Watch: conversion slipping - refresh creatives before more budget",IF(J60=0,"Watch: no new creatives - freshness will decay","Keep scaling in steps")))))</f>
        <v/>
      </c>
    </row>
    <row r="61">
      <c r="B61" s="3" t="n"/>
      <c r="C61" s="3" t="n"/>
      <c r="F61" s="3" t="n"/>
      <c r="G61" s="3" t="n"/>
      <c r="H61" s="4" t="n"/>
      <c r="I61" s="4" t="n"/>
      <c r="M61" s="5">
        <f>IF(A61="","",IF(E61-D61&lt;=0,"",(C61-B61)/(E61-D61)))</f>
        <v/>
      </c>
      <c r="N61" s="6">
        <f>IF(A61="","",IF(C61-B61&lt;=0,"",(G61-F61)/(C61-B61)))</f>
        <v/>
      </c>
      <c r="O61" s="7">
        <f>IF(A61="","",IF(C61&lt;=B61,"Budget not raised - no read",IF(G61&lt;F61,"Ceiling: profit falling as budget rises - stop pushing; add creatives, improve product or open a market",IF(AND(H61&gt;0,I61&lt;H61),"Watch: conversion slipping - refresh creatives before more budget",IF(J61=0,"Watch: no new creatives - freshness will decay","Keep scaling in steps")))))</f>
        <v/>
      </c>
    </row>
    <row r="62">
      <c r="B62" s="3" t="n"/>
      <c r="C62" s="3" t="n"/>
      <c r="F62" s="3" t="n"/>
      <c r="G62" s="3" t="n"/>
      <c r="H62" s="4" t="n"/>
      <c r="I62" s="4" t="n"/>
      <c r="M62" s="5">
        <f>IF(A62="","",IF(E62-D62&lt;=0,"",(C62-B62)/(E62-D62)))</f>
        <v/>
      </c>
      <c r="N62" s="6">
        <f>IF(A62="","",IF(C62-B62&lt;=0,"",(G62-F62)/(C62-B62)))</f>
        <v/>
      </c>
      <c r="O62" s="7">
        <f>IF(A62="","",IF(C62&lt;=B62,"Budget not raised - no read",IF(G62&lt;F62,"Ceiling: profit falling as budget rises - stop pushing; add creatives, improve product or open a market",IF(AND(H62&gt;0,I62&lt;H62),"Watch: conversion slipping - refresh creatives before more budget",IF(J62=0,"Watch: no new creatives - freshness will decay","Keep scaling in steps")))))</f>
        <v/>
      </c>
    </row>
    <row r="63">
      <c r="B63" s="3" t="n"/>
      <c r="C63" s="3" t="n"/>
      <c r="F63" s="3" t="n"/>
      <c r="G63" s="3" t="n"/>
      <c r="H63" s="4" t="n"/>
      <c r="I63" s="4" t="n"/>
      <c r="M63" s="5">
        <f>IF(A63="","",IF(E63-D63&lt;=0,"",(C63-B63)/(E63-D63)))</f>
        <v/>
      </c>
      <c r="N63" s="6">
        <f>IF(A63="","",IF(C63-B63&lt;=0,"",(G63-F63)/(C63-B63)))</f>
        <v/>
      </c>
      <c r="O63" s="7">
        <f>IF(A63="","",IF(C63&lt;=B63,"Budget not raised - no read",IF(G63&lt;F63,"Ceiling: profit falling as budget rises - stop pushing; add creatives, improve product or open a market",IF(AND(H63&gt;0,I63&lt;H63),"Watch: conversion slipping - refresh creatives before more budget",IF(J63=0,"Watch: no new creatives - freshness will decay","Keep scaling in steps")))))</f>
        <v/>
      </c>
    </row>
    <row r="64">
      <c r="B64" s="3" t="n"/>
      <c r="C64" s="3" t="n"/>
      <c r="F64" s="3" t="n"/>
      <c r="G64" s="3" t="n"/>
      <c r="H64" s="4" t="n"/>
      <c r="I64" s="4" t="n"/>
      <c r="M64" s="5">
        <f>IF(A64="","",IF(E64-D64&lt;=0,"",(C64-B64)/(E64-D64)))</f>
        <v/>
      </c>
      <c r="N64" s="6">
        <f>IF(A64="","",IF(C64-B64&lt;=0,"",(G64-F64)/(C64-B64)))</f>
        <v/>
      </c>
      <c r="O64" s="7">
        <f>IF(A64="","",IF(C64&lt;=B64,"Budget not raised - no read",IF(G64&lt;F64,"Ceiling: profit falling as budget rises - stop pushing; add creatives, improve product or open a market",IF(AND(H64&gt;0,I64&lt;H64),"Watch: conversion slipping - refresh creatives before more budget",IF(J64=0,"Watch: no new creatives - freshness will decay","Keep scaling in steps")))))</f>
        <v/>
      </c>
    </row>
    <row r="65">
      <c r="B65" s="3" t="n"/>
      <c r="C65" s="3" t="n"/>
      <c r="F65" s="3" t="n"/>
      <c r="G65" s="3" t="n"/>
      <c r="H65" s="4" t="n"/>
      <c r="I65" s="4" t="n"/>
      <c r="M65" s="5">
        <f>IF(A65="","",IF(E65-D65&lt;=0,"",(C65-B65)/(E65-D65)))</f>
        <v/>
      </c>
      <c r="N65" s="6">
        <f>IF(A65="","",IF(C65-B65&lt;=0,"",(G65-F65)/(C65-B65)))</f>
        <v/>
      </c>
      <c r="O65" s="7">
        <f>IF(A65="","",IF(C65&lt;=B65,"Budget not raised - no read",IF(G65&lt;F65,"Ceiling: profit falling as budget rises - stop pushing; add creatives, improve product or open a market",IF(AND(H65&gt;0,I65&lt;H65),"Watch: conversion slipping - refresh creatives before more budget",IF(J65=0,"Watch: no new creatives - freshness will decay","Keep scaling in steps")))))</f>
        <v/>
      </c>
    </row>
    <row r="66">
      <c r="B66" s="3" t="n"/>
      <c r="C66" s="3" t="n"/>
      <c r="F66" s="3" t="n"/>
      <c r="G66" s="3" t="n"/>
      <c r="H66" s="4" t="n"/>
      <c r="I66" s="4" t="n"/>
      <c r="M66" s="5">
        <f>IF(A66="","",IF(E66-D66&lt;=0,"",(C66-B66)/(E66-D66)))</f>
        <v/>
      </c>
      <c r="N66" s="6">
        <f>IF(A66="","",IF(C66-B66&lt;=0,"",(G66-F66)/(C66-B66)))</f>
        <v/>
      </c>
      <c r="O66" s="7">
        <f>IF(A66="","",IF(C66&lt;=B66,"Budget not raised - no read",IF(G66&lt;F66,"Ceiling: profit falling as budget rises - stop pushing; add creatives, improve product or open a market",IF(AND(H66&gt;0,I66&lt;H66),"Watch: conversion slipping - refresh creatives before more budget",IF(J66=0,"Watch: no new creatives - freshness will decay","Keep scaling in steps")))))</f>
        <v/>
      </c>
    </row>
    <row r="67">
      <c r="B67" s="3" t="n"/>
      <c r="C67" s="3" t="n"/>
      <c r="F67" s="3" t="n"/>
      <c r="G67" s="3" t="n"/>
      <c r="H67" s="4" t="n"/>
      <c r="I67" s="4" t="n"/>
      <c r="M67" s="5">
        <f>IF(A67="","",IF(E67-D67&lt;=0,"",(C67-B67)/(E67-D67)))</f>
        <v/>
      </c>
      <c r="N67" s="6">
        <f>IF(A67="","",IF(C67-B67&lt;=0,"",(G67-F67)/(C67-B67)))</f>
        <v/>
      </c>
      <c r="O67" s="7">
        <f>IF(A67="","",IF(C67&lt;=B67,"Budget not raised - no read",IF(G67&lt;F67,"Ceiling: profit falling as budget rises - stop pushing; add creatives, improve product or open a market",IF(AND(H67&gt;0,I67&lt;H67),"Watch: conversion slipping - refresh creatives before more budget",IF(J67=0,"Watch: no new creatives - freshness will decay","Keep scaling in steps")))))</f>
        <v/>
      </c>
    </row>
    <row r="68">
      <c r="B68" s="3" t="n"/>
      <c r="C68" s="3" t="n"/>
      <c r="F68" s="3" t="n"/>
      <c r="G68" s="3" t="n"/>
      <c r="H68" s="4" t="n"/>
      <c r="I68" s="4" t="n"/>
      <c r="M68" s="5">
        <f>IF(A68="","",IF(E68-D68&lt;=0,"",(C68-B68)/(E68-D68)))</f>
        <v/>
      </c>
      <c r="N68" s="6">
        <f>IF(A68="","",IF(C68-B68&lt;=0,"",(G68-F68)/(C68-B68)))</f>
        <v/>
      </c>
      <c r="O68" s="7">
        <f>IF(A68="","",IF(C68&lt;=B68,"Budget not raised - no read",IF(G68&lt;F68,"Ceiling: profit falling as budget rises - stop pushing; add creatives, improve product or open a market",IF(AND(H68&gt;0,I68&lt;H68),"Watch: conversion slipping - refresh creatives before more budget",IF(J68=0,"Watch: no new creatives - freshness will decay","Keep scaling in steps")))))</f>
        <v/>
      </c>
    </row>
    <row r="69">
      <c r="B69" s="3" t="n"/>
      <c r="C69" s="3" t="n"/>
      <c r="F69" s="3" t="n"/>
      <c r="G69" s="3" t="n"/>
      <c r="H69" s="4" t="n"/>
      <c r="I69" s="4" t="n"/>
      <c r="M69" s="5">
        <f>IF(A69="","",IF(E69-D69&lt;=0,"",(C69-B69)/(E69-D69)))</f>
        <v/>
      </c>
      <c r="N69" s="6">
        <f>IF(A69="","",IF(C69-B69&lt;=0,"",(G69-F69)/(C69-B69)))</f>
        <v/>
      </c>
      <c r="O69" s="7">
        <f>IF(A69="","",IF(C69&lt;=B69,"Budget not raised - no read",IF(G69&lt;F69,"Ceiling: profit falling as budget rises - stop pushing; add creatives, improve product or open a market",IF(AND(H69&gt;0,I69&lt;H69),"Watch: conversion slipping - refresh creatives before more budget",IF(J69=0,"Watch: no new creatives - freshness will decay","Keep scaling in steps")))))</f>
        <v/>
      </c>
    </row>
    <row r="70">
      <c r="B70" s="3" t="n"/>
      <c r="C70" s="3" t="n"/>
      <c r="F70" s="3" t="n"/>
      <c r="G70" s="3" t="n"/>
      <c r="H70" s="4" t="n"/>
      <c r="I70" s="4" t="n"/>
      <c r="M70" s="5">
        <f>IF(A70="","",IF(E70-D70&lt;=0,"",(C70-B70)/(E70-D70)))</f>
        <v/>
      </c>
      <c r="N70" s="6">
        <f>IF(A70="","",IF(C70-B70&lt;=0,"",(G70-F70)/(C70-B70)))</f>
        <v/>
      </c>
      <c r="O70" s="7">
        <f>IF(A70="","",IF(C70&lt;=B70,"Budget not raised - no read",IF(G70&lt;F70,"Ceiling: profit falling as budget rises - stop pushing; add creatives, improve product or open a market",IF(AND(H70&gt;0,I70&lt;H70),"Watch: conversion slipping - refresh creatives before more budget",IF(J70=0,"Watch: no new creatives - freshness will decay","Keep scaling in steps")))))</f>
        <v/>
      </c>
    </row>
    <row r="71">
      <c r="B71" s="3" t="n"/>
      <c r="C71" s="3" t="n"/>
      <c r="F71" s="3" t="n"/>
      <c r="G71" s="3" t="n"/>
      <c r="H71" s="4" t="n"/>
      <c r="I71" s="4" t="n"/>
      <c r="M71" s="5">
        <f>IF(A71="","",IF(E71-D71&lt;=0,"",(C71-B71)/(E71-D71)))</f>
        <v/>
      </c>
      <c r="N71" s="6">
        <f>IF(A71="","",IF(C71-B71&lt;=0,"",(G71-F71)/(C71-B71)))</f>
        <v/>
      </c>
      <c r="O71" s="7">
        <f>IF(A71="","",IF(C71&lt;=B71,"Budget not raised - no read",IF(G71&lt;F71,"Ceiling: profit falling as budget rises - stop pushing; add creatives, improve product or open a market",IF(AND(H71&gt;0,I71&lt;H71),"Watch: conversion slipping - refresh creatives before more budget",IF(J71=0,"Watch: no new creatives - freshness will decay","Keep scaling in steps")))))</f>
        <v/>
      </c>
    </row>
    <row r="72">
      <c r="B72" s="3" t="n"/>
      <c r="C72" s="3" t="n"/>
      <c r="F72" s="3" t="n"/>
      <c r="G72" s="3" t="n"/>
      <c r="H72" s="4" t="n"/>
      <c r="I72" s="4" t="n"/>
      <c r="M72" s="5">
        <f>IF(A72="","",IF(E72-D72&lt;=0,"",(C72-B72)/(E72-D72)))</f>
        <v/>
      </c>
      <c r="N72" s="6">
        <f>IF(A72="","",IF(C72-B72&lt;=0,"",(G72-F72)/(C72-B72)))</f>
        <v/>
      </c>
      <c r="O72" s="7">
        <f>IF(A72="","",IF(C72&lt;=B72,"Budget not raised - no read",IF(G72&lt;F72,"Ceiling: profit falling as budget rises - stop pushing; add creatives, improve product or open a market",IF(AND(H72&gt;0,I72&lt;H72),"Watch: conversion slipping - refresh creatives before more budget",IF(J72=0,"Watch: no new creatives - freshness will decay","Keep scaling in steps")))))</f>
        <v/>
      </c>
    </row>
    <row r="73">
      <c r="B73" s="3" t="n"/>
      <c r="C73" s="3" t="n"/>
      <c r="F73" s="3" t="n"/>
      <c r="G73" s="3" t="n"/>
      <c r="H73" s="4" t="n"/>
      <c r="I73" s="4" t="n"/>
      <c r="M73" s="5">
        <f>IF(A73="","",IF(E73-D73&lt;=0,"",(C73-B73)/(E73-D73)))</f>
        <v/>
      </c>
      <c r="N73" s="6">
        <f>IF(A73="","",IF(C73-B73&lt;=0,"",(G73-F73)/(C73-B73)))</f>
        <v/>
      </c>
      <c r="O73" s="7">
        <f>IF(A73="","",IF(C73&lt;=B73,"Budget not raised - no read",IF(G73&lt;F73,"Ceiling: profit falling as budget rises - stop pushing; add creatives, improve product or open a market",IF(AND(H73&gt;0,I73&lt;H73),"Watch: conversion slipping - refresh creatives before more budget",IF(J73=0,"Watch: no new creatives - freshness will decay","Keep scaling in steps")))))</f>
        <v/>
      </c>
    </row>
    <row r="74">
      <c r="B74" s="3" t="n"/>
      <c r="C74" s="3" t="n"/>
      <c r="F74" s="3" t="n"/>
      <c r="G74" s="3" t="n"/>
      <c r="H74" s="4" t="n"/>
      <c r="I74" s="4" t="n"/>
      <c r="M74" s="5">
        <f>IF(A74="","",IF(E74-D74&lt;=0,"",(C74-B74)/(E74-D74)))</f>
        <v/>
      </c>
      <c r="N74" s="6">
        <f>IF(A74="","",IF(C74-B74&lt;=0,"",(G74-F74)/(C74-B74)))</f>
        <v/>
      </c>
      <c r="O74" s="7">
        <f>IF(A74="","",IF(C74&lt;=B74,"Budget not raised - no read",IF(G74&lt;F74,"Ceiling: profit falling as budget rises - stop pushing; add creatives, improve product or open a market",IF(AND(H74&gt;0,I74&lt;H74),"Watch: conversion slipping - refresh creatives before more budget",IF(J74=0,"Watch: no new creatives - freshness will decay","Keep scaling in steps")))))</f>
        <v/>
      </c>
    </row>
    <row r="75">
      <c r="B75" s="3" t="n"/>
      <c r="C75" s="3" t="n"/>
      <c r="F75" s="3" t="n"/>
      <c r="G75" s="3" t="n"/>
      <c r="H75" s="4" t="n"/>
      <c r="I75" s="4" t="n"/>
      <c r="M75" s="5">
        <f>IF(A75="","",IF(E75-D75&lt;=0,"",(C75-B75)/(E75-D75)))</f>
        <v/>
      </c>
      <c r="N75" s="6">
        <f>IF(A75="","",IF(C75-B75&lt;=0,"",(G75-F75)/(C75-B75)))</f>
        <v/>
      </c>
      <c r="O75" s="7">
        <f>IF(A75="","",IF(C75&lt;=B75,"Budget not raised - no read",IF(G75&lt;F75,"Ceiling: profit falling as budget rises - stop pushing; add creatives, improve product or open a market",IF(AND(H75&gt;0,I75&lt;H75),"Watch: conversion slipping - refresh creatives before more budget",IF(J75=0,"Watch: no new creatives - freshness will decay","Keep scaling in steps")))))</f>
        <v/>
      </c>
    </row>
    <row r="76">
      <c r="B76" s="3" t="n"/>
      <c r="C76" s="3" t="n"/>
      <c r="F76" s="3" t="n"/>
      <c r="G76" s="3" t="n"/>
      <c r="H76" s="4" t="n"/>
      <c r="I76" s="4" t="n"/>
      <c r="M76" s="5">
        <f>IF(A76="","",IF(E76-D76&lt;=0,"",(C76-B76)/(E76-D76)))</f>
        <v/>
      </c>
      <c r="N76" s="6">
        <f>IF(A76="","",IF(C76-B76&lt;=0,"",(G76-F76)/(C76-B76)))</f>
        <v/>
      </c>
      <c r="O76" s="7">
        <f>IF(A76="","",IF(C76&lt;=B76,"Budget not raised - no read",IF(G76&lt;F76,"Ceiling: profit falling as budget rises - stop pushing; add creatives, improve product or open a market",IF(AND(H76&gt;0,I76&lt;H76),"Watch: conversion slipping - refresh creatives before more budget",IF(J76=0,"Watch: no new creatives - freshness will decay","Keep scaling in steps")))))</f>
        <v/>
      </c>
    </row>
    <row r="77">
      <c r="B77" s="3" t="n"/>
      <c r="C77" s="3" t="n"/>
      <c r="F77" s="3" t="n"/>
      <c r="G77" s="3" t="n"/>
      <c r="H77" s="4" t="n"/>
      <c r="I77" s="4" t="n"/>
      <c r="M77" s="5">
        <f>IF(A77="","",IF(E77-D77&lt;=0,"",(C77-B77)/(E77-D77)))</f>
        <v/>
      </c>
      <c r="N77" s="6">
        <f>IF(A77="","",IF(C77-B77&lt;=0,"",(G77-F77)/(C77-B77)))</f>
        <v/>
      </c>
      <c r="O77" s="7">
        <f>IF(A77="","",IF(C77&lt;=B77,"Budget not raised - no read",IF(G77&lt;F77,"Ceiling: profit falling as budget rises - stop pushing; add creatives, improve product or open a market",IF(AND(H77&gt;0,I77&lt;H77),"Watch: conversion slipping - refresh creatives before more budget",IF(J77=0,"Watch: no new creatives - freshness will decay","Keep scaling in steps")))))</f>
        <v/>
      </c>
    </row>
    <row r="78">
      <c r="B78" s="3" t="n"/>
      <c r="C78" s="3" t="n"/>
      <c r="F78" s="3" t="n"/>
      <c r="G78" s="3" t="n"/>
      <c r="H78" s="4" t="n"/>
      <c r="I78" s="4" t="n"/>
      <c r="M78" s="5">
        <f>IF(A78="","",IF(E78-D78&lt;=0,"",(C78-B78)/(E78-D78)))</f>
        <v/>
      </c>
      <c r="N78" s="6">
        <f>IF(A78="","",IF(C78-B78&lt;=0,"",(G78-F78)/(C78-B78)))</f>
        <v/>
      </c>
      <c r="O78" s="7">
        <f>IF(A78="","",IF(C78&lt;=B78,"Budget not raised - no read",IF(G78&lt;F78,"Ceiling: profit falling as budget rises - stop pushing; add creatives, improve product or open a market",IF(AND(H78&gt;0,I78&lt;H78),"Watch: conversion slipping - refresh creatives before more budget",IF(J78=0,"Watch: no new creatives - freshness will decay","Keep scaling in steps")))))</f>
        <v/>
      </c>
    </row>
    <row r="79">
      <c r="B79" s="3" t="n"/>
      <c r="C79" s="3" t="n"/>
      <c r="F79" s="3" t="n"/>
      <c r="G79" s="3" t="n"/>
      <c r="H79" s="4" t="n"/>
      <c r="I79" s="4" t="n"/>
      <c r="M79" s="5">
        <f>IF(A79="","",IF(E79-D79&lt;=0,"",(C79-B79)/(E79-D79)))</f>
        <v/>
      </c>
      <c r="N79" s="6">
        <f>IF(A79="","",IF(C79-B79&lt;=0,"",(G79-F79)/(C79-B79)))</f>
        <v/>
      </c>
      <c r="O79" s="7">
        <f>IF(A79="","",IF(C79&lt;=B79,"Budget not raised - no read",IF(G79&lt;F79,"Ceiling: profit falling as budget rises - stop pushing; add creatives, improve product or open a market",IF(AND(H79&gt;0,I79&lt;H79),"Watch: conversion slipping - refresh creatives before more budget",IF(J79=0,"Watch: no new creatives - freshness will decay","Keep scaling in steps")))))</f>
        <v/>
      </c>
    </row>
    <row r="80">
      <c r="B80" s="3" t="n"/>
      <c r="C80" s="3" t="n"/>
      <c r="F80" s="3" t="n"/>
      <c r="G80" s="3" t="n"/>
      <c r="H80" s="4" t="n"/>
      <c r="I80" s="4" t="n"/>
      <c r="M80" s="5">
        <f>IF(A80="","",IF(E80-D80&lt;=0,"",(C80-B80)/(E80-D80)))</f>
        <v/>
      </c>
      <c r="N80" s="6">
        <f>IF(A80="","",IF(C80-B80&lt;=0,"",(G80-F80)/(C80-B80)))</f>
        <v/>
      </c>
      <c r="O80" s="7">
        <f>IF(A80="","",IF(C80&lt;=B80,"Budget not raised - no read",IF(G80&lt;F80,"Ceiling: profit falling as budget rises - stop pushing; add creatives, improve product or open a market",IF(AND(H80&gt;0,I80&lt;H80),"Watch: conversion slipping - refresh creatives before more budget",IF(J80=0,"Watch: no new creatives - freshness will decay","Keep scaling in steps")))))</f>
        <v/>
      </c>
    </row>
    <row r="81">
      <c r="B81" s="3" t="n"/>
      <c r="C81" s="3" t="n"/>
      <c r="F81" s="3" t="n"/>
      <c r="G81" s="3" t="n"/>
      <c r="H81" s="4" t="n"/>
      <c r="I81" s="4" t="n"/>
      <c r="M81" s="5">
        <f>IF(A81="","",IF(E81-D81&lt;=0,"",(C81-B81)/(E81-D81)))</f>
        <v/>
      </c>
      <c r="N81" s="6">
        <f>IF(A81="","",IF(C81-B81&lt;=0,"",(G81-F81)/(C81-B81)))</f>
        <v/>
      </c>
      <c r="O81" s="7">
        <f>IF(A81="","",IF(C81&lt;=B81,"Budget not raised - no read",IF(G81&lt;F81,"Ceiling: profit falling as budget rises - stop pushing; add creatives, improve product or open a market",IF(AND(H81&gt;0,I81&lt;H81),"Watch: conversion slipping - refresh creatives before more budget",IF(J81=0,"Watch: no new creatives - freshness will decay","Keep scaling in steps")))))</f>
        <v/>
      </c>
    </row>
    <row r="82">
      <c r="B82" s="3" t="n"/>
      <c r="C82" s="3" t="n"/>
      <c r="F82" s="3" t="n"/>
      <c r="G82" s="3" t="n"/>
      <c r="H82" s="4" t="n"/>
      <c r="I82" s="4" t="n"/>
      <c r="M82" s="5">
        <f>IF(A82="","",IF(E82-D82&lt;=0,"",(C82-B82)/(E82-D82)))</f>
        <v/>
      </c>
      <c r="N82" s="6">
        <f>IF(A82="","",IF(C82-B82&lt;=0,"",(G82-F82)/(C82-B82)))</f>
        <v/>
      </c>
      <c r="O82" s="7">
        <f>IF(A82="","",IF(C82&lt;=B82,"Budget not raised - no read",IF(G82&lt;F82,"Ceiling: profit falling as budget rises - stop pushing; add creatives, improve product or open a market",IF(AND(H82&gt;0,I82&lt;H82),"Watch: conversion slipping - refresh creatives before more budget",IF(J82=0,"Watch: no new creatives - freshness will decay","Keep scaling in steps")))))</f>
        <v/>
      </c>
    </row>
    <row r="83">
      <c r="B83" s="3" t="n"/>
      <c r="C83" s="3" t="n"/>
      <c r="F83" s="3" t="n"/>
      <c r="G83" s="3" t="n"/>
      <c r="H83" s="4" t="n"/>
      <c r="I83" s="4" t="n"/>
      <c r="M83" s="5">
        <f>IF(A83="","",IF(E83-D83&lt;=0,"",(C83-B83)/(E83-D83)))</f>
        <v/>
      </c>
      <c r="N83" s="6">
        <f>IF(A83="","",IF(C83-B83&lt;=0,"",(G83-F83)/(C83-B83)))</f>
        <v/>
      </c>
      <c r="O83" s="7">
        <f>IF(A83="","",IF(C83&lt;=B83,"Budget not raised - no read",IF(G83&lt;F83,"Ceiling: profit falling as budget rises - stop pushing; add creatives, improve product or open a market",IF(AND(H83&gt;0,I83&lt;H83),"Watch: conversion slipping - refresh creatives before more budget",IF(J83=0,"Watch: no new creatives - freshness will decay","Keep scaling in steps")))))</f>
        <v/>
      </c>
    </row>
    <row r="84">
      <c r="B84" s="3" t="n"/>
      <c r="C84" s="3" t="n"/>
      <c r="F84" s="3" t="n"/>
      <c r="G84" s="3" t="n"/>
      <c r="H84" s="4" t="n"/>
      <c r="I84" s="4" t="n"/>
      <c r="M84" s="5">
        <f>IF(A84="","",IF(E84-D84&lt;=0,"",(C84-B84)/(E84-D84)))</f>
        <v/>
      </c>
      <c r="N84" s="6">
        <f>IF(A84="","",IF(C84-B84&lt;=0,"",(G84-F84)/(C84-B84)))</f>
        <v/>
      </c>
      <c r="O84" s="7">
        <f>IF(A84="","",IF(C84&lt;=B84,"Budget not raised - no read",IF(G84&lt;F84,"Ceiling: profit falling as budget rises - stop pushing; add creatives, improve product or open a market",IF(AND(H84&gt;0,I84&lt;H84),"Watch: conversion slipping - refresh creatives before more budget",IF(J84=0,"Watch: no new creatives - freshness will decay","Keep scaling in steps")))))</f>
        <v/>
      </c>
    </row>
    <row r="85">
      <c r="B85" s="3" t="n"/>
      <c r="C85" s="3" t="n"/>
      <c r="F85" s="3" t="n"/>
      <c r="G85" s="3" t="n"/>
      <c r="H85" s="4" t="n"/>
      <c r="I85" s="4" t="n"/>
      <c r="M85" s="5">
        <f>IF(A85="","",IF(E85-D85&lt;=0,"",(C85-B85)/(E85-D85)))</f>
        <v/>
      </c>
      <c r="N85" s="6">
        <f>IF(A85="","",IF(C85-B85&lt;=0,"",(G85-F85)/(C85-B85)))</f>
        <v/>
      </c>
      <c r="O85" s="7">
        <f>IF(A85="","",IF(C85&lt;=B85,"Budget not raised - no read",IF(G85&lt;F85,"Ceiling: profit falling as budget rises - stop pushing; add creatives, improve product or open a market",IF(AND(H85&gt;0,I85&lt;H85),"Watch: conversion slipping - refresh creatives before more budget",IF(J85=0,"Watch: no new creatives - freshness will decay","Keep scaling in steps")))))</f>
        <v/>
      </c>
    </row>
    <row r="86">
      <c r="B86" s="3" t="n"/>
      <c r="C86" s="3" t="n"/>
      <c r="F86" s="3" t="n"/>
      <c r="G86" s="3" t="n"/>
      <c r="H86" s="4" t="n"/>
      <c r="I86" s="4" t="n"/>
      <c r="M86" s="5">
        <f>IF(A86="","",IF(E86-D86&lt;=0,"",(C86-B86)/(E86-D86)))</f>
        <v/>
      </c>
      <c r="N86" s="6">
        <f>IF(A86="","",IF(C86-B86&lt;=0,"",(G86-F86)/(C86-B86)))</f>
        <v/>
      </c>
      <c r="O86" s="7">
        <f>IF(A86="","",IF(C86&lt;=B86,"Budget not raised - no read",IF(G86&lt;F86,"Ceiling: profit falling as budget rises - stop pushing; add creatives, improve product or open a market",IF(AND(H86&gt;0,I86&lt;H86),"Watch: conversion slipping - refresh creatives before more budget",IF(J86=0,"Watch: no new creatives - freshness will decay","Keep scaling in steps")))))</f>
        <v/>
      </c>
    </row>
    <row r="87">
      <c r="B87" s="3" t="n"/>
      <c r="C87" s="3" t="n"/>
      <c r="F87" s="3" t="n"/>
      <c r="G87" s="3" t="n"/>
      <c r="H87" s="4" t="n"/>
      <c r="I87" s="4" t="n"/>
      <c r="M87" s="5">
        <f>IF(A87="","",IF(E87-D87&lt;=0,"",(C87-B87)/(E87-D87)))</f>
        <v/>
      </c>
      <c r="N87" s="6">
        <f>IF(A87="","",IF(C87-B87&lt;=0,"",(G87-F87)/(C87-B87)))</f>
        <v/>
      </c>
      <c r="O87" s="7">
        <f>IF(A87="","",IF(C87&lt;=B87,"Budget not raised - no read",IF(G87&lt;F87,"Ceiling: profit falling as budget rises - stop pushing; add creatives, improve product or open a market",IF(AND(H87&gt;0,I87&lt;H87),"Watch: conversion slipping - refresh creatives before more budget",IF(J87=0,"Watch: no new creatives - freshness will decay","Keep scaling in steps")))))</f>
        <v/>
      </c>
    </row>
    <row r="88">
      <c r="B88" s="3" t="n"/>
      <c r="C88" s="3" t="n"/>
      <c r="F88" s="3" t="n"/>
      <c r="G88" s="3" t="n"/>
      <c r="H88" s="4" t="n"/>
      <c r="I88" s="4" t="n"/>
      <c r="M88" s="5">
        <f>IF(A88="","",IF(E88-D88&lt;=0,"",(C88-B88)/(E88-D88)))</f>
        <v/>
      </c>
      <c r="N88" s="6">
        <f>IF(A88="","",IF(C88-B88&lt;=0,"",(G88-F88)/(C88-B88)))</f>
        <v/>
      </c>
      <c r="O88" s="7">
        <f>IF(A88="","",IF(C88&lt;=B88,"Budget not raised - no read",IF(G88&lt;F88,"Ceiling: profit falling as budget rises - stop pushing; add creatives, improve product or open a market",IF(AND(H88&gt;0,I88&lt;H88),"Watch: conversion slipping - refresh creatives before more budget",IF(J88=0,"Watch: no new creatives - freshness will decay","Keep scaling in steps")))))</f>
        <v/>
      </c>
    </row>
    <row r="89">
      <c r="B89" s="3" t="n"/>
      <c r="C89" s="3" t="n"/>
      <c r="F89" s="3" t="n"/>
      <c r="G89" s="3" t="n"/>
      <c r="H89" s="4" t="n"/>
      <c r="I89" s="4" t="n"/>
      <c r="M89" s="5">
        <f>IF(A89="","",IF(E89-D89&lt;=0,"",(C89-B89)/(E89-D89)))</f>
        <v/>
      </c>
      <c r="N89" s="6">
        <f>IF(A89="","",IF(C89-B89&lt;=0,"",(G89-F89)/(C89-B89)))</f>
        <v/>
      </c>
      <c r="O89" s="7">
        <f>IF(A89="","",IF(C89&lt;=B89,"Budget not raised - no read",IF(G89&lt;F89,"Ceiling: profit falling as budget rises - stop pushing; add creatives, improve product or open a market",IF(AND(H89&gt;0,I89&lt;H89),"Watch: conversion slipping - refresh creatives before more budget",IF(J89=0,"Watch: no new creatives - freshness will decay","Keep scaling in steps")))))</f>
        <v/>
      </c>
    </row>
    <row r="90">
      <c r="B90" s="3" t="n"/>
      <c r="C90" s="3" t="n"/>
      <c r="F90" s="3" t="n"/>
      <c r="G90" s="3" t="n"/>
      <c r="H90" s="4" t="n"/>
      <c r="I90" s="4" t="n"/>
      <c r="M90" s="5">
        <f>IF(A90="","",IF(E90-D90&lt;=0,"",(C90-B90)/(E90-D90)))</f>
        <v/>
      </c>
      <c r="N90" s="6">
        <f>IF(A90="","",IF(C90-B90&lt;=0,"",(G90-F90)/(C90-B90)))</f>
        <v/>
      </c>
      <c r="O90" s="7">
        <f>IF(A90="","",IF(C90&lt;=B90,"Budget not raised - no read",IF(G90&lt;F90,"Ceiling: profit falling as budget rises - stop pushing; add creatives, improve product or open a market",IF(AND(H90&gt;0,I90&lt;H90),"Watch: conversion slipping - refresh creatives before more budget",IF(J90=0,"Watch: no new creatives - freshness will decay","Keep scaling in steps")))))</f>
        <v/>
      </c>
    </row>
    <row r="91">
      <c r="B91" s="3" t="n"/>
      <c r="C91" s="3" t="n"/>
      <c r="F91" s="3" t="n"/>
      <c r="G91" s="3" t="n"/>
      <c r="H91" s="4" t="n"/>
      <c r="I91" s="4" t="n"/>
      <c r="M91" s="5">
        <f>IF(A91="","",IF(E91-D91&lt;=0,"",(C91-B91)/(E91-D91)))</f>
        <v/>
      </c>
      <c r="N91" s="6">
        <f>IF(A91="","",IF(C91-B91&lt;=0,"",(G91-F91)/(C91-B91)))</f>
        <v/>
      </c>
      <c r="O91" s="7">
        <f>IF(A91="","",IF(C91&lt;=B91,"Budget not raised - no read",IF(G91&lt;F91,"Ceiling: profit falling as budget rises - stop pushing; add creatives, improve product or open a market",IF(AND(H91&gt;0,I91&lt;H91),"Watch: conversion slipping - refresh creatives before more budget",IF(J91=0,"Watch: no new creatives - freshness will decay","Keep scaling in steps")))))</f>
        <v/>
      </c>
    </row>
    <row r="92">
      <c r="B92" s="3" t="n"/>
      <c r="C92" s="3" t="n"/>
      <c r="F92" s="3" t="n"/>
      <c r="G92" s="3" t="n"/>
      <c r="H92" s="4" t="n"/>
      <c r="I92" s="4" t="n"/>
      <c r="M92" s="5">
        <f>IF(A92="","",IF(E92-D92&lt;=0,"",(C92-B92)/(E92-D92)))</f>
        <v/>
      </c>
      <c r="N92" s="6">
        <f>IF(A92="","",IF(C92-B92&lt;=0,"",(G92-F92)/(C92-B92)))</f>
        <v/>
      </c>
      <c r="O92" s="7">
        <f>IF(A92="","",IF(C92&lt;=B92,"Budget not raised - no read",IF(G92&lt;F92,"Ceiling: profit falling as budget rises - stop pushing; add creatives, improve product or open a market",IF(AND(H92&gt;0,I92&lt;H92),"Watch: conversion slipping - refresh creatives before more budget",IF(J92=0,"Watch: no new creatives - freshness will decay","Keep scaling in steps")))))</f>
        <v/>
      </c>
    </row>
    <row r="93">
      <c r="B93" s="3" t="n"/>
      <c r="C93" s="3" t="n"/>
      <c r="F93" s="3" t="n"/>
      <c r="G93" s="3" t="n"/>
      <c r="H93" s="4" t="n"/>
      <c r="I93" s="4" t="n"/>
      <c r="M93" s="5">
        <f>IF(A93="","",IF(E93-D93&lt;=0,"",(C93-B93)/(E93-D93)))</f>
        <v/>
      </c>
      <c r="N93" s="6">
        <f>IF(A93="","",IF(C93-B93&lt;=0,"",(G93-F93)/(C93-B93)))</f>
        <v/>
      </c>
      <c r="O93" s="7">
        <f>IF(A93="","",IF(C93&lt;=B93,"Budget not raised - no read",IF(G93&lt;F93,"Ceiling: profit falling as budget rises - stop pushing; add creatives, improve product or open a market",IF(AND(H93&gt;0,I93&lt;H93),"Watch: conversion slipping - refresh creatives before more budget",IF(J93=0,"Watch: no new creatives - freshness will decay","Keep scaling in steps")))))</f>
        <v/>
      </c>
    </row>
    <row r="94">
      <c r="B94" s="3" t="n"/>
      <c r="C94" s="3" t="n"/>
      <c r="F94" s="3" t="n"/>
      <c r="G94" s="3" t="n"/>
      <c r="H94" s="4" t="n"/>
      <c r="I94" s="4" t="n"/>
      <c r="M94" s="5">
        <f>IF(A94="","",IF(E94-D94&lt;=0,"",(C94-B94)/(E94-D94)))</f>
        <v/>
      </c>
      <c r="N94" s="6">
        <f>IF(A94="","",IF(C94-B94&lt;=0,"",(G94-F94)/(C94-B94)))</f>
        <v/>
      </c>
      <c r="O94" s="7">
        <f>IF(A94="","",IF(C94&lt;=B94,"Budget not raised - no read",IF(G94&lt;F94,"Ceiling: profit falling as budget rises - stop pushing; add creatives, improve product or open a market",IF(AND(H94&gt;0,I94&lt;H94),"Watch: conversion slipping - refresh creatives before more budget",IF(J94=0,"Watch: no new creatives - freshness will decay","Keep scaling in steps")))))</f>
        <v/>
      </c>
    </row>
    <row r="95">
      <c r="B95" s="3" t="n"/>
      <c r="C95" s="3" t="n"/>
      <c r="F95" s="3" t="n"/>
      <c r="G95" s="3" t="n"/>
      <c r="H95" s="4" t="n"/>
      <c r="I95" s="4" t="n"/>
      <c r="M95" s="5">
        <f>IF(A95="","",IF(E95-D95&lt;=0,"",(C95-B95)/(E95-D95)))</f>
        <v/>
      </c>
      <c r="N95" s="6">
        <f>IF(A95="","",IF(C95-B95&lt;=0,"",(G95-F95)/(C95-B95)))</f>
        <v/>
      </c>
      <c r="O95" s="7">
        <f>IF(A95="","",IF(C95&lt;=B95,"Budget not raised - no read",IF(G95&lt;F95,"Ceiling: profit falling as budget rises - stop pushing; add creatives, improve product or open a market",IF(AND(H95&gt;0,I95&lt;H95),"Watch: conversion slipping - refresh creatives before more budget",IF(J95=0,"Watch: no new creatives - freshness will decay","Keep scaling in steps")))))</f>
        <v/>
      </c>
    </row>
    <row r="96">
      <c r="B96" s="3" t="n"/>
      <c r="C96" s="3" t="n"/>
      <c r="F96" s="3" t="n"/>
      <c r="G96" s="3" t="n"/>
      <c r="H96" s="4" t="n"/>
      <c r="I96" s="4" t="n"/>
      <c r="M96" s="5">
        <f>IF(A96="","",IF(E96-D96&lt;=0,"",(C96-B96)/(E96-D96)))</f>
        <v/>
      </c>
      <c r="N96" s="6">
        <f>IF(A96="","",IF(C96-B96&lt;=0,"",(G96-F96)/(C96-B96)))</f>
        <v/>
      </c>
      <c r="O96" s="7">
        <f>IF(A96="","",IF(C96&lt;=B96,"Budget not raised - no read",IF(G96&lt;F96,"Ceiling: profit falling as budget rises - stop pushing; add creatives, improve product or open a market",IF(AND(H96&gt;0,I96&lt;H96),"Watch: conversion slipping - refresh creatives before more budget",IF(J96=0,"Watch: no new creatives - freshness will decay","Keep scaling in steps")))))</f>
        <v/>
      </c>
    </row>
    <row r="97">
      <c r="B97" s="3" t="n"/>
      <c r="C97" s="3" t="n"/>
      <c r="F97" s="3" t="n"/>
      <c r="G97" s="3" t="n"/>
      <c r="H97" s="4" t="n"/>
      <c r="I97" s="4" t="n"/>
      <c r="M97" s="5">
        <f>IF(A97="","",IF(E97-D97&lt;=0,"",(C97-B97)/(E97-D97)))</f>
        <v/>
      </c>
      <c r="N97" s="6">
        <f>IF(A97="","",IF(C97-B97&lt;=0,"",(G97-F97)/(C97-B97)))</f>
        <v/>
      </c>
      <c r="O97" s="7">
        <f>IF(A97="","",IF(C97&lt;=B97,"Budget not raised - no read",IF(G97&lt;F97,"Ceiling: profit falling as budget rises - stop pushing; add creatives, improve product or open a market",IF(AND(H97&gt;0,I97&lt;H97),"Watch: conversion slipping - refresh creatives before more budget",IF(J97=0,"Watch: no new creatives - freshness will decay","Keep scaling in steps")))))</f>
        <v/>
      </c>
    </row>
    <row r="98">
      <c r="B98" s="3" t="n"/>
      <c r="C98" s="3" t="n"/>
      <c r="F98" s="3" t="n"/>
      <c r="G98" s="3" t="n"/>
      <c r="H98" s="4" t="n"/>
      <c r="I98" s="4" t="n"/>
      <c r="M98" s="5">
        <f>IF(A98="","",IF(E98-D98&lt;=0,"",(C98-B98)/(E98-D98)))</f>
        <v/>
      </c>
      <c r="N98" s="6">
        <f>IF(A98="","",IF(C98-B98&lt;=0,"",(G98-F98)/(C98-B98)))</f>
        <v/>
      </c>
      <c r="O98" s="7">
        <f>IF(A98="","",IF(C98&lt;=B98,"Budget not raised - no read",IF(G98&lt;F98,"Ceiling: profit falling as budget rises - stop pushing; add creatives, improve product or open a market",IF(AND(H98&gt;0,I98&lt;H98),"Watch: conversion slipping - refresh creatives before more budget",IF(J98=0,"Watch: no new creatives - freshness will decay","Keep scaling in steps")))))</f>
        <v/>
      </c>
    </row>
    <row r="99">
      <c r="B99" s="3" t="n"/>
      <c r="C99" s="3" t="n"/>
      <c r="F99" s="3" t="n"/>
      <c r="G99" s="3" t="n"/>
      <c r="H99" s="4" t="n"/>
      <c r="I99" s="4" t="n"/>
      <c r="M99" s="5">
        <f>IF(A99="","",IF(E99-D99&lt;=0,"",(C99-B99)/(E99-D99)))</f>
        <v/>
      </c>
      <c r="N99" s="6">
        <f>IF(A99="","",IF(C99-B99&lt;=0,"",(G99-F99)/(C99-B99)))</f>
        <v/>
      </c>
      <c r="O99" s="7">
        <f>IF(A99="","",IF(C99&lt;=B99,"Budget not raised - no read",IF(G99&lt;F99,"Ceiling: profit falling as budget rises - stop pushing; add creatives, improve product or open a market",IF(AND(H99&gt;0,I99&lt;H99),"Watch: conversion slipping - refresh creatives before more budget",IF(J99=0,"Watch: no new creatives - freshness will decay","Keep scaling in steps")))))</f>
        <v/>
      </c>
    </row>
    <row r="100">
      <c r="B100" s="3" t="n"/>
      <c r="C100" s="3" t="n"/>
      <c r="F100" s="3" t="n"/>
      <c r="G100" s="3" t="n"/>
      <c r="H100" s="4" t="n"/>
      <c r="I100" s="4" t="n"/>
      <c r="M100" s="5">
        <f>IF(A100="","",IF(E100-D100&lt;=0,"",(C100-B100)/(E100-D100)))</f>
        <v/>
      </c>
      <c r="N100" s="6">
        <f>IF(A100="","",IF(C100-B100&lt;=0,"",(G100-F100)/(C100-B100)))</f>
        <v/>
      </c>
      <c r="O100" s="7">
        <f>IF(A100="","",IF(C100&lt;=B100,"Budget not raised - no read",IF(G100&lt;F100,"Ceiling: profit falling as budget rises - stop pushing; add creatives, improve product or open a market",IF(AND(H100&gt;0,I100&lt;H100),"Watch: conversion slipping - refresh creatives before more budget",IF(J100=0,"Watch: no new creatives - freshness will decay","Keep scaling in steps")))))</f>
        <v/>
      </c>
    </row>
    <row r="101">
      <c r="B101" s="3" t="n"/>
      <c r="C101" s="3" t="n"/>
      <c r="F101" s="3" t="n"/>
      <c r="G101" s="3" t="n"/>
      <c r="H101" s="4" t="n"/>
      <c r="I101" s="4" t="n"/>
      <c r="M101" s="5">
        <f>IF(A101="","",IF(E101-D101&lt;=0,"",(C101-B101)/(E101-D101)))</f>
        <v/>
      </c>
      <c r="N101" s="6">
        <f>IF(A101="","",IF(C101-B101&lt;=0,"",(G101-F101)/(C101-B101)))</f>
        <v/>
      </c>
      <c r="O101" s="7">
        <f>IF(A101="","",IF(C101&lt;=B101,"Budget not raised - no read",IF(G101&lt;F101,"Ceiling: profit falling as budget rises - stop pushing; add creatives, improve product or open a market",IF(AND(H101&gt;0,I101&lt;H101),"Watch: conversion slipping - refresh creatives before more budget",IF(J101=0,"Watch: no new creatives - freshness will decay","Keep scaling in steps")))))</f>
        <v/>
      </c>
    </row>
    <row r="102">
      <c r="B102" s="3" t="n"/>
      <c r="C102" s="3" t="n"/>
      <c r="F102" s="3" t="n"/>
      <c r="G102" s="3" t="n"/>
      <c r="H102" s="4" t="n"/>
      <c r="I102" s="4" t="n"/>
      <c r="M102" s="5">
        <f>IF(A102="","",IF(E102-D102&lt;=0,"",(C102-B102)/(E102-D102)))</f>
        <v/>
      </c>
      <c r="N102" s="6">
        <f>IF(A102="","",IF(C102-B102&lt;=0,"",(G102-F102)/(C102-B102)))</f>
        <v/>
      </c>
      <c r="O102" s="7">
        <f>IF(A102="","",IF(C102&lt;=B102,"Budget not raised - no read",IF(G102&lt;F102,"Ceiling: profit falling as budget rises - stop pushing; add creatives, improve product or open a market",IF(AND(H102&gt;0,I102&lt;H102),"Watch: conversion slipping - refresh creatives before more budget",IF(J102=0,"Watch: no new creatives - freshness will decay","Keep scaling in steps")))))</f>
        <v/>
      </c>
    </row>
    <row r="103">
      <c r="B103" s="3" t="n"/>
      <c r="C103" s="3" t="n"/>
      <c r="F103" s="3" t="n"/>
      <c r="G103" s="3" t="n"/>
      <c r="H103" s="4" t="n"/>
      <c r="I103" s="4" t="n"/>
      <c r="M103" s="5">
        <f>IF(A103="","",IF(E103-D103&lt;=0,"",(C103-B103)/(E103-D103)))</f>
        <v/>
      </c>
      <c r="N103" s="6">
        <f>IF(A103="","",IF(C103-B103&lt;=0,"",(G103-F103)/(C103-B103)))</f>
        <v/>
      </c>
      <c r="O103" s="7">
        <f>IF(A103="","",IF(C103&lt;=B103,"Budget not raised - no read",IF(G103&lt;F103,"Ceiling: profit falling as budget rises - stop pushing; add creatives, improve product or open a market",IF(AND(H103&gt;0,I103&lt;H103),"Watch: conversion slipping - refresh creatives before more budget",IF(J103=0,"Watch: no new creatives - freshness will decay","Keep scaling in steps")))))</f>
        <v/>
      </c>
    </row>
    <row r="104">
      <c r="B104" s="3" t="n"/>
      <c r="C104" s="3" t="n"/>
      <c r="F104" s="3" t="n"/>
      <c r="G104" s="3" t="n"/>
      <c r="H104" s="4" t="n"/>
      <c r="I104" s="4" t="n"/>
      <c r="M104" s="5">
        <f>IF(A104="","",IF(E104-D104&lt;=0,"",(C104-B104)/(E104-D104)))</f>
        <v/>
      </c>
      <c r="N104" s="6">
        <f>IF(A104="","",IF(C104-B104&lt;=0,"",(G104-F104)/(C104-B104)))</f>
        <v/>
      </c>
      <c r="O104" s="7">
        <f>IF(A104="","",IF(C104&lt;=B104,"Budget not raised - no read",IF(G104&lt;F104,"Ceiling: profit falling as budget rises - stop pushing; add creatives, improve product or open a market",IF(AND(H104&gt;0,I104&lt;H104),"Watch: conversion slipping - refresh creatives before more budget",IF(J104=0,"Watch: no new creatives - freshness will decay","Keep scaling in steps")))))</f>
        <v/>
      </c>
    </row>
    <row r="105">
      <c r="B105" s="3" t="n"/>
      <c r="C105" s="3" t="n"/>
      <c r="F105" s="3" t="n"/>
      <c r="G105" s="3" t="n"/>
      <c r="H105" s="4" t="n"/>
      <c r="I105" s="4" t="n"/>
      <c r="M105" s="5">
        <f>IF(A105="","",IF(E105-D105&lt;=0,"",(C105-B105)/(E105-D105)))</f>
        <v/>
      </c>
      <c r="N105" s="6">
        <f>IF(A105="","",IF(C105-B105&lt;=0,"",(G105-F105)/(C105-B105)))</f>
        <v/>
      </c>
      <c r="O105" s="7">
        <f>IF(A105="","",IF(C105&lt;=B105,"Budget not raised - no read",IF(G105&lt;F105,"Ceiling: profit falling as budget rises - stop pushing; add creatives, improve product or open a market",IF(AND(H105&gt;0,I105&lt;H105),"Watch: conversion slipping - refresh creatives before more budget",IF(J105=0,"Watch: no new creatives - freshness will decay","Keep scaling in steps")))))</f>
        <v/>
      </c>
    </row>
    <row r="106">
      <c r="B106" s="3" t="n"/>
      <c r="C106" s="3" t="n"/>
      <c r="F106" s="3" t="n"/>
      <c r="G106" s="3" t="n"/>
      <c r="H106" s="4" t="n"/>
      <c r="I106" s="4" t="n"/>
      <c r="M106" s="5">
        <f>IF(A106="","",IF(E106-D106&lt;=0,"",(C106-B106)/(E106-D106)))</f>
        <v/>
      </c>
      <c r="N106" s="6">
        <f>IF(A106="","",IF(C106-B106&lt;=0,"",(G106-F106)/(C106-B106)))</f>
        <v/>
      </c>
      <c r="O106" s="7">
        <f>IF(A106="","",IF(C106&lt;=B106,"Budget not raised - no read",IF(G106&lt;F106,"Ceiling: profit falling as budget rises - stop pushing; add creatives, improve product or open a market",IF(AND(H106&gt;0,I106&lt;H106),"Watch: conversion slipping - refresh creatives before more budget",IF(J106=0,"Watch: no new creatives - freshness will decay","Keep scaling in steps")))))</f>
        <v/>
      </c>
    </row>
    <row r="107">
      <c r="B107" s="3" t="n"/>
      <c r="C107" s="3" t="n"/>
      <c r="F107" s="3" t="n"/>
      <c r="G107" s="3" t="n"/>
      <c r="H107" s="4" t="n"/>
      <c r="I107" s="4" t="n"/>
      <c r="M107" s="5">
        <f>IF(A107="","",IF(E107-D107&lt;=0,"",(C107-B107)/(E107-D107)))</f>
        <v/>
      </c>
      <c r="N107" s="6">
        <f>IF(A107="","",IF(C107-B107&lt;=0,"",(G107-F107)/(C107-B107)))</f>
        <v/>
      </c>
      <c r="O107" s="7">
        <f>IF(A107="","",IF(C107&lt;=B107,"Budget not raised - no read",IF(G107&lt;F107,"Ceiling: profit falling as budget rises - stop pushing; add creatives, improve product or open a market",IF(AND(H107&gt;0,I107&lt;H107),"Watch: conversion slipping - refresh creatives before more budget",IF(J107=0,"Watch: no new creatives - freshness will decay","Keep scaling in steps")))))</f>
        <v/>
      </c>
    </row>
    <row r="108">
      <c r="B108" s="3" t="n"/>
      <c r="C108" s="3" t="n"/>
      <c r="F108" s="3" t="n"/>
      <c r="G108" s="3" t="n"/>
      <c r="H108" s="4" t="n"/>
      <c r="I108" s="4" t="n"/>
      <c r="M108" s="5">
        <f>IF(A108="","",IF(E108-D108&lt;=0,"",(C108-B108)/(E108-D108)))</f>
        <v/>
      </c>
      <c r="N108" s="6">
        <f>IF(A108="","",IF(C108-B108&lt;=0,"",(G108-F108)/(C108-B108)))</f>
        <v/>
      </c>
      <c r="O108" s="7">
        <f>IF(A108="","",IF(C108&lt;=B108,"Budget not raised - no read",IF(G108&lt;F108,"Ceiling: profit falling as budget rises - stop pushing; add creatives, improve product or open a market",IF(AND(H108&gt;0,I108&lt;H108),"Watch: conversion slipping - refresh creatives before more budget",IF(J108=0,"Watch: no new creatives - freshness will decay","Keep scaling in steps")))))</f>
        <v/>
      </c>
    </row>
    <row r="109">
      <c r="B109" s="3" t="n"/>
      <c r="C109" s="3" t="n"/>
      <c r="F109" s="3" t="n"/>
      <c r="G109" s="3" t="n"/>
      <c r="H109" s="4" t="n"/>
      <c r="I109" s="4" t="n"/>
      <c r="M109" s="5">
        <f>IF(A109="","",IF(E109-D109&lt;=0,"",(C109-B109)/(E109-D109)))</f>
        <v/>
      </c>
      <c r="N109" s="6">
        <f>IF(A109="","",IF(C109-B109&lt;=0,"",(G109-F109)/(C109-B109)))</f>
        <v/>
      </c>
      <c r="O109" s="7">
        <f>IF(A109="","",IF(C109&lt;=B109,"Budget not raised - no read",IF(G109&lt;F109,"Ceiling: profit falling as budget rises - stop pushing; add creatives, improve product or open a market",IF(AND(H109&gt;0,I109&lt;H109),"Watch: conversion slipping - refresh creatives before more budget",IF(J109=0,"Watch: no new creatives - freshness will decay","Keep scaling in steps")))))</f>
        <v/>
      </c>
    </row>
    <row r="110">
      <c r="B110" s="3" t="n"/>
      <c r="C110" s="3" t="n"/>
      <c r="F110" s="3" t="n"/>
      <c r="G110" s="3" t="n"/>
      <c r="H110" s="4" t="n"/>
      <c r="I110" s="4" t="n"/>
      <c r="M110" s="5">
        <f>IF(A110="","",IF(E110-D110&lt;=0,"",(C110-B110)/(E110-D110)))</f>
        <v/>
      </c>
      <c r="N110" s="6">
        <f>IF(A110="","",IF(C110-B110&lt;=0,"",(G110-F110)/(C110-B110)))</f>
        <v/>
      </c>
      <c r="O110" s="7">
        <f>IF(A110="","",IF(C110&lt;=B110,"Budget not raised - no read",IF(G110&lt;F110,"Ceiling: profit falling as budget rises - stop pushing; add creatives, improve product or open a market",IF(AND(H110&gt;0,I110&lt;H110),"Watch: conversion slipping - refresh creatives before more budget",IF(J110=0,"Watch: no new creatives - freshness will decay","Keep scaling in steps")))))</f>
        <v/>
      </c>
    </row>
    <row r="111">
      <c r="B111" s="3" t="n"/>
      <c r="C111" s="3" t="n"/>
      <c r="F111" s="3" t="n"/>
      <c r="G111" s="3" t="n"/>
      <c r="H111" s="4" t="n"/>
      <c r="I111" s="4" t="n"/>
      <c r="M111" s="5">
        <f>IF(A111="","",IF(E111-D111&lt;=0,"",(C111-B111)/(E111-D111)))</f>
        <v/>
      </c>
      <c r="N111" s="6">
        <f>IF(A111="","",IF(C111-B111&lt;=0,"",(G111-F111)/(C111-B111)))</f>
        <v/>
      </c>
      <c r="O111" s="7">
        <f>IF(A111="","",IF(C111&lt;=B111,"Budget not raised - no read",IF(G111&lt;F111,"Ceiling: profit falling as budget rises - stop pushing; add creatives, improve product or open a market",IF(AND(H111&gt;0,I111&lt;H111),"Watch: conversion slipping - refresh creatives before more budget",IF(J111=0,"Watch: no new creatives - freshness will decay","Keep scaling in steps")))))</f>
        <v/>
      </c>
    </row>
    <row r="112">
      <c r="B112" s="3" t="n"/>
      <c r="C112" s="3" t="n"/>
      <c r="F112" s="3" t="n"/>
      <c r="G112" s="3" t="n"/>
      <c r="H112" s="4" t="n"/>
      <c r="I112" s="4" t="n"/>
      <c r="M112" s="5">
        <f>IF(A112="","",IF(E112-D112&lt;=0,"",(C112-B112)/(E112-D112)))</f>
        <v/>
      </c>
      <c r="N112" s="6">
        <f>IF(A112="","",IF(C112-B112&lt;=0,"",(G112-F112)/(C112-B112)))</f>
        <v/>
      </c>
      <c r="O112" s="7">
        <f>IF(A112="","",IF(C112&lt;=B112,"Budget not raised - no read",IF(G112&lt;F112,"Ceiling: profit falling as budget rises - stop pushing; add creatives, improve product or open a market",IF(AND(H112&gt;0,I112&lt;H112),"Watch: conversion slipping - refresh creatives before more budget",IF(J112=0,"Watch: no new creatives - freshness will decay","Keep scaling in steps")))))</f>
        <v/>
      </c>
    </row>
    <row r="113">
      <c r="B113" s="3" t="n"/>
      <c r="C113" s="3" t="n"/>
      <c r="F113" s="3" t="n"/>
      <c r="G113" s="3" t="n"/>
      <c r="H113" s="4" t="n"/>
      <c r="I113" s="4" t="n"/>
      <c r="M113" s="5">
        <f>IF(A113="","",IF(E113-D113&lt;=0,"",(C113-B113)/(E113-D113)))</f>
        <v/>
      </c>
      <c r="N113" s="6">
        <f>IF(A113="","",IF(C113-B113&lt;=0,"",(G113-F113)/(C113-B113)))</f>
        <v/>
      </c>
      <c r="O113" s="7">
        <f>IF(A113="","",IF(C113&lt;=B113,"Budget not raised - no read",IF(G113&lt;F113,"Ceiling: profit falling as budget rises - stop pushing; add creatives, improve product or open a market",IF(AND(H113&gt;0,I113&lt;H113),"Watch: conversion slipping - refresh creatives before more budget",IF(J113=0,"Watch: no new creatives - freshness will decay","Keep scaling in steps")))))</f>
        <v/>
      </c>
    </row>
    <row r="114">
      <c r="B114" s="3" t="n"/>
      <c r="C114" s="3" t="n"/>
      <c r="F114" s="3" t="n"/>
      <c r="G114" s="3" t="n"/>
      <c r="H114" s="4" t="n"/>
      <c r="I114" s="4" t="n"/>
      <c r="M114" s="5">
        <f>IF(A114="","",IF(E114-D114&lt;=0,"",(C114-B114)/(E114-D114)))</f>
        <v/>
      </c>
      <c r="N114" s="6">
        <f>IF(A114="","",IF(C114-B114&lt;=0,"",(G114-F114)/(C114-B114)))</f>
        <v/>
      </c>
      <c r="O114" s="7">
        <f>IF(A114="","",IF(C114&lt;=B114,"Budget not raised - no read",IF(G114&lt;F114,"Ceiling: profit falling as budget rises - stop pushing; add creatives, improve product or open a market",IF(AND(H114&gt;0,I114&lt;H114),"Watch: conversion slipping - refresh creatives before more budget",IF(J114=0,"Watch: no new creatives - freshness will decay","Keep scaling in steps")))))</f>
        <v/>
      </c>
    </row>
    <row r="115">
      <c r="B115" s="3" t="n"/>
      <c r="C115" s="3" t="n"/>
      <c r="F115" s="3" t="n"/>
      <c r="G115" s="3" t="n"/>
      <c r="H115" s="4" t="n"/>
      <c r="I115" s="4" t="n"/>
      <c r="M115" s="5">
        <f>IF(A115="","",IF(E115-D115&lt;=0,"",(C115-B115)/(E115-D115)))</f>
        <v/>
      </c>
      <c r="N115" s="6">
        <f>IF(A115="","",IF(C115-B115&lt;=0,"",(G115-F115)/(C115-B115)))</f>
        <v/>
      </c>
      <c r="O115" s="7">
        <f>IF(A115="","",IF(C115&lt;=B115,"Budget not raised - no read",IF(G115&lt;F115,"Ceiling: profit falling as budget rises - stop pushing; add creatives, improve product or open a market",IF(AND(H115&gt;0,I115&lt;H115),"Watch: conversion slipping - refresh creatives before more budget",IF(J115=0,"Watch: no new creatives - freshness will decay","Keep scaling in steps")))))</f>
        <v/>
      </c>
    </row>
    <row r="116">
      <c r="B116" s="3" t="n"/>
      <c r="C116" s="3" t="n"/>
      <c r="F116" s="3" t="n"/>
      <c r="G116" s="3" t="n"/>
      <c r="H116" s="4" t="n"/>
      <c r="I116" s="4" t="n"/>
      <c r="M116" s="5">
        <f>IF(A116="","",IF(E116-D116&lt;=0,"",(C116-B116)/(E116-D116)))</f>
        <v/>
      </c>
      <c r="N116" s="6">
        <f>IF(A116="","",IF(C116-B116&lt;=0,"",(G116-F116)/(C116-B116)))</f>
        <v/>
      </c>
      <c r="O116" s="7">
        <f>IF(A116="","",IF(C116&lt;=B116,"Budget not raised - no read",IF(G116&lt;F116,"Ceiling: profit falling as budget rises - stop pushing; add creatives, improve product or open a market",IF(AND(H116&gt;0,I116&lt;H116),"Watch: conversion slipping - refresh creatives before more budget",IF(J116=0,"Watch: no new creatives - freshness will decay","Keep scaling in steps")))))</f>
        <v/>
      </c>
    </row>
    <row r="117">
      <c r="B117" s="3" t="n"/>
      <c r="C117" s="3" t="n"/>
      <c r="F117" s="3" t="n"/>
      <c r="G117" s="3" t="n"/>
      <c r="H117" s="4" t="n"/>
      <c r="I117" s="4" t="n"/>
      <c r="M117" s="5">
        <f>IF(A117="","",IF(E117-D117&lt;=0,"",(C117-B117)/(E117-D117)))</f>
        <v/>
      </c>
      <c r="N117" s="6">
        <f>IF(A117="","",IF(C117-B117&lt;=0,"",(G117-F117)/(C117-B117)))</f>
        <v/>
      </c>
      <c r="O117" s="7">
        <f>IF(A117="","",IF(C117&lt;=B117,"Budget not raised - no read",IF(G117&lt;F117,"Ceiling: profit falling as budget rises - stop pushing; add creatives, improve product or open a market",IF(AND(H117&gt;0,I117&lt;H117),"Watch: conversion slipping - refresh creatives before more budget",IF(J117=0,"Watch: no new creatives - freshness will decay","Keep scaling in steps")))))</f>
        <v/>
      </c>
    </row>
    <row r="118">
      <c r="B118" s="3" t="n"/>
      <c r="C118" s="3" t="n"/>
      <c r="F118" s="3" t="n"/>
      <c r="G118" s="3" t="n"/>
      <c r="H118" s="4" t="n"/>
      <c r="I118" s="4" t="n"/>
      <c r="M118" s="5">
        <f>IF(A118="","",IF(E118-D118&lt;=0,"",(C118-B118)/(E118-D118)))</f>
        <v/>
      </c>
      <c r="N118" s="6">
        <f>IF(A118="","",IF(C118-B118&lt;=0,"",(G118-F118)/(C118-B118)))</f>
        <v/>
      </c>
      <c r="O118" s="7">
        <f>IF(A118="","",IF(C118&lt;=B118,"Budget not raised - no read",IF(G118&lt;F118,"Ceiling: profit falling as budget rises - stop pushing; add creatives, improve product or open a market",IF(AND(H118&gt;0,I118&lt;H118),"Watch: conversion slipping - refresh creatives before more budget",IF(J118=0,"Watch: no new creatives - freshness will decay","Keep scaling in steps")))))</f>
        <v/>
      </c>
    </row>
    <row r="119">
      <c r="B119" s="3" t="n"/>
      <c r="C119" s="3" t="n"/>
      <c r="F119" s="3" t="n"/>
      <c r="G119" s="3" t="n"/>
      <c r="H119" s="4" t="n"/>
      <c r="I119" s="4" t="n"/>
      <c r="M119" s="5">
        <f>IF(A119="","",IF(E119-D119&lt;=0,"",(C119-B119)/(E119-D119)))</f>
        <v/>
      </c>
      <c r="N119" s="6">
        <f>IF(A119="","",IF(C119-B119&lt;=0,"",(G119-F119)/(C119-B119)))</f>
        <v/>
      </c>
      <c r="O119" s="7">
        <f>IF(A119="","",IF(C119&lt;=B119,"Budget not raised - no read",IF(G119&lt;F119,"Ceiling: profit falling as budget rises - stop pushing; add creatives, improve product or open a market",IF(AND(H119&gt;0,I119&lt;H119),"Watch: conversion slipping - refresh creatives before more budget",IF(J119=0,"Watch: no new creatives - freshness will decay","Keep scaling in steps")))))</f>
        <v/>
      </c>
    </row>
    <row r="120">
      <c r="B120" s="3" t="n"/>
      <c r="C120" s="3" t="n"/>
      <c r="F120" s="3" t="n"/>
      <c r="G120" s="3" t="n"/>
      <c r="H120" s="4" t="n"/>
      <c r="I120" s="4" t="n"/>
      <c r="M120" s="5">
        <f>IF(A120="","",IF(E120-D120&lt;=0,"",(C120-B120)/(E120-D120)))</f>
        <v/>
      </c>
      <c r="N120" s="6">
        <f>IF(A120="","",IF(C120-B120&lt;=0,"",(G120-F120)/(C120-B120)))</f>
        <v/>
      </c>
      <c r="O120" s="7">
        <f>IF(A120="","",IF(C120&lt;=B120,"Budget not raised - no read",IF(G120&lt;F120,"Ceiling: profit falling as budget rises - stop pushing; add creatives, improve product or open a market",IF(AND(H120&gt;0,I120&lt;H120),"Watch: conversion slipping - refresh creatives before more budget",IF(J120=0,"Watch: no new creatives - freshness will decay","Keep scaling in steps")))))</f>
        <v/>
      </c>
    </row>
    <row r="121">
      <c r="B121" s="3" t="n"/>
      <c r="C121" s="3" t="n"/>
      <c r="F121" s="3" t="n"/>
      <c r="G121" s="3" t="n"/>
      <c r="H121" s="4" t="n"/>
      <c r="I121" s="4" t="n"/>
      <c r="M121" s="5">
        <f>IF(A121="","",IF(E121-D121&lt;=0,"",(C121-B121)/(E121-D121)))</f>
        <v/>
      </c>
      <c r="N121" s="6">
        <f>IF(A121="","",IF(C121-B121&lt;=0,"",(G121-F121)/(C121-B121)))</f>
        <v/>
      </c>
      <c r="O121" s="7">
        <f>IF(A121="","",IF(C121&lt;=B121,"Budget not raised - no read",IF(G121&lt;F121,"Ceiling: profit falling as budget rises - stop pushing; add creatives, improve product or open a market",IF(AND(H121&gt;0,I121&lt;H121),"Watch: conversion slipping - refresh creatives before more budget",IF(J121=0,"Watch: no new creatives - freshness will decay","Keep scaling in steps")))))</f>
        <v/>
      </c>
    </row>
    <row r="122">
      <c r="B122" s="3" t="n"/>
      <c r="C122" s="3" t="n"/>
      <c r="F122" s="3" t="n"/>
      <c r="G122" s="3" t="n"/>
      <c r="H122" s="4" t="n"/>
      <c r="I122" s="4" t="n"/>
      <c r="M122" s="5">
        <f>IF(A122="","",IF(E122-D122&lt;=0,"",(C122-B122)/(E122-D122)))</f>
        <v/>
      </c>
      <c r="N122" s="6">
        <f>IF(A122="","",IF(C122-B122&lt;=0,"",(G122-F122)/(C122-B122)))</f>
        <v/>
      </c>
      <c r="O122" s="7">
        <f>IF(A122="","",IF(C122&lt;=B122,"Budget not raised - no read",IF(G122&lt;F122,"Ceiling: profit falling as budget rises - stop pushing; add creatives, improve product or open a market",IF(AND(H122&gt;0,I122&lt;H122),"Watch: conversion slipping - refresh creatives before more budget",IF(J122=0,"Watch: no new creatives - freshness will decay","Keep scaling in steps")))))</f>
        <v/>
      </c>
    </row>
    <row r="123">
      <c r="B123" s="3" t="n"/>
      <c r="C123" s="3" t="n"/>
      <c r="F123" s="3" t="n"/>
      <c r="G123" s="3" t="n"/>
      <c r="H123" s="4" t="n"/>
      <c r="I123" s="4" t="n"/>
      <c r="M123" s="5">
        <f>IF(A123="","",IF(E123-D123&lt;=0,"",(C123-B123)/(E123-D123)))</f>
        <v/>
      </c>
      <c r="N123" s="6">
        <f>IF(A123="","",IF(C123-B123&lt;=0,"",(G123-F123)/(C123-B123)))</f>
        <v/>
      </c>
      <c r="O123" s="7">
        <f>IF(A123="","",IF(C123&lt;=B123,"Budget not raised - no read",IF(G123&lt;F123,"Ceiling: profit falling as budget rises - stop pushing; add creatives, improve product or open a market",IF(AND(H123&gt;0,I123&lt;H123),"Watch: conversion slipping - refresh creatives before more budget",IF(J123=0,"Watch: no new creatives - freshness will decay","Keep scaling in steps")))))</f>
        <v/>
      </c>
    </row>
    <row r="124">
      <c r="B124" s="3" t="n"/>
      <c r="C124" s="3" t="n"/>
      <c r="F124" s="3" t="n"/>
      <c r="G124" s="3" t="n"/>
      <c r="H124" s="4" t="n"/>
      <c r="I124" s="4" t="n"/>
      <c r="M124" s="5">
        <f>IF(A124="","",IF(E124-D124&lt;=0,"",(C124-B124)/(E124-D124)))</f>
        <v/>
      </c>
      <c r="N124" s="6">
        <f>IF(A124="","",IF(C124-B124&lt;=0,"",(G124-F124)/(C124-B124)))</f>
        <v/>
      </c>
      <c r="O124" s="7">
        <f>IF(A124="","",IF(C124&lt;=B124,"Budget not raised - no read",IF(G124&lt;F124,"Ceiling: profit falling as budget rises - stop pushing; add creatives, improve product or open a market",IF(AND(H124&gt;0,I124&lt;H124),"Watch: conversion slipping - refresh creatives before more budget",IF(J124=0,"Watch: no new creatives - freshness will decay","Keep scaling in steps")))))</f>
        <v/>
      </c>
    </row>
    <row r="125">
      <c r="B125" s="3" t="n"/>
      <c r="C125" s="3" t="n"/>
      <c r="F125" s="3" t="n"/>
      <c r="G125" s="3" t="n"/>
      <c r="H125" s="4" t="n"/>
      <c r="I125" s="4" t="n"/>
      <c r="M125" s="5">
        <f>IF(A125="","",IF(E125-D125&lt;=0,"",(C125-B125)/(E125-D125)))</f>
        <v/>
      </c>
      <c r="N125" s="6">
        <f>IF(A125="","",IF(C125-B125&lt;=0,"",(G125-F125)/(C125-B125)))</f>
        <v/>
      </c>
      <c r="O125" s="7">
        <f>IF(A125="","",IF(C125&lt;=B125,"Budget not raised - no read",IF(G125&lt;F125,"Ceiling: profit falling as budget rises - stop pushing; add creatives, improve product or open a market",IF(AND(H125&gt;0,I125&lt;H125),"Watch: conversion slipping - refresh creatives before more budget",IF(J125=0,"Watch: no new creatives - freshness will decay","Keep scaling in steps")))))</f>
        <v/>
      </c>
    </row>
    <row r="126">
      <c r="B126" s="3" t="n"/>
      <c r="C126" s="3" t="n"/>
      <c r="F126" s="3" t="n"/>
      <c r="G126" s="3" t="n"/>
      <c r="H126" s="4" t="n"/>
      <c r="I126" s="4" t="n"/>
      <c r="M126" s="5">
        <f>IF(A126="","",IF(E126-D126&lt;=0,"",(C126-B126)/(E126-D126)))</f>
        <v/>
      </c>
      <c r="N126" s="6">
        <f>IF(A126="","",IF(C126-B126&lt;=0,"",(G126-F126)/(C126-B126)))</f>
        <v/>
      </c>
      <c r="O126" s="7">
        <f>IF(A126="","",IF(C126&lt;=B126,"Budget not raised - no read",IF(G126&lt;F126,"Ceiling: profit falling as budget rises - stop pushing; add creatives, improve product or open a market",IF(AND(H126&gt;0,I126&lt;H126),"Watch: conversion slipping - refresh creatives before more budget",IF(J126=0,"Watch: no new creatives - freshness will decay","Keep scaling in steps")))))</f>
        <v/>
      </c>
    </row>
    <row r="127">
      <c r="B127" s="3" t="n"/>
      <c r="C127" s="3" t="n"/>
      <c r="F127" s="3" t="n"/>
      <c r="G127" s="3" t="n"/>
      <c r="H127" s="4" t="n"/>
      <c r="I127" s="4" t="n"/>
      <c r="M127" s="5">
        <f>IF(A127="","",IF(E127-D127&lt;=0,"",(C127-B127)/(E127-D127)))</f>
        <v/>
      </c>
      <c r="N127" s="6">
        <f>IF(A127="","",IF(C127-B127&lt;=0,"",(G127-F127)/(C127-B127)))</f>
        <v/>
      </c>
      <c r="O127" s="7">
        <f>IF(A127="","",IF(C127&lt;=B127,"Budget not raised - no read",IF(G127&lt;F127,"Ceiling: profit falling as budget rises - stop pushing; add creatives, improve product or open a market",IF(AND(H127&gt;0,I127&lt;H127),"Watch: conversion slipping - refresh creatives before more budget",IF(J127=0,"Watch: no new creatives - freshness will decay","Keep scaling in steps")))))</f>
        <v/>
      </c>
    </row>
    <row r="128">
      <c r="B128" s="3" t="n"/>
      <c r="C128" s="3" t="n"/>
      <c r="F128" s="3" t="n"/>
      <c r="G128" s="3" t="n"/>
      <c r="H128" s="4" t="n"/>
      <c r="I128" s="4" t="n"/>
      <c r="M128" s="5">
        <f>IF(A128="","",IF(E128-D128&lt;=0,"",(C128-B128)/(E128-D128)))</f>
        <v/>
      </c>
      <c r="N128" s="6">
        <f>IF(A128="","",IF(C128-B128&lt;=0,"",(G128-F128)/(C128-B128)))</f>
        <v/>
      </c>
      <c r="O128" s="7">
        <f>IF(A128="","",IF(C128&lt;=B128,"Budget not raised - no read",IF(G128&lt;F128,"Ceiling: profit falling as budget rises - stop pushing; add creatives, improve product or open a market",IF(AND(H128&gt;0,I128&lt;H128),"Watch: conversion slipping - refresh creatives before more budget",IF(J128=0,"Watch: no new creatives - freshness will decay","Keep scaling in steps")))))</f>
        <v/>
      </c>
    </row>
    <row r="129">
      <c r="B129" s="3" t="n"/>
      <c r="C129" s="3" t="n"/>
      <c r="F129" s="3" t="n"/>
      <c r="G129" s="3" t="n"/>
      <c r="H129" s="4" t="n"/>
      <c r="I129" s="4" t="n"/>
      <c r="M129" s="5">
        <f>IF(A129="","",IF(E129-D129&lt;=0,"",(C129-B129)/(E129-D129)))</f>
        <v/>
      </c>
      <c r="N129" s="6">
        <f>IF(A129="","",IF(C129-B129&lt;=0,"",(G129-F129)/(C129-B129)))</f>
        <v/>
      </c>
      <c r="O129" s="7">
        <f>IF(A129="","",IF(C129&lt;=B129,"Budget not raised - no read",IF(G129&lt;F129,"Ceiling: profit falling as budget rises - stop pushing; add creatives, improve product or open a market",IF(AND(H129&gt;0,I129&lt;H129),"Watch: conversion slipping - refresh creatives before more budget",IF(J129=0,"Watch: no new creatives - freshness will decay","Keep scaling in steps")))))</f>
        <v/>
      </c>
    </row>
    <row r="130">
      <c r="B130" s="3" t="n"/>
      <c r="C130" s="3" t="n"/>
      <c r="F130" s="3" t="n"/>
      <c r="G130" s="3" t="n"/>
      <c r="H130" s="4" t="n"/>
      <c r="I130" s="4" t="n"/>
      <c r="M130" s="5">
        <f>IF(A130="","",IF(E130-D130&lt;=0,"",(C130-B130)/(E130-D130)))</f>
        <v/>
      </c>
      <c r="N130" s="6">
        <f>IF(A130="","",IF(C130-B130&lt;=0,"",(G130-F130)/(C130-B130)))</f>
        <v/>
      </c>
      <c r="O130" s="7">
        <f>IF(A130="","",IF(C130&lt;=B130,"Budget not raised - no read",IF(G130&lt;F130,"Ceiling: profit falling as budget rises - stop pushing; add creatives, improve product or open a market",IF(AND(H130&gt;0,I130&lt;H130),"Watch: conversion slipping - refresh creatives before more budget",IF(J130=0,"Watch: no new creatives - freshness will decay","Keep scaling in steps")))))</f>
        <v/>
      </c>
    </row>
    <row r="131">
      <c r="B131" s="3" t="n"/>
      <c r="C131" s="3" t="n"/>
      <c r="F131" s="3" t="n"/>
      <c r="G131" s="3" t="n"/>
      <c r="H131" s="4" t="n"/>
      <c r="I131" s="4" t="n"/>
      <c r="M131" s="5">
        <f>IF(A131="","",IF(E131-D131&lt;=0,"",(C131-B131)/(E131-D131)))</f>
        <v/>
      </c>
      <c r="N131" s="6">
        <f>IF(A131="","",IF(C131-B131&lt;=0,"",(G131-F131)/(C131-B131)))</f>
        <v/>
      </c>
      <c r="O131" s="7">
        <f>IF(A131="","",IF(C131&lt;=B131,"Budget not raised - no read",IF(G131&lt;F131,"Ceiling: profit falling as budget rises - stop pushing; add creatives, improve product or open a market",IF(AND(H131&gt;0,I131&lt;H131),"Watch: conversion slipping - refresh creatives before more budget",IF(J131=0,"Watch: no new creatives - freshness will decay","Keep scaling in steps")))))</f>
        <v/>
      </c>
    </row>
    <row r="132">
      <c r="B132" s="3" t="n"/>
      <c r="C132" s="3" t="n"/>
      <c r="F132" s="3" t="n"/>
      <c r="G132" s="3" t="n"/>
      <c r="H132" s="4" t="n"/>
      <c r="I132" s="4" t="n"/>
      <c r="M132" s="5">
        <f>IF(A132="","",IF(E132-D132&lt;=0,"",(C132-B132)/(E132-D132)))</f>
        <v/>
      </c>
      <c r="N132" s="6">
        <f>IF(A132="","",IF(C132-B132&lt;=0,"",(G132-F132)/(C132-B132)))</f>
        <v/>
      </c>
      <c r="O132" s="7">
        <f>IF(A132="","",IF(C132&lt;=B132,"Budget not raised - no read",IF(G132&lt;F132,"Ceiling: profit falling as budget rises - stop pushing; add creatives, improve product or open a market",IF(AND(H132&gt;0,I132&lt;H132),"Watch: conversion slipping - refresh creatives before more budget",IF(J132=0,"Watch: no new creatives - freshness will decay","Keep scaling in steps")))))</f>
        <v/>
      </c>
    </row>
    <row r="133">
      <c r="B133" s="3" t="n"/>
      <c r="C133" s="3" t="n"/>
      <c r="F133" s="3" t="n"/>
      <c r="G133" s="3" t="n"/>
      <c r="H133" s="4" t="n"/>
      <c r="I133" s="4" t="n"/>
      <c r="M133" s="5">
        <f>IF(A133="","",IF(E133-D133&lt;=0,"",(C133-B133)/(E133-D133)))</f>
        <v/>
      </c>
      <c r="N133" s="6">
        <f>IF(A133="","",IF(C133-B133&lt;=0,"",(G133-F133)/(C133-B133)))</f>
        <v/>
      </c>
      <c r="O133" s="7">
        <f>IF(A133="","",IF(C133&lt;=B133,"Budget not raised - no read",IF(G133&lt;F133,"Ceiling: profit falling as budget rises - stop pushing; add creatives, improve product or open a market",IF(AND(H133&gt;0,I133&lt;H133),"Watch: conversion slipping - refresh creatives before more budget",IF(J133=0,"Watch: no new creatives - freshness will decay","Keep scaling in steps")))))</f>
        <v/>
      </c>
    </row>
    <row r="134">
      <c r="B134" s="3" t="n"/>
      <c r="C134" s="3" t="n"/>
      <c r="F134" s="3" t="n"/>
      <c r="G134" s="3" t="n"/>
      <c r="H134" s="4" t="n"/>
      <c r="I134" s="4" t="n"/>
      <c r="M134" s="5">
        <f>IF(A134="","",IF(E134-D134&lt;=0,"",(C134-B134)/(E134-D134)))</f>
        <v/>
      </c>
      <c r="N134" s="6">
        <f>IF(A134="","",IF(C134-B134&lt;=0,"",(G134-F134)/(C134-B134)))</f>
        <v/>
      </c>
      <c r="O134" s="7">
        <f>IF(A134="","",IF(C134&lt;=B134,"Budget not raised - no read",IF(G134&lt;F134,"Ceiling: profit falling as budget rises - stop pushing; add creatives, improve product or open a market",IF(AND(H134&gt;0,I134&lt;H134),"Watch: conversion slipping - refresh creatives before more budget",IF(J134=0,"Watch: no new creatives - freshness will decay","Keep scaling in steps")))))</f>
        <v/>
      </c>
    </row>
    <row r="135">
      <c r="B135" s="3" t="n"/>
      <c r="C135" s="3" t="n"/>
      <c r="F135" s="3" t="n"/>
      <c r="G135" s="3" t="n"/>
      <c r="H135" s="4" t="n"/>
      <c r="I135" s="4" t="n"/>
      <c r="M135" s="5">
        <f>IF(A135="","",IF(E135-D135&lt;=0,"",(C135-B135)/(E135-D135)))</f>
        <v/>
      </c>
      <c r="N135" s="6">
        <f>IF(A135="","",IF(C135-B135&lt;=0,"",(G135-F135)/(C135-B135)))</f>
        <v/>
      </c>
      <c r="O135" s="7">
        <f>IF(A135="","",IF(C135&lt;=B135,"Budget not raised - no read",IF(G135&lt;F135,"Ceiling: profit falling as budget rises - stop pushing; add creatives, improve product or open a market",IF(AND(H135&gt;0,I135&lt;H135),"Watch: conversion slipping - refresh creatives before more budget",IF(J135=0,"Watch: no new creatives - freshness will decay","Keep scaling in steps")))))</f>
        <v/>
      </c>
    </row>
    <row r="136">
      <c r="B136" s="3" t="n"/>
      <c r="C136" s="3" t="n"/>
      <c r="F136" s="3" t="n"/>
      <c r="G136" s="3" t="n"/>
      <c r="H136" s="4" t="n"/>
      <c r="I136" s="4" t="n"/>
      <c r="M136" s="5">
        <f>IF(A136="","",IF(E136-D136&lt;=0,"",(C136-B136)/(E136-D136)))</f>
        <v/>
      </c>
      <c r="N136" s="6">
        <f>IF(A136="","",IF(C136-B136&lt;=0,"",(G136-F136)/(C136-B136)))</f>
        <v/>
      </c>
      <c r="O136" s="7">
        <f>IF(A136="","",IF(C136&lt;=B136,"Budget not raised - no read",IF(G136&lt;F136,"Ceiling: profit falling as budget rises - stop pushing; add creatives, improve product or open a market",IF(AND(H136&gt;0,I136&lt;H136),"Watch: conversion slipping - refresh creatives before more budget",IF(J136=0,"Watch: no new creatives - freshness will decay","Keep scaling in steps")))))</f>
        <v/>
      </c>
    </row>
    <row r="137">
      <c r="B137" s="3" t="n"/>
      <c r="C137" s="3" t="n"/>
      <c r="F137" s="3" t="n"/>
      <c r="G137" s="3" t="n"/>
      <c r="H137" s="4" t="n"/>
      <c r="I137" s="4" t="n"/>
      <c r="M137" s="5">
        <f>IF(A137="","",IF(E137-D137&lt;=0,"",(C137-B137)/(E137-D137)))</f>
        <v/>
      </c>
      <c r="N137" s="6">
        <f>IF(A137="","",IF(C137-B137&lt;=0,"",(G137-F137)/(C137-B137)))</f>
        <v/>
      </c>
      <c r="O137" s="7">
        <f>IF(A137="","",IF(C137&lt;=B137,"Budget not raised - no read",IF(G137&lt;F137,"Ceiling: profit falling as budget rises - stop pushing; add creatives, improve product or open a market",IF(AND(H137&gt;0,I137&lt;H137),"Watch: conversion slipping - refresh creatives before more budget",IF(J137=0,"Watch: no new creatives - freshness will decay","Keep scaling in steps")))))</f>
        <v/>
      </c>
    </row>
    <row r="138">
      <c r="B138" s="3" t="n"/>
      <c r="C138" s="3" t="n"/>
      <c r="F138" s="3" t="n"/>
      <c r="G138" s="3" t="n"/>
      <c r="H138" s="4" t="n"/>
      <c r="I138" s="4" t="n"/>
      <c r="M138" s="5">
        <f>IF(A138="","",IF(E138-D138&lt;=0,"",(C138-B138)/(E138-D138)))</f>
        <v/>
      </c>
      <c r="N138" s="6">
        <f>IF(A138="","",IF(C138-B138&lt;=0,"",(G138-F138)/(C138-B138)))</f>
        <v/>
      </c>
      <c r="O138" s="7">
        <f>IF(A138="","",IF(C138&lt;=B138,"Budget not raised - no read",IF(G138&lt;F138,"Ceiling: profit falling as budget rises - stop pushing; add creatives, improve product or open a market",IF(AND(H138&gt;0,I138&lt;H138),"Watch: conversion slipping - refresh creatives before more budget",IF(J138=0,"Watch: no new creatives - freshness will decay","Keep scaling in steps")))))</f>
        <v/>
      </c>
    </row>
    <row r="139">
      <c r="B139" s="3" t="n"/>
      <c r="C139" s="3" t="n"/>
      <c r="F139" s="3" t="n"/>
      <c r="G139" s="3" t="n"/>
      <c r="H139" s="4" t="n"/>
      <c r="I139" s="4" t="n"/>
      <c r="M139" s="5">
        <f>IF(A139="","",IF(E139-D139&lt;=0,"",(C139-B139)/(E139-D139)))</f>
        <v/>
      </c>
      <c r="N139" s="6">
        <f>IF(A139="","",IF(C139-B139&lt;=0,"",(G139-F139)/(C139-B139)))</f>
        <v/>
      </c>
      <c r="O139" s="7">
        <f>IF(A139="","",IF(C139&lt;=B139,"Budget not raised - no read",IF(G139&lt;F139,"Ceiling: profit falling as budget rises - stop pushing; add creatives, improve product or open a market",IF(AND(H139&gt;0,I139&lt;H139),"Watch: conversion slipping - refresh creatives before more budget",IF(J139=0,"Watch: no new creatives - freshness will decay","Keep scaling in steps")))))</f>
        <v/>
      </c>
    </row>
    <row r="140">
      <c r="B140" s="3" t="n"/>
      <c r="C140" s="3" t="n"/>
      <c r="F140" s="3" t="n"/>
      <c r="G140" s="3" t="n"/>
      <c r="H140" s="4" t="n"/>
      <c r="I140" s="4" t="n"/>
      <c r="M140" s="5">
        <f>IF(A140="","",IF(E140-D140&lt;=0,"",(C140-B140)/(E140-D140)))</f>
        <v/>
      </c>
      <c r="N140" s="6">
        <f>IF(A140="","",IF(C140-B140&lt;=0,"",(G140-F140)/(C140-B140)))</f>
        <v/>
      </c>
      <c r="O140" s="7">
        <f>IF(A140="","",IF(C140&lt;=B140,"Budget not raised - no read",IF(G140&lt;F140,"Ceiling: profit falling as budget rises - stop pushing; add creatives, improve product or open a market",IF(AND(H140&gt;0,I140&lt;H140),"Watch: conversion slipping - refresh creatives before more budget",IF(J140=0,"Watch: no new creatives - freshness will decay","Keep scaling in steps")))))</f>
        <v/>
      </c>
    </row>
    <row r="141">
      <c r="B141" s="3" t="n"/>
      <c r="C141" s="3" t="n"/>
      <c r="F141" s="3" t="n"/>
      <c r="G141" s="3" t="n"/>
      <c r="H141" s="4" t="n"/>
      <c r="I141" s="4" t="n"/>
      <c r="M141" s="5">
        <f>IF(A141="","",IF(E141-D141&lt;=0,"",(C141-B141)/(E141-D141)))</f>
        <v/>
      </c>
      <c r="N141" s="6">
        <f>IF(A141="","",IF(C141-B141&lt;=0,"",(G141-F141)/(C141-B141)))</f>
        <v/>
      </c>
      <c r="O141" s="7">
        <f>IF(A141="","",IF(C141&lt;=B141,"Budget not raised - no read",IF(G141&lt;F141,"Ceiling: profit falling as budget rises - stop pushing; add creatives, improve product or open a market",IF(AND(H141&gt;0,I141&lt;H141),"Watch: conversion slipping - refresh creatives before more budget",IF(J141=0,"Watch: no new creatives - freshness will decay","Keep scaling in steps")))))</f>
        <v/>
      </c>
    </row>
    <row r="142">
      <c r="B142" s="3" t="n"/>
      <c r="C142" s="3" t="n"/>
      <c r="F142" s="3" t="n"/>
      <c r="G142" s="3" t="n"/>
      <c r="H142" s="4" t="n"/>
      <c r="I142" s="4" t="n"/>
      <c r="M142" s="5">
        <f>IF(A142="","",IF(E142-D142&lt;=0,"",(C142-B142)/(E142-D142)))</f>
        <v/>
      </c>
      <c r="N142" s="6">
        <f>IF(A142="","",IF(C142-B142&lt;=0,"",(G142-F142)/(C142-B142)))</f>
        <v/>
      </c>
      <c r="O142" s="7">
        <f>IF(A142="","",IF(C142&lt;=B142,"Budget not raised - no read",IF(G142&lt;F142,"Ceiling: profit falling as budget rises - stop pushing; add creatives, improve product or open a market",IF(AND(H142&gt;0,I142&lt;H142),"Watch: conversion slipping - refresh creatives before more budget",IF(J142=0,"Watch: no new creatives - freshness will decay","Keep scaling in steps")))))</f>
        <v/>
      </c>
    </row>
    <row r="143">
      <c r="B143" s="3" t="n"/>
      <c r="C143" s="3" t="n"/>
      <c r="F143" s="3" t="n"/>
      <c r="G143" s="3" t="n"/>
      <c r="H143" s="4" t="n"/>
      <c r="I143" s="4" t="n"/>
      <c r="M143" s="5">
        <f>IF(A143="","",IF(E143-D143&lt;=0,"",(C143-B143)/(E143-D143)))</f>
        <v/>
      </c>
      <c r="N143" s="6">
        <f>IF(A143="","",IF(C143-B143&lt;=0,"",(G143-F143)/(C143-B143)))</f>
        <v/>
      </c>
      <c r="O143" s="7">
        <f>IF(A143="","",IF(C143&lt;=B143,"Budget not raised - no read",IF(G143&lt;F143,"Ceiling: profit falling as budget rises - stop pushing; add creatives, improve product or open a market",IF(AND(H143&gt;0,I143&lt;H143),"Watch: conversion slipping - refresh creatives before more budget",IF(J143=0,"Watch: no new creatives - freshness will decay","Keep scaling in steps")))))</f>
        <v/>
      </c>
    </row>
    <row r="144">
      <c r="B144" s="3" t="n"/>
      <c r="C144" s="3" t="n"/>
      <c r="F144" s="3" t="n"/>
      <c r="G144" s="3" t="n"/>
      <c r="H144" s="4" t="n"/>
      <c r="I144" s="4" t="n"/>
      <c r="M144" s="5">
        <f>IF(A144="","",IF(E144-D144&lt;=0,"",(C144-B144)/(E144-D144)))</f>
        <v/>
      </c>
      <c r="N144" s="6">
        <f>IF(A144="","",IF(C144-B144&lt;=0,"",(G144-F144)/(C144-B144)))</f>
        <v/>
      </c>
      <c r="O144" s="7">
        <f>IF(A144="","",IF(C144&lt;=B144,"Budget not raised - no read",IF(G144&lt;F144,"Ceiling: profit falling as budget rises - stop pushing; add creatives, improve product or open a market",IF(AND(H144&gt;0,I144&lt;H144),"Watch: conversion slipping - refresh creatives before more budget",IF(J144=0,"Watch: no new creatives - freshness will decay","Keep scaling in steps")))))</f>
        <v/>
      </c>
    </row>
    <row r="145">
      <c r="B145" s="3" t="n"/>
      <c r="C145" s="3" t="n"/>
      <c r="F145" s="3" t="n"/>
      <c r="G145" s="3" t="n"/>
      <c r="H145" s="4" t="n"/>
      <c r="I145" s="4" t="n"/>
      <c r="M145" s="5">
        <f>IF(A145="","",IF(E145-D145&lt;=0,"",(C145-B145)/(E145-D145)))</f>
        <v/>
      </c>
      <c r="N145" s="6">
        <f>IF(A145="","",IF(C145-B145&lt;=0,"",(G145-F145)/(C145-B145)))</f>
        <v/>
      </c>
      <c r="O145" s="7">
        <f>IF(A145="","",IF(C145&lt;=B145,"Budget not raised - no read",IF(G145&lt;F145,"Ceiling: profit falling as budget rises - stop pushing; add creatives, improve product or open a market",IF(AND(H145&gt;0,I145&lt;H145),"Watch: conversion slipping - refresh creatives before more budget",IF(J145=0,"Watch: no new creatives - freshness will decay","Keep scaling in steps")))))</f>
        <v/>
      </c>
    </row>
    <row r="146">
      <c r="B146" s="3" t="n"/>
      <c r="C146" s="3" t="n"/>
      <c r="F146" s="3" t="n"/>
      <c r="G146" s="3" t="n"/>
      <c r="H146" s="4" t="n"/>
      <c r="I146" s="4" t="n"/>
      <c r="M146" s="5">
        <f>IF(A146="","",IF(E146-D146&lt;=0,"",(C146-B146)/(E146-D146)))</f>
        <v/>
      </c>
      <c r="N146" s="6">
        <f>IF(A146="","",IF(C146-B146&lt;=0,"",(G146-F146)/(C146-B146)))</f>
        <v/>
      </c>
      <c r="O146" s="7">
        <f>IF(A146="","",IF(C146&lt;=B146,"Budget not raised - no read",IF(G146&lt;F146,"Ceiling: profit falling as budget rises - stop pushing; add creatives, improve product or open a market",IF(AND(H146&gt;0,I146&lt;H146),"Watch: conversion slipping - refresh creatives before more budget",IF(J146=0,"Watch: no new creatives - freshness will decay","Keep scaling in steps")))))</f>
        <v/>
      </c>
    </row>
    <row r="147">
      <c r="B147" s="3" t="n"/>
      <c r="C147" s="3" t="n"/>
      <c r="F147" s="3" t="n"/>
      <c r="G147" s="3" t="n"/>
      <c r="H147" s="4" t="n"/>
      <c r="I147" s="4" t="n"/>
      <c r="M147" s="5">
        <f>IF(A147="","",IF(E147-D147&lt;=0,"",(C147-B147)/(E147-D147)))</f>
        <v/>
      </c>
      <c r="N147" s="6">
        <f>IF(A147="","",IF(C147-B147&lt;=0,"",(G147-F147)/(C147-B147)))</f>
        <v/>
      </c>
      <c r="O147" s="7">
        <f>IF(A147="","",IF(C147&lt;=B147,"Budget not raised - no read",IF(G147&lt;F147,"Ceiling: profit falling as budget rises - stop pushing; add creatives, improve product or open a market",IF(AND(H147&gt;0,I147&lt;H147),"Watch: conversion slipping - refresh creatives before more budget",IF(J147=0,"Watch: no new creatives - freshness will decay","Keep scaling in steps")))))</f>
        <v/>
      </c>
    </row>
    <row r="148">
      <c r="B148" s="3" t="n"/>
      <c r="C148" s="3" t="n"/>
      <c r="F148" s="3" t="n"/>
      <c r="G148" s="3" t="n"/>
      <c r="H148" s="4" t="n"/>
      <c r="I148" s="4" t="n"/>
      <c r="M148" s="5">
        <f>IF(A148="","",IF(E148-D148&lt;=0,"",(C148-B148)/(E148-D148)))</f>
        <v/>
      </c>
      <c r="N148" s="6">
        <f>IF(A148="","",IF(C148-B148&lt;=0,"",(G148-F148)/(C148-B148)))</f>
        <v/>
      </c>
      <c r="O148" s="7">
        <f>IF(A148="","",IF(C148&lt;=B148,"Budget not raised - no read",IF(G148&lt;F148,"Ceiling: profit falling as budget rises - stop pushing; add creatives, improve product or open a market",IF(AND(H148&gt;0,I148&lt;H148),"Watch: conversion slipping - refresh creatives before more budget",IF(J148=0,"Watch: no new creatives - freshness will decay","Keep scaling in steps")))))</f>
        <v/>
      </c>
    </row>
    <row r="149">
      <c r="B149" s="3" t="n"/>
      <c r="C149" s="3" t="n"/>
      <c r="F149" s="3" t="n"/>
      <c r="G149" s="3" t="n"/>
      <c r="H149" s="4" t="n"/>
      <c r="I149" s="4" t="n"/>
      <c r="M149" s="5">
        <f>IF(A149="","",IF(E149-D149&lt;=0,"",(C149-B149)/(E149-D149)))</f>
        <v/>
      </c>
      <c r="N149" s="6">
        <f>IF(A149="","",IF(C149-B149&lt;=0,"",(G149-F149)/(C149-B149)))</f>
        <v/>
      </c>
      <c r="O149" s="7">
        <f>IF(A149="","",IF(C149&lt;=B149,"Budget not raised - no read",IF(G149&lt;F149,"Ceiling: profit falling as budget rises - stop pushing; add creatives, improve product or open a market",IF(AND(H149&gt;0,I149&lt;H149),"Watch: conversion slipping - refresh creatives before more budget",IF(J149=0,"Watch: no new creatives - freshness will decay","Keep scaling in steps")))))</f>
        <v/>
      </c>
    </row>
    <row r="150">
      <c r="B150" s="3" t="n"/>
      <c r="C150" s="3" t="n"/>
      <c r="F150" s="3" t="n"/>
      <c r="G150" s="3" t="n"/>
      <c r="H150" s="4" t="n"/>
      <c r="I150" s="4" t="n"/>
      <c r="M150" s="5">
        <f>IF(A150="","",IF(E150-D150&lt;=0,"",(C150-B150)/(E150-D150)))</f>
        <v/>
      </c>
      <c r="N150" s="6">
        <f>IF(A150="","",IF(C150-B150&lt;=0,"",(G150-F150)/(C150-B150)))</f>
        <v/>
      </c>
      <c r="O150" s="7">
        <f>IF(A150="","",IF(C150&lt;=B150,"Budget not raised - no read",IF(G150&lt;F150,"Ceiling: profit falling as budget rises - stop pushing; add creatives, improve product or open a market",IF(AND(H150&gt;0,I150&lt;H150),"Watch: conversion slipping - refresh creatives before more budget",IF(J150=0,"Watch: no new creatives - freshness will decay","Keep scaling in steps")))))</f>
        <v/>
      </c>
    </row>
    <row r="151">
      <c r="B151" s="3" t="n"/>
      <c r="C151" s="3" t="n"/>
      <c r="F151" s="3" t="n"/>
      <c r="G151" s="3" t="n"/>
      <c r="H151" s="4" t="n"/>
      <c r="I151" s="4" t="n"/>
      <c r="M151" s="5">
        <f>IF(A151="","",IF(E151-D151&lt;=0,"",(C151-B151)/(E151-D151)))</f>
        <v/>
      </c>
      <c r="N151" s="6">
        <f>IF(A151="","",IF(C151-B151&lt;=0,"",(G151-F151)/(C151-B151)))</f>
        <v/>
      </c>
      <c r="O151" s="7">
        <f>IF(A151="","",IF(C151&lt;=B151,"Budget not raised - no read",IF(G151&lt;F151,"Ceiling: profit falling as budget rises - stop pushing; add creatives, improve product or open a market",IF(AND(H151&gt;0,I151&lt;H151),"Watch: conversion slipping - refresh creatives before more budget",IF(J151=0,"Watch: no new creatives - freshness will decay","Keep scaling in steps")))))</f>
        <v/>
      </c>
    </row>
    <row r="152">
      <c r="B152" s="3" t="n"/>
      <c r="C152" s="3" t="n"/>
      <c r="F152" s="3" t="n"/>
      <c r="G152" s="3" t="n"/>
      <c r="H152" s="4" t="n"/>
      <c r="I152" s="4" t="n"/>
      <c r="M152" s="5">
        <f>IF(A152="","",IF(E152-D152&lt;=0,"",(C152-B152)/(E152-D152)))</f>
        <v/>
      </c>
      <c r="N152" s="6">
        <f>IF(A152="","",IF(C152-B152&lt;=0,"",(G152-F152)/(C152-B152)))</f>
        <v/>
      </c>
      <c r="O152" s="7">
        <f>IF(A152="","",IF(C152&lt;=B152,"Budget not raised - no read",IF(G152&lt;F152,"Ceiling: profit falling as budget rises - stop pushing; add creatives, improve product or open a market",IF(AND(H152&gt;0,I152&lt;H152),"Watch: conversion slipping - refresh creatives before more budget",IF(J152=0,"Watch: no new creatives - freshness will decay","Keep scaling in steps")))))</f>
        <v/>
      </c>
    </row>
    <row r="153">
      <c r="B153" s="3" t="n"/>
      <c r="C153" s="3" t="n"/>
      <c r="F153" s="3" t="n"/>
      <c r="G153" s="3" t="n"/>
      <c r="H153" s="4" t="n"/>
      <c r="I153" s="4" t="n"/>
      <c r="M153" s="5">
        <f>IF(A153="","",IF(E153-D153&lt;=0,"",(C153-B153)/(E153-D153)))</f>
        <v/>
      </c>
      <c r="N153" s="6">
        <f>IF(A153="","",IF(C153-B153&lt;=0,"",(G153-F153)/(C153-B153)))</f>
        <v/>
      </c>
      <c r="O153" s="7">
        <f>IF(A153="","",IF(C153&lt;=B153,"Budget not raised - no read",IF(G153&lt;F153,"Ceiling: profit falling as budget rises - stop pushing; add creatives, improve product or open a market",IF(AND(H153&gt;0,I153&lt;H153),"Watch: conversion slipping - refresh creatives before more budget",IF(J153=0,"Watch: no new creatives - freshness will decay","Keep scaling in steps")))))</f>
        <v/>
      </c>
    </row>
    <row r="154">
      <c r="B154" s="3" t="n"/>
      <c r="C154" s="3" t="n"/>
      <c r="F154" s="3" t="n"/>
      <c r="G154" s="3" t="n"/>
      <c r="H154" s="4" t="n"/>
      <c r="I154" s="4" t="n"/>
      <c r="M154" s="5">
        <f>IF(A154="","",IF(E154-D154&lt;=0,"",(C154-B154)/(E154-D154)))</f>
        <v/>
      </c>
      <c r="N154" s="6">
        <f>IF(A154="","",IF(C154-B154&lt;=0,"",(G154-F154)/(C154-B154)))</f>
        <v/>
      </c>
      <c r="O154" s="7">
        <f>IF(A154="","",IF(C154&lt;=B154,"Budget not raised - no read",IF(G154&lt;F154,"Ceiling: profit falling as budget rises - stop pushing; add creatives, improve product or open a market",IF(AND(H154&gt;0,I154&lt;H154),"Watch: conversion slipping - refresh creatives before more budget",IF(J154=0,"Watch: no new creatives - freshness will decay","Keep scaling in steps")))))</f>
        <v/>
      </c>
    </row>
    <row r="155">
      <c r="B155" s="3" t="n"/>
      <c r="C155" s="3" t="n"/>
      <c r="F155" s="3" t="n"/>
      <c r="G155" s="3" t="n"/>
      <c r="H155" s="4" t="n"/>
      <c r="I155" s="4" t="n"/>
      <c r="M155" s="5">
        <f>IF(A155="","",IF(E155-D155&lt;=0,"",(C155-B155)/(E155-D155)))</f>
        <v/>
      </c>
      <c r="N155" s="6">
        <f>IF(A155="","",IF(C155-B155&lt;=0,"",(G155-F155)/(C155-B155)))</f>
        <v/>
      </c>
      <c r="O155" s="7">
        <f>IF(A155="","",IF(C155&lt;=B155,"Budget not raised - no read",IF(G155&lt;F155,"Ceiling: profit falling as budget rises - stop pushing; add creatives, improve product or open a market",IF(AND(H155&gt;0,I155&lt;H155),"Watch: conversion slipping - refresh creatives before more budget",IF(J155=0,"Watch: no new creatives - freshness will decay","Keep scaling in steps")))))</f>
        <v/>
      </c>
    </row>
    <row r="156">
      <c r="B156" s="3" t="n"/>
      <c r="C156" s="3" t="n"/>
      <c r="F156" s="3" t="n"/>
      <c r="G156" s="3" t="n"/>
      <c r="H156" s="4" t="n"/>
      <c r="I156" s="4" t="n"/>
      <c r="M156" s="5">
        <f>IF(A156="","",IF(E156-D156&lt;=0,"",(C156-B156)/(E156-D156)))</f>
        <v/>
      </c>
      <c r="N156" s="6">
        <f>IF(A156="","",IF(C156-B156&lt;=0,"",(G156-F156)/(C156-B156)))</f>
        <v/>
      </c>
      <c r="O156" s="7">
        <f>IF(A156="","",IF(C156&lt;=B156,"Budget not raised - no read",IF(G156&lt;F156,"Ceiling: profit falling as budget rises - stop pushing; add creatives, improve product or open a market",IF(AND(H156&gt;0,I156&lt;H156),"Watch: conversion slipping - refresh creatives before more budget",IF(J156=0,"Watch: no new creatives - freshness will decay","Keep scaling in steps")))))</f>
        <v/>
      </c>
    </row>
    <row r="157">
      <c r="B157" s="3" t="n"/>
      <c r="C157" s="3" t="n"/>
      <c r="F157" s="3" t="n"/>
      <c r="G157" s="3" t="n"/>
      <c r="H157" s="4" t="n"/>
      <c r="I157" s="4" t="n"/>
      <c r="M157" s="5">
        <f>IF(A157="","",IF(E157-D157&lt;=0,"",(C157-B157)/(E157-D157)))</f>
        <v/>
      </c>
      <c r="N157" s="6">
        <f>IF(A157="","",IF(C157-B157&lt;=0,"",(G157-F157)/(C157-B157)))</f>
        <v/>
      </c>
      <c r="O157" s="7">
        <f>IF(A157="","",IF(C157&lt;=B157,"Budget not raised - no read",IF(G157&lt;F157,"Ceiling: profit falling as budget rises - stop pushing; add creatives, improve product or open a market",IF(AND(H157&gt;0,I157&lt;H157),"Watch: conversion slipping - refresh creatives before more budget",IF(J157=0,"Watch: no new creatives - freshness will decay","Keep scaling in steps")))))</f>
        <v/>
      </c>
    </row>
    <row r="158">
      <c r="B158" s="3" t="n"/>
      <c r="C158" s="3" t="n"/>
      <c r="F158" s="3" t="n"/>
      <c r="G158" s="3" t="n"/>
      <c r="H158" s="4" t="n"/>
      <c r="I158" s="4" t="n"/>
      <c r="M158" s="5">
        <f>IF(A158="","",IF(E158-D158&lt;=0,"",(C158-B158)/(E158-D158)))</f>
        <v/>
      </c>
      <c r="N158" s="6">
        <f>IF(A158="","",IF(C158-B158&lt;=0,"",(G158-F158)/(C158-B158)))</f>
        <v/>
      </c>
      <c r="O158" s="7">
        <f>IF(A158="","",IF(C158&lt;=B158,"Budget not raised - no read",IF(G158&lt;F158,"Ceiling: profit falling as budget rises - stop pushing; add creatives, improve product or open a market",IF(AND(H158&gt;0,I158&lt;H158),"Watch: conversion slipping - refresh creatives before more budget",IF(J158=0,"Watch: no new creatives - freshness will decay","Keep scaling in steps")))))</f>
        <v/>
      </c>
    </row>
    <row r="159">
      <c r="B159" s="3" t="n"/>
      <c r="C159" s="3" t="n"/>
      <c r="F159" s="3" t="n"/>
      <c r="G159" s="3" t="n"/>
      <c r="H159" s="4" t="n"/>
      <c r="I159" s="4" t="n"/>
      <c r="M159" s="5">
        <f>IF(A159="","",IF(E159-D159&lt;=0,"",(C159-B159)/(E159-D159)))</f>
        <v/>
      </c>
      <c r="N159" s="6">
        <f>IF(A159="","",IF(C159-B159&lt;=0,"",(G159-F159)/(C159-B159)))</f>
        <v/>
      </c>
      <c r="O159" s="7">
        <f>IF(A159="","",IF(C159&lt;=B159,"Budget not raised - no read",IF(G159&lt;F159,"Ceiling: profit falling as budget rises - stop pushing; add creatives, improve product or open a market",IF(AND(H159&gt;0,I159&lt;H159),"Watch: conversion slipping - refresh creatives before more budget",IF(J159=0,"Watch: no new creatives - freshness will decay","Keep scaling in steps")))))</f>
        <v/>
      </c>
    </row>
    <row r="160">
      <c r="B160" s="3" t="n"/>
      <c r="C160" s="3" t="n"/>
      <c r="F160" s="3" t="n"/>
      <c r="G160" s="3" t="n"/>
      <c r="H160" s="4" t="n"/>
      <c r="I160" s="4" t="n"/>
      <c r="M160" s="5">
        <f>IF(A160="","",IF(E160-D160&lt;=0,"",(C160-B160)/(E160-D160)))</f>
        <v/>
      </c>
      <c r="N160" s="6">
        <f>IF(A160="","",IF(C160-B160&lt;=0,"",(G160-F160)/(C160-B160)))</f>
        <v/>
      </c>
      <c r="O160" s="7">
        <f>IF(A160="","",IF(C160&lt;=B160,"Budget not raised - no read",IF(G160&lt;F160,"Ceiling: profit falling as budget rises - stop pushing; add creatives, improve product or open a market",IF(AND(H160&gt;0,I160&lt;H160),"Watch: conversion slipping - refresh creatives before more budget",IF(J160=0,"Watch: no new creatives - freshness will decay","Keep scaling in steps")))))</f>
        <v/>
      </c>
    </row>
    <row r="161">
      <c r="B161" s="3" t="n"/>
      <c r="C161" s="3" t="n"/>
      <c r="F161" s="3" t="n"/>
      <c r="G161" s="3" t="n"/>
      <c r="H161" s="4" t="n"/>
      <c r="I161" s="4" t="n"/>
      <c r="M161" s="5">
        <f>IF(A161="","",IF(E161-D161&lt;=0,"",(C161-B161)/(E161-D161)))</f>
        <v/>
      </c>
      <c r="N161" s="6">
        <f>IF(A161="","",IF(C161-B161&lt;=0,"",(G161-F161)/(C161-B161)))</f>
        <v/>
      </c>
      <c r="O161" s="7">
        <f>IF(A161="","",IF(C161&lt;=B161,"Budget not raised - no read",IF(G161&lt;F161,"Ceiling: profit falling as budget rises - stop pushing; add creatives, improve product or open a market",IF(AND(H161&gt;0,I161&lt;H161),"Watch: conversion slipping - refresh creatives before more budget",IF(J161=0,"Watch: no new creatives - freshness will decay","Keep scaling in steps")))))</f>
        <v/>
      </c>
    </row>
    <row r="162">
      <c r="B162" s="3" t="n"/>
      <c r="C162" s="3" t="n"/>
      <c r="F162" s="3" t="n"/>
      <c r="G162" s="3" t="n"/>
      <c r="H162" s="4" t="n"/>
      <c r="I162" s="4" t="n"/>
      <c r="M162" s="5">
        <f>IF(A162="","",IF(E162-D162&lt;=0,"",(C162-B162)/(E162-D162)))</f>
        <v/>
      </c>
      <c r="N162" s="6">
        <f>IF(A162="","",IF(C162-B162&lt;=0,"",(G162-F162)/(C162-B162)))</f>
        <v/>
      </c>
      <c r="O162" s="7">
        <f>IF(A162="","",IF(C162&lt;=B162,"Budget not raised - no read",IF(G162&lt;F162,"Ceiling: profit falling as budget rises - stop pushing; add creatives, improve product or open a market",IF(AND(H162&gt;0,I162&lt;H162),"Watch: conversion slipping - refresh creatives before more budget",IF(J162=0,"Watch: no new creatives - freshness will decay","Keep scaling in steps")))))</f>
        <v/>
      </c>
    </row>
    <row r="163">
      <c r="B163" s="3" t="n"/>
      <c r="C163" s="3" t="n"/>
      <c r="F163" s="3" t="n"/>
      <c r="G163" s="3" t="n"/>
      <c r="H163" s="4" t="n"/>
      <c r="I163" s="4" t="n"/>
      <c r="M163" s="5">
        <f>IF(A163="","",IF(E163-D163&lt;=0,"",(C163-B163)/(E163-D163)))</f>
        <v/>
      </c>
      <c r="N163" s="6">
        <f>IF(A163="","",IF(C163-B163&lt;=0,"",(G163-F163)/(C163-B163)))</f>
        <v/>
      </c>
      <c r="O163" s="7">
        <f>IF(A163="","",IF(C163&lt;=B163,"Budget not raised - no read",IF(G163&lt;F163,"Ceiling: profit falling as budget rises - stop pushing; add creatives, improve product or open a market",IF(AND(H163&gt;0,I163&lt;H163),"Watch: conversion slipping - refresh creatives before more budget",IF(J163=0,"Watch: no new creatives - freshness will decay","Keep scaling in steps")))))</f>
        <v/>
      </c>
    </row>
    <row r="164">
      <c r="B164" s="3" t="n"/>
      <c r="C164" s="3" t="n"/>
      <c r="F164" s="3" t="n"/>
      <c r="G164" s="3" t="n"/>
      <c r="H164" s="4" t="n"/>
      <c r="I164" s="4" t="n"/>
      <c r="M164" s="5">
        <f>IF(A164="","",IF(E164-D164&lt;=0,"",(C164-B164)/(E164-D164)))</f>
        <v/>
      </c>
      <c r="N164" s="6">
        <f>IF(A164="","",IF(C164-B164&lt;=0,"",(G164-F164)/(C164-B164)))</f>
        <v/>
      </c>
      <c r="O164" s="7">
        <f>IF(A164="","",IF(C164&lt;=B164,"Budget not raised - no read",IF(G164&lt;F164,"Ceiling: profit falling as budget rises - stop pushing; add creatives, improve product or open a market",IF(AND(H164&gt;0,I164&lt;H164),"Watch: conversion slipping - refresh creatives before more budget",IF(J164=0,"Watch: no new creatives - freshness will decay","Keep scaling in steps")))))</f>
        <v/>
      </c>
    </row>
    <row r="165">
      <c r="B165" s="3" t="n"/>
      <c r="C165" s="3" t="n"/>
      <c r="F165" s="3" t="n"/>
      <c r="G165" s="3" t="n"/>
      <c r="H165" s="4" t="n"/>
      <c r="I165" s="4" t="n"/>
      <c r="M165" s="5">
        <f>IF(A165="","",IF(E165-D165&lt;=0,"",(C165-B165)/(E165-D165)))</f>
        <v/>
      </c>
      <c r="N165" s="6">
        <f>IF(A165="","",IF(C165-B165&lt;=0,"",(G165-F165)/(C165-B165)))</f>
        <v/>
      </c>
      <c r="O165" s="7">
        <f>IF(A165="","",IF(C165&lt;=B165,"Budget not raised - no read",IF(G165&lt;F165,"Ceiling: profit falling as budget rises - stop pushing; add creatives, improve product or open a market",IF(AND(H165&gt;0,I165&lt;H165),"Watch: conversion slipping - refresh creatives before more budget",IF(J165=0,"Watch: no new creatives - freshness will decay","Keep scaling in steps")))))</f>
        <v/>
      </c>
    </row>
    <row r="166">
      <c r="B166" s="3" t="n"/>
      <c r="C166" s="3" t="n"/>
      <c r="F166" s="3" t="n"/>
      <c r="G166" s="3" t="n"/>
      <c r="H166" s="4" t="n"/>
      <c r="I166" s="4" t="n"/>
      <c r="M166" s="5">
        <f>IF(A166="","",IF(E166-D166&lt;=0,"",(C166-B166)/(E166-D166)))</f>
        <v/>
      </c>
      <c r="N166" s="6">
        <f>IF(A166="","",IF(C166-B166&lt;=0,"",(G166-F166)/(C166-B166)))</f>
        <v/>
      </c>
      <c r="O166" s="7">
        <f>IF(A166="","",IF(C166&lt;=B166,"Budget not raised - no read",IF(G166&lt;F166,"Ceiling: profit falling as budget rises - stop pushing; add creatives, improve product or open a market",IF(AND(H166&gt;0,I166&lt;H166),"Watch: conversion slipping - refresh creatives before more budget",IF(J166=0,"Watch: no new creatives - freshness will decay","Keep scaling in steps")))))</f>
        <v/>
      </c>
    </row>
    <row r="167">
      <c r="B167" s="3" t="n"/>
      <c r="C167" s="3" t="n"/>
      <c r="F167" s="3" t="n"/>
      <c r="G167" s="3" t="n"/>
      <c r="H167" s="4" t="n"/>
      <c r="I167" s="4" t="n"/>
      <c r="M167" s="5">
        <f>IF(A167="","",IF(E167-D167&lt;=0,"",(C167-B167)/(E167-D167)))</f>
        <v/>
      </c>
      <c r="N167" s="6">
        <f>IF(A167="","",IF(C167-B167&lt;=0,"",(G167-F167)/(C167-B167)))</f>
        <v/>
      </c>
      <c r="O167" s="7">
        <f>IF(A167="","",IF(C167&lt;=B167,"Budget not raised - no read",IF(G167&lt;F167,"Ceiling: profit falling as budget rises - stop pushing; add creatives, improve product or open a market",IF(AND(H167&gt;0,I167&lt;H167),"Watch: conversion slipping - refresh creatives before more budget",IF(J167=0,"Watch: no new creatives - freshness will decay","Keep scaling in steps")))))</f>
        <v/>
      </c>
    </row>
    <row r="168">
      <c r="B168" s="3" t="n"/>
      <c r="C168" s="3" t="n"/>
      <c r="F168" s="3" t="n"/>
      <c r="G168" s="3" t="n"/>
      <c r="H168" s="4" t="n"/>
      <c r="I168" s="4" t="n"/>
      <c r="M168" s="5">
        <f>IF(A168="","",IF(E168-D168&lt;=0,"",(C168-B168)/(E168-D168)))</f>
        <v/>
      </c>
      <c r="N168" s="6">
        <f>IF(A168="","",IF(C168-B168&lt;=0,"",(G168-F168)/(C168-B168)))</f>
        <v/>
      </c>
      <c r="O168" s="7">
        <f>IF(A168="","",IF(C168&lt;=B168,"Budget not raised - no read",IF(G168&lt;F168,"Ceiling: profit falling as budget rises - stop pushing; add creatives, improve product or open a market",IF(AND(H168&gt;0,I168&lt;H168),"Watch: conversion slipping - refresh creatives before more budget",IF(J168=0,"Watch: no new creatives - freshness will decay","Keep scaling in steps")))))</f>
        <v/>
      </c>
    </row>
    <row r="169">
      <c r="B169" s="3" t="n"/>
      <c r="C169" s="3" t="n"/>
      <c r="F169" s="3" t="n"/>
      <c r="G169" s="3" t="n"/>
      <c r="H169" s="4" t="n"/>
      <c r="I169" s="4" t="n"/>
      <c r="M169" s="5">
        <f>IF(A169="","",IF(E169-D169&lt;=0,"",(C169-B169)/(E169-D169)))</f>
        <v/>
      </c>
      <c r="N169" s="6">
        <f>IF(A169="","",IF(C169-B169&lt;=0,"",(G169-F169)/(C169-B169)))</f>
        <v/>
      </c>
      <c r="O169" s="7">
        <f>IF(A169="","",IF(C169&lt;=B169,"Budget not raised - no read",IF(G169&lt;F169,"Ceiling: profit falling as budget rises - stop pushing; add creatives, improve product or open a market",IF(AND(H169&gt;0,I169&lt;H169),"Watch: conversion slipping - refresh creatives before more budget",IF(J169=0,"Watch: no new creatives - freshness will decay","Keep scaling in steps")))))</f>
        <v/>
      </c>
    </row>
    <row r="170">
      <c r="B170" s="3" t="n"/>
      <c r="C170" s="3" t="n"/>
      <c r="F170" s="3" t="n"/>
      <c r="G170" s="3" t="n"/>
      <c r="H170" s="4" t="n"/>
      <c r="I170" s="4" t="n"/>
      <c r="M170" s="5">
        <f>IF(A170="","",IF(E170-D170&lt;=0,"",(C170-B170)/(E170-D170)))</f>
        <v/>
      </c>
      <c r="N170" s="6">
        <f>IF(A170="","",IF(C170-B170&lt;=0,"",(G170-F170)/(C170-B170)))</f>
        <v/>
      </c>
      <c r="O170" s="7">
        <f>IF(A170="","",IF(C170&lt;=B170,"Budget not raised - no read",IF(G170&lt;F170,"Ceiling: profit falling as budget rises - stop pushing; add creatives, improve product or open a market",IF(AND(H170&gt;0,I170&lt;H170),"Watch: conversion slipping - refresh creatives before more budget",IF(J170=0,"Watch: no new creatives - freshness will decay","Keep scaling in steps")))))</f>
        <v/>
      </c>
    </row>
    <row r="171">
      <c r="B171" s="3" t="n"/>
      <c r="C171" s="3" t="n"/>
      <c r="F171" s="3" t="n"/>
      <c r="G171" s="3" t="n"/>
      <c r="H171" s="4" t="n"/>
      <c r="I171" s="4" t="n"/>
      <c r="M171" s="5">
        <f>IF(A171="","",IF(E171-D171&lt;=0,"",(C171-B171)/(E171-D171)))</f>
        <v/>
      </c>
      <c r="N171" s="6">
        <f>IF(A171="","",IF(C171-B171&lt;=0,"",(G171-F171)/(C171-B171)))</f>
        <v/>
      </c>
      <c r="O171" s="7">
        <f>IF(A171="","",IF(C171&lt;=B171,"Budget not raised - no read",IF(G171&lt;F171,"Ceiling: profit falling as budget rises - stop pushing; add creatives, improve product or open a market",IF(AND(H171&gt;0,I171&lt;H171),"Watch: conversion slipping - refresh creatives before more budget",IF(J171=0,"Watch: no new creatives - freshness will decay","Keep scaling in steps")))))</f>
        <v/>
      </c>
    </row>
    <row r="172">
      <c r="B172" s="3" t="n"/>
      <c r="C172" s="3" t="n"/>
      <c r="F172" s="3" t="n"/>
      <c r="G172" s="3" t="n"/>
      <c r="H172" s="4" t="n"/>
      <c r="I172" s="4" t="n"/>
      <c r="M172" s="5">
        <f>IF(A172="","",IF(E172-D172&lt;=0,"",(C172-B172)/(E172-D172)))</f>
        <v/>
      </c>
      <c r="N172" s="6">
        <f>IF(A172="","",IF(C172-B172&lt;=0,"",(G172-F172)/(C172-B172)))</f>
        <v/>
      </c>
      <c r="O172" s="7">
        <f>IF(A172="","",IF(C172&lt;=B172,"Budget not raised - no read",IF(G172&lt;F172,"Ceiling: profit falling as budget rises - stop pushing; add creatives, improve product or open a market",IF(AND(H172&gt;0,I172&lt;H172),"Watch: conversion slipping - refresh creatives before more budget",IF(J172=0,"Watch: no new creatives - freshness will decay","Keep scaling in steps")))))</f>
        <v/>
      </c>
    </row>
    <row r="173">
      <c r="B173" s="3" t="n"/>
      <c r="C173" s="3" t="n"/>
      <c r="F173" s="3" t="n"/>
      <c r="G173" s="3" t="n"/>
      <c r="H173" s="4" t="n"/>
      <c r="I173" s="4" t="n"/>
      <c r="M173" s="5">
        <f>IF(A173="","",IF(E173-D173&lt;=0,"",(C173-B173)/(E173-D173)))</f>
        <v/>
      </c>
      <c r="N173" s="6">
        <f>IF(A173="","",IF(C173-B173&lt;=0,"",(G173-F173)/(C173-B173)))</f>
        <v/>
      </c>
      <c r="O173" s="7">
        <f>IF(A173="","",IF(C173&lt;=B173,"Budget not raised - no read",IF(G173&lt;F173,"Ceiling: profit falling as budget rises - stop pushing; add creatives, improve product or open a market",IF(AND(H173&gt;0,I173&lt;H173),"Watch: conversion slipping - refresh creatives before more budget",IF(J173=0,"Watch: no new creatives - freshness will decay","Keep scaling in steps")))))</f>
        <v/>
      </c>
    </row>
    <row r="174">
      <c r="B174" s="3" t="n"/>
      <c r="C174" s="3" t="n"/>
      <c r="F174" s="3" t="n"/>
      <c r="G174" s="3" t="n"/>
      <c r="H174" s="4" t="n"/>
      <c r="I174" s="4" t="n"/>
      <c r="M174" s="5">
        <f>IF(A174="","",IF(E174-D174&lt;=0,"",(C174-B174)/(E174-D174)))</f>
        <v/>
      </c>
      <c r="N174" s="6">
        <f>IF(A174="","",IF(C174-B174&lt;=0,"",(G174-F174)/(C174-B174)))</f>
        <v/>
      </c>
      <c r="O174" s="7">
        <f>IF(A174="","",IF(C174&lt;=B174,"Budget not raised - no read",IF(G174&lt;F174,"Ceiling: profit falling as budget rises - stop pushing; add creatives, improve product or open a market",IF(AND(H174&gt;0,I174&lt;H174),"Watch: conversion slipping - refresh creatives before more budget",IF(J174=0,"Watch: no new creatives - freshness will decay","Keep scaling in steps")))))</f>
        <v/>
      </c>
    </row>
    <row r="175">
      <c r="B175" s="3" t="n"/>
      <c r="C175" s="3" t="n"/>
      <c r="F175" s="3" t="n"/>
      <c r="G175" s="3" t="n"/>
      <c r="H175" s="4" t="n"/>
      <c r="I175" s="4" t="n"/>
      <c r="M175" s="5">
        <f>IF(A175="","",IF(E175-D175&lt;=0,"",(C175-B175)/(E175-D175)))</f>
        <v/>
      </c>
      <c r="N175" s="6">
        <f>IF(A175="","",IF(C175-B175&lt;=0,"",(G175-F175)/(C175-B175)))</f>
        <v/>
      </c>
      <c r="O175" s="7">
        <f>IF(A175="","",IF(C175&lt;=B175,"Budget not raised - no read",IF(G175&lt;F175,"Ceiling: profit falling as budget rises - stop pushing; add creatives, improve product or open a market",IF(AND(H175&gt;0,I175&lt;H175),"Watch: conversion slipping - refresh creatives before more budget",IF(J175=0,"Watch: no new creatives - freshness will decay","Keep scaling in steps")))))</f>
        <v/>
      </c>
    </row>
    <row r="176">
      <c r="B176" s="3" t="n"/>
      <c r="C176" s="3" t="n"/>
      <c r="F176" s="3" t="n"/>
      <c r="G176" s="3" t="n"/>
      <c r="H176" s="4" t="n"/>
      <c r="I176" s="4" t="n"/>
      <c r="M176" s="5">
        <f>IF(A176="","",IF(E176-D176&lt;=0,"",(C176-B176)/(E176-D176)))</f>
        <v/>
      </c>
      <c r="N176" s="6">
        <f>IF(A176="","",IF(C176-B176&lt;=0,"",(G176-F176)/(C176-B176)))</f>
        <v/>
      </c>
      <c r="O176" s="7">
        <f>IF(A176="","",IF(C176&lt;=B176,"Budget not raised - no read",IF(G176&lt;F176,"Ceiling: profit falling as budget rises - stop pushing; add creatives, improve product or open a market",IF(AND(H176&gt;0,I176&lt;H176),"Watch: conversion slipping - refresh creatives before more budget",IF(J176=0,"Watch: no new creatives - freshness will decay","Keep scaling in steps")))))</f>
        <v/>
      </c>
    </row>
    <row r="177">
      <c r="B177" s="3" t="n"/>
      <c r="C177" s="3" t="n"/>
      <c r="F177" s="3" t="n"/>
      <c r="G177" s="3" t="n"/>
      <c r="H177" s="4" t="n"/>
      <c r="I177" s="4" t="n"/>
      <c r="M177" s="5">
        <f>IF(A177="","",IF(E177-D177&lt;=0,"",(C177-B177)/(E177-D177)))</f>
        <v/>
      </c>
      <c r="N177" s="6">
        <f>IF(A177="","",IF(C177-B177&lt;=0,"",(G177-F177)/(C177-B177)))</f>
        <v/>
      </c>
      <c r="O177" s="7">
        <f>IF(A177="","",IF(C177&lt;=B177,"Budget not raised - no read",IF(G177&lt;F177,"Ceiling: profit falling as budget rises - stop pushing; add creatives, improve product or open a market",IF(AND(H177&gt;0,I177&lt;H177),"Watch: conversion slipping - refresh creatives before more budget",IF(J177=0,"Watch: no new creatives - freshness will decay","Keep scaling in steps")))))</f>
        <v/>
      </c>
    </row>
    <row r="178">
      <c r="B178" s="3" t="n"/>
      <c r="C178" s="3" t="n"/>
      <c r="F178" s="3" t="n"/>
      <c r="G178" s="3" t="n"/>
      <c r="H178" s="4" t="n"/>
      <c r="I178" s="4" t="n"/>
      <c r="M178" s="5">
        <f>IF(A178="","",IF(E178-D178&lt;=0,"",(C178-B178)/(E178-D178)))</f>
        <v/>
      </c>
      <c r="N178" s="6">
        <f>IF(A178="","",IF(C178-B178&lt;=0,"",(G178-F178)/(C178-B178)))</f>
        <v/>
      </c>
      <c r="O178" s="7">
        <f>IF(A178="","",IF(C178&lt;=B178,"Budget not raised - no read",IF(G178&lt;F178,"Ceiling: profit falling as budget rises - stop pushing; add creatives, improve product or open a market",IF(AND(H178&gt;0,I178&lt;H178),"Watch: conversion slipping - refresh creatives before more budget",IF(J178=0,"Watch: no new creatives - freshness will decay","Keep scaling in steps")))))</f>
        <v/>
      </c>
    </row>
    <row r="179">
      <c r="B179" s="3" t="n"/>
      <c r="C179" s="3" t="n"/>
      <c r="F179" s="3" t="n"/>
      <c r="G179" s="3" t="n"/>
      <c r="H179" s="4" t="n"/>
      <c r="I179" s="4" t="n"/>
      <c r="M179" s="5">
        <f>IF(A179="","",IF(E179-D179&lt;=0,"",(C179-B179)/(E179-D179)))</f>
        <v/>
      </c>
      <c r="N179" s="6">
        <f>IF(A179="","",IF(C179-B179&lt;=0,"",(G179-F179)/(C179-B179)))</f>
        <v/>
      </c>
      <c r="O179" s="7">
        <f>IF(A179="","",IF(C179&lt;=B179,"Budget not raised - no read",IF(G179&lt;F179,"Ceiling: profit falling as budget rises - stop pushing; add creatives, improve product or open a market",IF(AND(H179&gt;0,I179&lt;H179),"Watch: conversion slipping - refresh creatives before more budget",IF(J179=0,"Watch: no new creatives - freshness will decay","Keep scaling in steps")))))</f>
        <v/>
      </c>
    </row>
    <row r="180">
      <c r="B180" s="3" t="n"/>
      <c r="C180" s="3" t="n"/>
      <c r="F180" s="3" t="n"/>
      <c r="G180" s="3" t="n"/>
      <c r="H180" s="4" t="n"/>
      <c r="I180" s="4" t="n"/>
      <c r="M180" s="5">
        <f>IF(A180="","",IF(E180-D180&lt;=0,"",(C180-B180)/(E180-D180)))</f>
        <v/>
      </c>
      <c r="N180" s="6">
        <f>IF(A180="","",IF(C180-B180&lt;=0,"",(G180-F180)/(C180-B180)))</f>
        <v/>
      </c>
      <c r="O180" s="7">
        <f>IF(A180="","",IF(C180&lt;=B180,"Budget not raised - no read",IF(G180&lt;F180,"Ceiling: profit falling as budget rises - stop pushing; add creatives, improve product or open a market",IF(AND(H180&gt;0,I180&lt;H180),"Watch: conversion slipping - refresh creatives before more budget",IF(J180=0,"Watch: no new creatives - freshness will decay","Keep scaling in steps")))))</f>
        <v/>
      </c>
    </row>
    <row r="181">
      <c r="B181" s="3" t="n"/>
      <c r="C181" s="3" t="n"/>
      <c r="F181" s="3" t="n"/>
      <c r="G181" s="3" t="n"/>
      <c r="H181" s="4" t="n"/>
      <c r="I181" s="4" t="n"/>
      <c r="M181" s="5">
        <f>IF(A181="","",IF(E181-D181&lt;=0,"",(C181-B181)/(E181-D181)))</f>
        <v/>
      </c>
      <c r="N181" s="6">
        <f>IF(A181="","",IF(C181-B181&lt;=0,"",(G181-F181)/(C181-B181)))</f>
        <v/>
      </c>
      <c r="O181" s="7">
        <f>IF(A181="","",IF(C181&lt;=B181,"Budget not raised - no read",IF(G181&lt;F181,"Ceiling: profit falling as budget rises - stop pushing; add creatives, improve product or open a market",IF(AND(H181&gt;0,I181&lt;H181),"Watch: conversion slipping - refresh creatives before more budget",IF(J181=0,"Watch: no new creatives - freshness will decay","Keep scaling in steps")))))</f>
        <v/>
      </c>
    </row>
    <row r="182">
      <c r="B182" s="3" t="n"/>
      <c r="C182" s="3" t="n"/>
      <c r="F182" s="3" t="n"/>
      <c r="G182" s="3" t="n"/>
      <c r="H182" s="4" t="n"/>
      <c r="I182" s="4" t="n"/>
      <c r="M182" s="5">
        <f>IF(A182="","",IF(E182-D182&lt;=0,"",(C182-B182)/(E182-D182)))</f>
        <v/>
      </c>
      <c r="N182" s="6">
        <f>IF(A182="","",IF(C182-B182&lt;=0,"",(G182-F182)/(C182-B182)))</f>
        <v/>
      </c>
      <c r="O182" s="7">
        <f>IF(A182="","",IF(C182&lt;=B182,"Budget not raised - no read",IF(G182&lt;F182,"Ceiling: profit falling as budget rises - stop pushing; add creatives, improve product or open a market",IF(AND(H182&gt;0,I182&lt;H182),"Watch: conversion slipping - refresh creatives before more budget",IF(J182=0,"Watch: no new creatives - freshness will decay","Keep scaling in steps")))))</f>
        <v/>
      </c>
    </row>
    <row r="183">
      <c r="B183" s="3" t="n"/>
      <c r="C183" s="3" t="n"/>
      <c r="F183" s="3" t="n"/>
      <c r="G183" s="3" t="n"/>
      <c r="H183" s="4" t="n"/>
      <c r="I183" s="4" t="n"/>
      <c r="M183" s="5">
        <f>IF(A183="","",IF(E183-D183&lt;=0,"",(C183-B183)/(E183-D183)))</f>
        <v/>
      </c>
      <c r="N183" s="6">
        <f>IF(A183="","",IF(C183-B183&lt;=0,"",(G183-F183)/(C183-B183)))</f>
        <v/>
      </c>
      <c r="O183" s="7">
        <f>IF(A183="","",IF(C183&lt;=B183,"Budget not raised - no read",IF(G183&lt;F183,"Ceiling: profit falling as budget rises - stop pushing; add creatives, improve product or open a market",IF(AND(H183&gt;0,I183&lt;H183),"Watch: conversion slipping - refresh creatives before more budget",IF(J183=0,"Watch: no new creatives - freshness will decay","Keep scaling in steps")))))</f>
        <v/>
      </c>
    </row>
    <row r="184">
      <c r="B184" s="3" t="n"/>
      <c r="C184" s="3" t="n"/>
      <c r="F184" s="3" t="n"/>
      <c r="G184" s="3" t="n"/>
      <c r="H184" s="4" t="n"/>
      <c r="I184" s="4" t="n"/>
      <c r="M184" s="5">
        <f>IF(A184="","",IF(E184-D184&lt;=0,"",(C184-B184)/(E184-D184)))</f>
        <v/>
      </c>
      <c r="N184" s="6">
        <f>IF(A184="","",IF(C184-B184&lt;=0,"",(G184-F184)/(C184-B184)))</f>
        <v/>
      </c>
      <c r="O184" s="7">
        <f>IF(A184="","",IF(C184&lt;=B184,"Budget not raised - no read",IF(G184&lt;F184,"Ceiling: profit falling as budget rises - stop pushing; add creatives, improve product or open a market",IF(AND(H184&gt;0,I184&lt;H184),"Watch: conversion slipping - refresh creatives before more budget",IF(J184=0,"Watch: no new creatives - freshness will decay","Keep scaling in steps")))))</f>
        <v/>
      </c>
    </row>
    <row r="185">
      <c r="B185" s="3" t="n"/>
      <c r="C185" s="3" t="n"/>
      <c r="F185" s="3" t="n"/>
      <c r="G185" s="3" t="n"/>
      <c r="H185" s="4" t="n"/>
      <c r="I185" s="4" t="n"/>
      <c r="M185" s="5">
        <f>IF(A185="","",IF(E185-D185&lt;=0,"",(C185-B185)/(E185-D185)))</f>
        <v/>
      </c>
      <c r="N185" s="6">
        <f>IF(A185="","",IF(C185-B185&lt;=0,"",(G185-F185)/(C185-B185)))</f>
        <v/>
      </c>
      <c r="O185" s="7">
        <f>IF(A185="","",IF(C185&lt;=B185,"Budget not raised - no read",IF(G185&lt;F185,"Ceiling: profit falling as budget rises - stop pushing; add creatives, improve product or open a market",IF(AND(H185&gt;0,I185&lt;H185),"Watch: conversion slipping - refresh creatives before more budget",IF(J185=0,"Watch: no new creatives - freshness will decay","Keep scaling in steps")))))</f>
        <v/>
      </c>
    </row>
    <row r="186">
      <c r="B186" s="3" t="n"/>
      <c r="C186" s="3" t="n"/>
      <c r="F186" s="3" t="n"/>
      <c r="G186" s="3" t="n"/>
      <c r="H186" s="4" t="n"/>
      <c r="I186" s="4" t="n"/>
      <c r="M186" s="5">
        <f>IF(A186="","",IF(E186-D186&lt;=0,"",(C186-B186)/(E186-D186)))</f>
        <v/>
      </c>
      <c r="N186" s="6">
        <f>IF(A186="","",IF(C186-B186&lt;=0,"",(G186-F186)/(C186-B186)))</f>
        <v/>
      </c>
      <c r="O186" s="7">
        <f>IF(A186="","",IF(C186&lt;=B186,"Budget not raised - no read",IF(G186&lt;F186,"Ceiling: profit falling as budget rises - stop pushing; add creatives, improve product or open a market",IF(AND(H186&gt;0,I186&lt;H186),"Watch: conversion slipping - refresh creatives before more budget",IF(J186=0,"Watch: no new creatives - freshness will decay","Keep scaling in steps")))))</f>
        <v/>
      </c>
    </row>
    <row r="187">
      <c r="B187" s="3" t="n"/>
      <c r="C187" s="3" t="n"/>
      <c r="F187" s="3" t="n"/>
      <c r="G187" s="3" t="n"/>
      <c r="H187" s="4" t="n"/>
      <c r="I187" s="4" t="n"/>
      <c r="M187" s="5">
        <f>IF(A187="","",IF(E187-D187&lt;=0,"",(C187-B187)/(E187-D187)))</f>
        <v/>
      </c>
      <c r="N187" s="6">
        <f>IF(A187="","",IF(C187-B187&lt;=0,"",(G187-F187)/(C187-B187)))</f>
        <v/>
      </c>
      <c r="O187" s="7">
        <f>IF(A187="","",IF(C187&lt;=B187,"Budget not raised - no read",IF(G187&lt;F187,"Ceiling: profit falling as budget rises - stop pushing; add creatives, improve product or open a market",IF(AND(H187&gt;0,I187&lt;H187),"Watch: conversion slipping - refresh creatives before more budget",IF(J187=0,"Watch: no new creatives - freshness will decay","Keep scaling in steps")))))</f>
        <v/>
      </c>
    </row>
    <row r="188">
      <c r="B188" s="3" t="n"/>
      <c r="C188" s="3" t="n"/>
      <c r="F188" s="3" t="n"/>
      <c r="G188" s="3" t="n"/>
      <c r="H188" s="4" t="n"/>
      <c r="I188" s="4" t="n"/>
      <c r="M188" s="5">
        <f>IF(A188="","",IF(E188-D188&lt;=0,"",(C188-B188)/(E188-D188)))</f>
        <v/>
      </c>
      <c r="N188" s="6">
        <f>IF(A188="","",IF(C188-B188&lt;=0,"",(G188-F188)/(C188-B188)))</f>
        <v/>
      </c>
      <c r="O188" s="7">
        <f>IF(A188="","",IF(C188&lt;=B188,"Budget not raised - no read",IF(G188&lt;F188,"Ceiling: profit falling as budget rises - stop pushing; add creatives, improve product or open a market",IF(AND(H188&gt;0,I188&lt;H188),"Watch: conversion slipping - refresh creatives before more budget",IF(J188=0,"Watch: no new creatives - freshness will decay","Keep scaling in steps")))))</f>
        <v/>
      </c>
    </row>
    <row r="189">
      <c r="B189" s="3" t="n"/>
      <c r="C189" s="3" t="n"/>
      <c r="F189" s="3" t="n"/>
      <c r="G189" s="3" t="n"/>
      <c r="H189" s="4" t="n"/>
      <c r="I189" s="4" t="n"/>
      <c r="M189" s="5">
        <f>IF(A189="","",IF(E189-D189&lt;=0,"",(C189-B189)/(E189-D189)))</f>
        <v/>
      </c>
      <c r="N189" s="6">
        <f>IF(A189="","",IF(C189-B189&lt;=0,"",(G189-F189)/(C189-B189)))</f>
        <v/>
      </c>
      <c r="O189" s="7">
        <f>IF(A189="","",IF(C189&lt;=B189,"Budget not raised - no read",IF(G189&lt;F189,"Ceiling: profit falling as budget rises - stop pushing; add creatives, improve product or open a market",IF(AND(H189&gt;0,I189&lt;H189),"Watch: conversion slipping - refresh creatives before more budget",IF(J189=0,"Watch: no new creatives - freshness will decay","Keep scaling in steps")))))</f>
        <v/>
      </c>
    </row>
    <row r="190">
      <c r="B190" s="3" t="n"/>
      <c r="C190" s="3" t="n"/>
      <c r="F190" s="3" t="n"/>
      <c r="G190" s="3" t="n"/>
      <c r="H190" s="4" t="n"/>
      <c r="I190" s="4" t="n"/>
      <c r="M190" s="5">
        <f>IF(A190="","",IF(E190-D190&lt;=0,"",(C190-B190)/(E190-D190)))</f>
        <v/>
      </c>
      <c r="N190" s="6">
        <f>IF(A190="","",IF(C190-B190&lt;=0,"",(G190-F190)/(C190-B190)))</f>
        <v/>
      </c>
      <c r="O190" s="7">
        <f>IF(A190="","",IF(C190&lt;=B190,"Budget not raised - no read",IF(G190&lt;F190,"Ceiling: profit falling as budget rises - stop pushing; add creatives, improve product or open a market",IF(AND(H190&gt;0,I190&lt;H190),"Watch: conversion slipping - refresh creatives before more budget",IF(J190=0,"Watch: no new creatives - freshness will decay","Keep scaling in steps")))))</f>
        <v/>
      </c>
    </row>
    <row r="191">
      <c r="B191" s="3" t="n"/>
      <c r="C191" s="3" t="n"/>
      <c r="F191" s="3" t="n"/>
      <c r="G191" s="3" t="n"/>
      <c r="H191" s="4" t="n"/>
      <c r="I191" s="4" t="n"/>
      <c r="M191" s="5">
        <f>IF(A191="","",IF(E191-D191&lt;=0,"",(C191-B191)/(E191-D191)))</f>
        <v/>
      </c>
      <c r="N191" s="6">
        <f>IF(A191="","",IF(C191-B191&lt;=0,"",(G191-F191)/(C191-B191)))</f>
        <v/>
      </c>
      <c r="O191" s="7">
        <f>IF(A191="","",IF(C191&lt;=B191,"Budget not raised - no read",IF(G191&lt;F191,"Ceiling: profit falling as budget rises - stop pushing; add creatives, improve product or open a market",IF(AND(H191&gt;0,I191&lt;H191),"Watch: conversion slipping - refresh creatives before more budget",IF(J191=0,"Watch: no new creatives - freshness will decay","Keep scaling in steps")))))</f>
        <v/>
      </c>
    </row>
    <row r="192">
      <c r="B192" s="3" t="n"/>
      <c r="C192" s="3" t="n"/>
      <c r="F192" s="3" t="n"/>
      <c r="G192" s="3" t="n"/>
      <c r="H192" s="4" t="n"/>
      <c r="I192" s="4" t="n"/>
      <c r="M192" s="5">
        <f>IF(A192="","",IF(E192-D192&lt;=0,"",(C192-B192)/(E192-D192)))</f>
        <v/>
      </c>
      <c r="N192" s="6">
        <f>IF(A192="","",IF(C192-B192&lt;=0,"",(G192-F192)/(C192-B192)))</f>
        <v/>
      </c>
      <c r="O192" s="7">
        <f>IF(A192="","",IF(C192&lt;=B192,"Budget not raised - no read",IF(G192&lt;F192,"Ceiling: profit falling as budget rises - stop pushing; add creatives, improve product or open a market",IF(AND(H192&gt;0,I192&lt;H192),"Watch: conversion slipping - refresh creatives before more budget",IF(J192=0,"Watch: no new creatives - freshness will decay","Keep scaling in steps")))))</f>
        <v/>
      </c>
    </row>
    <row r="193">
      <c r="B193" s="3" t="n"/>
      <c r="C193" s="3" t="n"/>
      <c r="F193" s="3" t="n"/>
      <c r="G193" s="3" t="n"/>
      <c r="H193" s="4" t="n"/>
      <c r="I193" s="4" t="n"/>
      <c r="M193" s="5">
        <f>IF(A193="","",IF(E193-D193&lt;=0,"",(C193-B193)/(E193-D193)))</f>
        <v/>
      </c>
      <c r="N193" s="6">
        <f>IF(A193="","",IF(C193-B193&lt;=0,"",(G193-F193)/(C193-B193)))</f>
        <v/>
      </c>
      <c r="O193" s="7">
        <f>IF(A193="","",IF(C193&lt;=B193,"Budget not raised - no read",IF(G193&lt;F193,"Ceiling: profit falling as budget rises - stop pushing; add creatives, improve product or open a market",IF(AND(H193&gt;0,I193&lt;H193),"Watch: conversion slipping - refresh creatives before more budget",IF(J193=0,"Watch: no new creatives - freshness will decay","Keep scaling in steps")))))</f>
        <v/>
      </c>
    </row>
    <row r="194">
      <c r="B194" s="3" t="n"/>
      <c r="C194" s="3" t="n"/>
      <c r="F194" s="3" t="n"/>
      <c r="G194" s="3" t="n"/>
      <c r="H194" s="4" t="n"/>
      <c r="I194" s="4" t="n"/>
      <c r="M194" s="5">
        <f>IF(A194="","",IF(E194-D194&lt;=0,"",(C194-B194)/(E194-D194)))</f>
        <v/>
      </c>
      <c r="N194" s="6">
        <f>IF(A194="","",IF(C194-B194&lt;=0,"",(G194-F194)/(C194-B194)))</f>
        <v/>
      </c>
      <c r="O194" s="7">
        <f>IF(A194="","",IF(C194&lt;=B194,"Budget not raised - no read",IF(G194&lt;F194,"Ceiling: profit falling as budget rises - stop pushing; add creatives, improve product or open a market",IF(AND(H194&gt;0,I194&lt;H194),"Watch: conversion slipping - refresh creatives before more budget",IF(J194=0,"Watch: no new creatives - freshness will decay","Keep scaling in steps")))))</f>
        <v/>
      </c>
    </row>
    <row r="195">
      <c r="B195" s="3" t="n"/>
      <c r="C195" s="3" t="n"/>
      <c r="F195" s="3" t="n"/>
      <c r="G195" s="3" t="n"/>
      <c r="H195" s="4" t="n"/>
      <c r="I195" s="4" t="n"/>
      <c r="M195" s="5">
        <f>IF(A195="","",IF(E195-D195&lt;=0,"",(C195-B195)/(E195-D195)))</f>
        <v/>
      </c>
      <c r="N195" s="6">
        <f>IF(A195="","",IF(C195-B195&lt;=0,"",(G195-F195)/(C195-B195)))</f>
        <v/>
      </c>
      <c r="O195" s="7">
        <f>IF(A195="","",IF(C195&lt;=B195,"Budget not raised - no read",IF(G195&lt;F195,"Ceiling: profit falling as budget rises - stop pushing; add creatives, improve product or open a market",IF(AND(H195&gt;0,I195&lt;H195),"Watch: conversion slipping - refresh creatives before more budget",IF(J195=0,"Watch: no new creatives - freshness will decay","Keep scaling in steps")))))</f>
        <v/>
      </c>
    </row>
    <row r="196">
      <c r="B196" s="3" t="n"/>
      <c r="C196" s="3" t="n"/>
      <c r="F196" s="3" t="n"/>
      <c r="G196" s="3" t="n"/>
      <c r="H196" s="4" t="n"/>
      <c r="I196" s="4" t="n"/>
      <c r="M196" s="5">
        <f>IF(A196="","",IF(E196-D196&lt;=0,"",(C196-B196)/(E196-D196)))</f>
        <v/>
      </c>
      <c r="N196" s="6">
        <f>IF(A196="","",IF(C196-B196&lt;=0,"",(G196-F196)/(C196-B196)))</f>
        <v/>
      </c>
      <c r="O196" s="7">
        <f>IF(A196="","",IF(C196&lt;=B196,"Budget not raised - no read",IF(G196&lt;F196,"Ceiling: profit falling as budget rises - stop pushing; add creatives, improve product or open a market",IF(AND(H196&gt;0,I196&lt;H196),"Watch: conversion slipping - refresh creatives before more budget",IF(J196=0,"Watch: no new creatives - freshness will decay","Keep scaling in steps")))))</f>
        <v/>
      </c>
    </row>
    <row r="197">
      <c r="B197" s="3" t="n"/>
      <c r="C197" s="3" t="n"/>
      <c r="F197" s="3" t="n"/>
      <c r="G197" s="3" t="n"/>
      <c r="H197" s="4" t="n"/>
      <c r="I197" s="4" t="n"/>
      <c r="M197" s="5">
        <f>IF(A197="","",IF(E197-D197&lt;=0,"",(C197-B197)/(E197-D197)))</f>
        <v/>
      </c>
      <c r="N197" s="6">
        <f>IF(A197="","",IF(C197-B197&lt;=0,"",(G197-F197)/(C197-B197)))</f>
        <v/>
      </c>
      <c r="O197" s="7">
        <f>IF(A197="","",IF(C197&lt;=B197,"Budget not raised - no read",IF(G197&lt;F197,"Ceiling: profit falling as budget rises - stop pushing; add creatives, improve product or open a market",IF(AND(H197&gt;0,I197&lt;H197),"Watch: conversion slipping - refresh creatives before more budget",IF(J197=0,"Watch: no new creatives - freshness will decay","Keep scaling in steps")))))</f>
        <v/>
      </c>
    </row>
    <row r="198">
      <c r="B198" s="3" t="n"/>
      <c r="C198" s="3" t="n"/>
      <c r="F198" s="3" t="n"/>
      <c r="G198" s="3" t="n"/>
      <c r="H198" s="4" t="n"/>
      <c r="I198" s="4" t="n"/>
      <c r="M198" s="5">
        <f>IF(A198="","",IF(E198-D198&lt;=0,"",(C198-B198)/(E198-D198)))</f>
        <v/>
      </c>
      <c r="N198" s="6">
        <f>IF(A198="","",IF(C198-B198&lt;=0,"",(G198-F198)/(C198-B198)))</f>
        <v/>
      </c>
      <c r="O198" s="7">
        <f>IF(A198="","",IF(C198&lt;=B198,"Budget not raised - no read",IF(G198&lt;F198,"Ceiling: profit falling as budget rises - stop pushing; add creatives, improve product or open a market",IF(AND(H198&gt;0,I198&lt;H198),"Watch: conversion slipping - refresh creatives before more budget",IF(J198=0,"Watch: no new creatives - freshness will decay","Keep scaling in steps")))))</f>
        <v/>
      </c>
    </row>
    <row r="199">
      <c r="B199" s="3" t="n"/>
      <c r="C199" s="3" t="n"/>
      <c r="F199" s="3" t="n"/>
      <c r="G199" s="3" t="n"/>
      <c r="H199" s="4" t="n"/>
      <c r="I199" s="4" t="n"/>
      <c r="M199" s="5">
        <f>IF(A199="","",IF(E199-D199&lt;=0,"",(C199-B199)/(E199-D199)))</f>
        <v/>
      </c>
      <c r="N199" s="6">
        <f>IF(A199="","",IF(C199-B199&lt;=0,"",(G199-F199)/(C199-B199)))</f>
        <v/>
      </c>
      <c r="O199" s="7">
        <f>IF(A199="","",IF(C199&lt;=B199,"Budget not raised - no read",IF(G199&lt;F199,"Ceiling: profit falling as budget rises - stop pushing; add creatives, improve product or open a market",IF(AND(H199&gt;0,I199&lt;H199),"Watch: conversion slipping - refresh creatives before more budget",IF(J199=0,"Watch: no new creatives - freshness will decay","Keep scaling in steps")))))</f>
        <v/>
      </c>
    </row>
    <row r="200">
      <c r="B200" s="3" t="n"/>
      <c r="C200" s="3" t="n"/>
      <c r="F200" s="3" t="n"/>
      <c r="G200" s="3" t="n"/>
      <c r="H200" s="4" t="n"/>
      <c r="I200" s="4" t="n"/>
      <c r="M200" s="5">
        <f>IF(A200="","",IF(E200-D200&lt;=0,"",(C200-B200)/(E200-D200)))</f>
        <v/>
      </c>
      <c r="N200" s="6">
        <f>IF(A200="","",IF(C200-B200&lt;=0,"",(G200-F200)/(C200-B200)))</f>
        <v/>
      </c>
      <c r="O200" s="7">
        <f>IF(A200="","",IF(C200&lt;=B200,"Budget not raised - no read",IF(G200&lt;F200,"Ceiling: profit falling as budget rises - stop pushing; add creatives, improve product or open a market",IF(AND(H200&gt;0,I200&lt;H200),"Watch: conversion slipping - refresh creatives before more budget",IF(J200=0,"Watch: no new creatives - freshness will decay","Keep scaling in steps")))))</f>
        <v/>
      </c>
    </row>
    <row r="201">
      <c r="B201" s="3" t="n"/>
      <c r="C201" s="3" t="n"/>
      <c r="F201" s="3" t="n"/>
      <c r="G201" s="3" t="n"/>
      <c r="H201" s="4" t="n"/>
      <c r="I201" s="4" t="n"/>
      <c r="M201" s="5">
        <f>IF(A201="","",IF(E201-D201&lt;=0,"",(C201-B201)/(E201-D201)))</f>
        <v/>
      </c>
      <c r="N201" s="6">
        <f>IF(A201="","",IF(C201-B201&lt;=0,"",(G201-F201)/(C201-B201)))</f>
        <v/>
      </c>
      <c r="O201" s="7">
        <f>IF(A201="","",IF(C201&lt;=B201,"Budget not raised - no read",IF(G201&lt;F201,"Ceiling: profit falling as budget rises - stop pushing; add creatives, improve product or open a market",IF(AND(H201&gt;0,I201&lt;H201),"Watch: conversion slipping - refresh creatives before more budget",IF(J201=0,"Watch: no new creatives - freshness will decay","Keep scaling in steps")))))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s="8" t="inlineStr">
        <is>
          <t>aiOS Grok Edition · Scale Ceiling Test (keep scaling or stop?)</t>
        </is>
      </c>
    </row>
    <row r="2">
      <c r="A2" t="inlineStr">
        <is>
          <t>CC's 10→100 case (lecture slide): to tell 'keep scaling' from 'hit the ceiling', watch marginal acquisition cost, conversion rate, creative freshness, audience expansion and inventory turnover together. If contribution profit from new revenue keeps falling as budget rises, stop pushing spend: add creatives, improve the product, or open a new market. One row per budget step; enter the previous period alongside.</t>
        </is>
      </c>
    </row>
    <row r="3">
      <c r="A3" t="inlineStr">
        <is>
          <t>Module 04 · see modules/ in https://github.com/daocoding/aios</t>
        </is>
      </c>
    </row>
    <row r="4">
      <c r="A4" t="inlineStr">
        <is>
          <t>Columns marked ƒ are formulas. Rows 2-4 hold examples; delete them before real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2026-10-17T05:24:03Z</dcterms:created>
  <dcterms:modified xmlns:dcterms="http://purl.org/dc/terms/" xmlns:xsi="http://www.w3.org/2001/XMLSchema-instance" xsi:type="dcterms:W3CDTF">2026-10-17T05:24:03Z</dcterms:modified>
</cp:coreProperties>
</file>