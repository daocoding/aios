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Economics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2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  <col width="15.71428571428571" customWidth="1" min="15" max="15"/>
    <col width="15.71428571428571" customWidth="1" min="16" max="16"/>
    <col width="15.71428571428571" customWidth="1" min="17" max="17"/>
    <col width="15.71428571428571" customWidth="1" min="18" max="18"/>
    <col width="15.71428571428571" customWidth="1" min="19" max="19"/>
    <col width="15.71428571428571" customWidth="1" min="20" max="20"/>
    <col width="15.71428571428571" customWidth="1" min="21" max="21"/>
    <col width="15.71428571428571" customWidth="1" min="22" max="22"/>
  </cols>
  <sheetData>
    <row r="1" ht="48" customHeight="1">
      <c r="A1" s="1" t="inlineStr">
        <is>
          <t>Offer</t>
        </is>
      </c>
      <c r="B1" s="1" t="inlineStr">
        <is>
          <t>Price ($)</t>
        </is>
      </c>
      <c r="C1" s="1" t="inlineStr">
        <is>
          <t>Unit cost ($)</t>
        </is>
      </c>
      <c r="D1" s="1" t="inlineStr">
        <is>
          <t>Logistics: first + last mile ($)</t>
        </is>
      </c>
      <c r="E1" s="1" t="inlineStr">
        <is>
          <t>Warehousing / storage per unit ($)</t>
        </is>
      </c>
      <c r="F1" s="1" t="inlineStr">
        <is>
          <t>Payout / transaction fee % (CC: 6%)</t>
        </is>
      </c>
      <c r="G1" s="1" t="inlineStr">
        <is>
          <t>Payout fee fixed per order ($, CC: 0.30)</t>
        </is>
      </c>
      <c r="H1" s="1" t="inlineStr">
        <is>
          <t>Other platform fees % (referral etc.; 0 if already in the payout fee)</t>
        </is>
      </c>
      <c r="I1" s="1" t="inlineStr">
        <is>
          <t>Refund reserve % (CC: 5%)</t>
        </is>
      </c>
      <c r="J1" s="1" t="inlineStr">
        <is>
          <t>Creator commission + ads % (CC: 30%)</t>
        </is>
      </c>
      <c r="K1" s="1" t="inlineStr">
        <is>
          <t>Exchange rate to home currency (optional)</t>
        </is>
      </c>
      <c r="L1" s="2" t="inlineStr">
        <is>
          <t>Payout fee ($) ƒ</t>
        </is>
      </c>
      <c r="M1" s="2" t="inlineStr">
        <is>
          <t>Landed cost share (cost+logistics+warehousing)/price ƒ</t>
        </is>
      </c>
      <c r="N1" s="2" t="inlineStr">
        <is>
          <t>Platform fee share (payout fee/price + other) ƒ</t>
        </is>
      </c>
      <c r="O1" s="2" t="inlineStr">
        <is>
          <t>Fixed-cost share ƒ</t>
        </is>
      </c>
      <c r="P1" s="2" t="inlineStr">
        <is>
          <t>Gross margin % (max room for creators+ads) ƒ</t>
        </is>
      </c>
      <c r="Q1" s="2" t="inlineStr">
        <is>
          <t>Contribution before creators+ads ($) ƒ</t>
        </is>
      </c>
      <c r="R1" s="2" t="inlineStr">
        <is>
          <t>Company margin % ƒ</t>
        </is>
      </c>
      <c r="S1" s="2" t="inlineStr">
        <is>
          <t>Company margin ($) ƒ</t>
        </is>
      </c>
      <c r="T1" s="2" t="inlineStr">
        <is>
          <t>Company margin in home currency ƒ</t>
        </is>
      </c>
      <c r="U1" s="2" t="inlineStr">
        <is>
          <t>Break-even ad ROAS (1 ÷ gross margin) ƒ</t>
        </is>
      </c>
      <c r="V1" s="2" t="inlineStr">
        <is>
          <t>Verdict (60% cut-off = aiOS default) ƒ</t>
        </is>
      </c>
    </row>
    <row r="2">
      <c r="A2" t="inlineStr">
        <is>
          <t>CC's worked example (lecture slide; unit cost ≈$3.572 shows as $3.57)</t>
        </is>
      </c>
      <c r="B2" s="3" t="n">
        <v>29.99</v>
      </c>
      <c r="C2" s="3" t="n">
        <v>3.5718</v>
      </c>
      <c r="D2" s="3" t="n">
        <v>6</v>
      </c>
      <c r="E2" s="3" t="n">
        <v>0</v>
      </c>
      <c r="F2" s="4" t="n">
        <v>0.06</v>
      </c>
      <c r="G2" s="3" t="n">
        <v>0.3</v>
      </c>
      <c r="H2" s="4" t="n">
        <v>0</v>
      </c>
      <c r="I2" s="4" t="n">
        <v>0.05</v>
      </c>
      <c r="J2" s="4" t="n">
        <v>0.3</v>
      </c>
      <c r="K2" s="5" t="n">
        <v>7</v>
      </c>
      <c r="L2" s="6">
        <f>IF(A2="","",B2*F2+G2)</f>
        <v/>
      </c>
      <c r="M2" s="7">
        <f>IF(A2="","",IFERROR((C2+D2+E2)/B2,0))</f>
        <v/>
      </c>
      <c r="N2" s="7">
        <f>IF(A2="","",IFERROR(L2/B2,0)+H2)</f>
        <v/>
      </c>
      <c r="O2" s="7">
        <f>IF(A2="","",M2+N2)</f>
        <v/>
      </c>
      <c r="P2" s="7">
        <f>IF(A2="","",IF(B2&gt;0,1-O2-I2,0))</f>
        <v/>
      </c>
      <c r="Q2" s="6">
        <f>IF(A2="","",B2*P2)</f>
        <v/>
      </c>
      <c r="R2" s="7">
        <f>IF(A2="","",IF(B2&gt;0,P2-J2,0))</f>
        <v/>
      </c>
      <c r="S2" s="6">
        <f>IF(A2="","",B2*R2)</f>
        <v/>
      </c>
      <c r="T2" s="8">
        <f>IF(A2="","",IF(K2&gt;0,S2*K2,""))</f>
        <v/>
      </c>
      <c r="U2" s="8">
        <f>IF(A2="","",IFERROR(B2/Q2,0))</f>
        <v/>
      </c>
      <c r="V2" s="9">
        <f>IF(A2="","",IF(OR(S2&lt;=0,Q2&lt;=0),"Drop",IF(P2&gt;=0.6,"Profit product",IF(P2&gt;=0.5,"Traffic product","Thin - rework"))))</f>
        <v/>
      </c>
    </row>
    <row r="3">
      <c r="A3" t="inlineStr">
        <is>
          <t>Example: your offer</t>
        </is>
      </c>
      <c r="B3" s="3" t="n">
        <v>49.99</v>
      </c>
      <c r="C3" s="3" t="n">
        <v>8</v>
      </c>
      <c r="D3" s="3" t="n">
        <v>5</v>
      </c>
      <c r="E3" s="3" t="n">
        <v>1</v>
      </c>
      <c r="F3" s="4" t="n">
        <v>0.06</v>
      </c>
      <c r="G3" s="3" t="n">
        <v>0.3</v>
      </c>
      <c r="H3" s="4" t="n">
        <v>0.02</v>
      </c>
      <c r="I3" s="4" t="n">
        <v>0.05</v>
      </c>
      <c r="J3" s="4" t="n">
        <v>0.3</v>
      </c>
      <c r="K3" s="5" t="n"/>
      <c r="L3" s="6">
        <f>IF(A3="","",B3*F3+G3)</f>
        <v/>
      </c>
      <c r="M3" s="7">
        <f>IF(A3="","",IFERROR((C3+D3+E3)/B3,0))</f>
        <v/>
      </c>
      <c r="N3" s="7">
        <f>IF(A3="","",IFERROR(L3/B3,0)+H3)</f>
        <v/>
      </c>
      <c r="O3" s="7">
        <f>IF(A3="","",M3+N3)</f>
        <v/>
      </c>
      <c r="P3" s="7">
        <f>IF(A3="","",IF(B3&gt;0,1-O3-I3,0))</f>
        <v/>
      </c>
      <c r="Q3" s="6">
        <f>IF(A3="","",B3*P3)</f>
        <v/>
      </c>
      <c r="R3" s="7">
        <f>IF(A3="","",IF(B3&gt;0,P3-J3,0))</f>
        <v/>
      </c>
      <c r="S3" s="6">
        <f>IF(A3="","",B3*R3)</f>
        <v/>
      </c>
      <c r="T3" s="8">
        <f>IF(A3="","",IF(K3&gt;0,S3*K3,""))</f>
        <v/>
      </c>
      <c r="U3" s="8">
        <f>IF(A3="","",IFERROR(B3/Q3,0))</f>
        <v/>
      </c>
      <c r="V3" s="9">
        <f>IF(A3="","",IF(OR(S3&lt;=0,Q3&lt;=0),"Drop",IF(P3&gt;=0.6,"Profit product",IF(P3&gt;=0.5,"Traffic product","Thin - rework"))))</f>
        <v/>
      </c>
    </row>
    <row r="4">
      <c r="B4" s="3" t="n"/>
      <c r="C4" s="3" t="n"/>
      <c r="D4" s="3" t="n"/>
      <c r="E4" s="3" t="n"/>
      <c r="F4" s="4" t="n"/>
      <c r="G4" s="3" t="n"/>
      <c r="H4" s="4" t="n"/>
      <c r="I4" s="4" t="n"/>
      <c r="J4" s="4" t="n"/>
      <c r="K4" s="5" t="n"/>
      <c r="L4" s="6">
        <f>IF(A4="","",B4*F4+G4)</f>
        <v/>
      </c>
      <c r="M4" s="7">
        <f>IF(A4="","",IFERROR((C4+D4+E4)/B4,0))</f>
        <v/>
      </c>
      <c r="N4" s="7">
        <f>IF(A4="","",IFERROR(L4/B4,0)+H4)</f>
        <v/>
      </c>
      <c r="O4" s="7">
        <f>IF(A4="","",M4+N4)</f>
        <v/>
      </c>
      <c r="P4" s="7">
        <f>IF(A4="","",IF(B4&gt;0,1-O4-I4,0))</f>
        <v/>
      </c>
      <c r="Q4" s="6">
        <f>IF(A4="","",B4*P4)</f>
        <v/>
      </c>
      <c r="R4" s="7">
        <f>IF(A4="","",IF(B4&gt;0,P4-J4,0))</f>
        <v/>
      </c>
      <c r="S4" s="6">
        <f>IF(A4="","",B4*R4)</f>
        <v/>
      </c>
      <c r="T4" s="8">
        <f>IF(A4="","",IF(K4&gt;0,S4*K4,""))</f>
        <v/>
      </c>
      <c r="U4" s="8">
        <f>IF(A4="","",IFERROR(B4/Q4,0))</f>
        <v/>
      </c>
      <c r="V4" s="9">
        <f>IF(A4="","",IF(OR(S4&lt;=0,Q4&lt;=0),"Drop",IF(P4&gt;=0.6,"Profit product",IF(P4&gt;=0.5,"Traffic product","Thin - rework"))))</f>
        <v/>
      </c>
    </row>
    <row r="5">
      <c r="B5" s="3" t="n"/>
      <c r="C5" s="3" t="n"/>
      <c r="D5" s="3" t="n"/>
      <c r="E5" s="3" t="n"/>
      <c r="F5" s="4" t="n"/>
      <c r="G5" s="3" t="n"/>
      <c r="H5" s="4" t="n"/>
      <c r="I5" s="4" t="n"/>
      <c r="J5" s="4" t="n"/>
      <c r="K5" s="5" t="n"/>
      <c r="L5" s="6">
        <f>IF(A5="","",B5*F5+G5)</f>
        <v/>
      </c>
      <c r="M5" s="7">
        <f>IF(A5="","",IFERROR((C5+D5+E5)/B5,0))</f>
        <v/>
      </c>
      <c r="N5" s="7">
        <f>IF(A5="","",IFERROR(L5/B5,0)+H5)</f>
        <v/>
      </c>
      <c r="O5" s="7">
        <f>IF(A5="","",M5+N5)</f>
        <v/>
      </c>
      <c r="P5" s="7">
        <f>IF(A5="","",IF(B5&gt;0,1-O5-I5,0))</f>
        <v/>
      </c>
      <c r="Q5" s="6">
        <f>IF(A5="","",B5*P5)</f>
        <v/>
      </c>
      <c r="R5" s="7">
        <f>IF(A5="","",IF(B5&gt;0,P5-J5,0))</f>
        <v/>
      </c>
      <c r="S5" s="6">
        <f>IF(A5="","",B5*R5)</f>
        <v/>
      </c>
      <c r="T5" s="8">
        <f>IF(A5="","",IF(K5&gt;0,S5*K5,""))</f>
        <v/>
      </c>
      <c r="U5" s="8">
        <f>IF(A5="","",IFERROR(B5/Q5,0))</f>
        <v/>
      </c>
      <c r="V5" s="9">
        <f>IF(A5="","",IF(OR(S5&lt;=0,Q5&lt;=0),"Drop",IF(P5&gt;=0.6,"Profit product",IF(P5&gt;=0.5,"Traffic product","Thin - rework"))))</f>
        <v/>
      </c>
    </row>
    <row r="6">
      <c r="B6" s="3" t="n"/>
      <c r="C6" s="3" t="n"/>
      <c r="D6" s="3" t="n"/>
      <c r="E6" s="3" t="n"/>
      <c r="F6" s="4" t="n"/>
      <c r="G6" s="3" t="n"/>
      <c r="H6" s="4" t="n"/>
      <c r="I6" s="4" t="n"/>
      <c r="J6" s="4" t="n"/>
      <c r="K6" s="5" t="n"/>
      <c r="L6" s="6">
        <f>IF(A6="","",B6*F6+G6)</f>
        <v/>
      </c>
      <c r="M6" s="7">
        <f>IF(A6="","",IFERROR((C6+D6+E6)/B6,0))</f>
        <v/>
      </c>
      <c r="N6" s="7">
        <f>IF(A6="","",IFERROR(L6/B6,0)+H6)</f>
        <v/>
      </c>
      <c r="O6" s="7">
        <f>IF(A6="","",M6+N6)</f>
        <v/>
      </c>
      <c r="P6" s="7">
        <f>IF(A6="","",IF(B6&gt;0,1-O6-I6,0))</f>
        <v/>
      </c>
      <c r="Q6" s="6">
        <f>IF(A6="","",B6*P6)</f>
        <v/>
      </c>
      <c r="R6" s="7">
        <f>IF(A6="","",IF(B6&gt;0,P6-J6,0))</f>
        <v/>
      </c>
      <c r="S6" s="6">
        <f>IF(A6="","",B6*R6)</f>
        <v/>
      </c>
      <c r="T6" s="8">
        <f>IF(A6="","",IF(K6&gt;0,S6*K6,""))</f>
        <v/>
      </c>
      <c r="U6" s="8">
        <f>IF(A6="","",IFERROR(B6/Q6,0))</f>
        <v/>
      </c>
      <c r="V6" s="9">
        <f>IF(A6="","",IF(OR(S6&lt;=0,Q6&lt;=0),"Drop",IF(P6&gt;=0.6,"Profit product",IF(P6&gt;=0.5,"Traffic product","Thin - rework"))))</f>
        <v/>
      </c>
    </row>
    <row r="7">
      <c r="B7" s="3" t="n"/>
      <c r="C7" s="3" t="n"/>
      <c r="D7" s="3" t="n"/>
      <c r="E7" s="3" t="n"/>
      <c r="F7" s="4" t="n"/>
      <c r="G7" s="3" t="n"/>
      <c r="H7" s="4" t="n"/>
      <c r="I7" s="4" t="n"/>
      <c r="J7" s="4" t="n"/>
      <c r="K7" s="5" t="n"/>
      <c r="L7" s="6">
        <f>IF(A7="","",B7*F7+G7)</f>
        <v/>
      </c>
      <c r="M7" s="7">
        <f>IF(A7="","",IFERROR((C7+D7+E7)/B7,0))</f>
        <v/>
      </c>
      <c r="N7" s="7">
        <f>IF(A7="","",IFERROR(L7/B7,0)+H7)</f>
        <v/>
      </c>
      <c r="O7" s="7">
        <f>IF(A7="","",M7+N7)</f>
        <v/>
      </c>
      <c r="P7" s="7">
        <f>IF(A7="","",IF(B7&gt;0,1-O7-I7,0))</f>
        <v/>
      </c>
      <c r="Q7" s="6">
        <f>IF(A7="","",B7*P7)</f>
        <v/>
      </c>
      <c r="R7" s="7">
        <f>IF(A7="","",IF(B7&gt;0,P7-J7,0))</f>
        <v/>
      </c>
      <c r="S7" s="6">
        <f>IF(A7="","",B7*R7)</f>
        <v/>
      </c>
      <c r="T7" s="8">
        <f>IF(A7="","",IF(K7&gt;0,S7*K7,""))</f>
        <v/>
      </c>
      <c r="U7" s="8">
        <f>IF(A7="","",IFERROR(B7/Q7,0))</f>
        <v/>
      </c>
      <c r="V7" s="9">
        <f>IF(A7="","",IF(OR(S7&lt;=0,Q7&lt;=0),"Drop",IF(P7&gt;=0.6,"Profit product",IF(P7&gt;=0.5,"Traffic product","Thin - rework"))))</f>
        <v/>
      </c>
    </row>
    <row r="8">
      <c r="B8" s="3" t="n"/>
      <c r="C8" s="3" t="n"/>
      <c r="D8" s="3" t="n"/>
      <c r="E8" s="3" t="n"/>
      <c r="F8" s="4" t="n"/>
      <c r="G8" s="3" t="n"/>
      <c r="H8" s="4" t="n"/>
      <c r="I8" s="4" t="n"/>
      <c r="J8" s="4" t="n"/>
      <c r="K8" s="5" t="n"/>
      <c r="L8" s="6">
        <f>IF(A8="","",B8*F8+G8)</f>
        <v/>
      </c>
      <c r="M8" s="7">
        <f>IF(A8="","",IFERROR((C8+D8+E8)/B8,0))</f>
        <v/>
      </c>
      <c r="N8" s="7">
        <f>IF(A8="","",IFERROR(L8/B8,0)+H8)</f>
        <v/>
      </c>
      <c r="O8" s="7">
        <f>IF(A8="","",M8+N8)</f>
        <v/>
      </c>
      <c r="P8" s="7">
        <f>IF(A8="","",IF(B8&gt;0,1-O8-I8,0))</f>
        <v/>
      </c>
      <c r="Q8" s="6">
        <f>IF(A8="","",B8*P8)</f>
        <v/>
      </c>
      <c r="R8" s="7">
        <f>IF(A8="","",IF(B8&gt;0,P8-J8,0))</f>
        <v/>
      </c>
      <c r="S8" s="6">
        <f>IF(A8="","",B8*R8)</f>
        <v/>
      </c>
      <c r="T8" s="8">
        <f>IF(A8="","",IF(K8&gt;0,S8*K8,""))</f>
        <v/>
      </c>
      <c r="U8" s="8">
        <f>IF(A8="","",IFERROR(B8/Q8,0))</f>
        <v/>
      </c>
      <c r="V8" s="9">
        <f>IF(A8="","",IF(OR(S8&lt;=0,Q8&lt;=0),"Drop",IF(P8&gt;=0.6,"Profit product",IF(P8&gt;=0.5,"Traffic product","Thin - rework"))))</f>
        <v/>
      </c>
    </row>
    <row r="9">
      <c r="B9" s="3" t="n"/>
      <c r="C9" s="3" t="n"/>
      <c r="D9" s="3" t="n"/>
      <c r="E9" s="3" t="n"/>
      <c r="F9" s="4" t="n"/>
      <c r="G9" s="3" t="n"/>
      <c r="H9" s="4" t="n"/>
      <c r="I9" s="4" t="n"/>
      <c r="J9" s="4" t="n"/>
      <c r="K9" s="5" t="n"/>
      <c r="L9" s="6">
        <f>IF(A9="","",B9*F9+G9)</f>
        <v/>
      </c>
      <c r="M9" s="7">
        <f>IF(A9="","",IFERROR((C9+D9+E9)/B9,0))</f>
        <v/>
      </c>
      <c r="N9" s="7">
        <f>IF(A9="","",IFERROR(L9/B9,0)+H9)</f>
        <v/>
      </c>
      <c r="O9" s="7">
        <f>IF(A9="","",M9+N9)</f>
        <v/>
      </c>
      <c r="P9" s="7">
        <f>IF(A9="","",IF(B9&gt;0,1-O9-I9,0))</f>
        <v/>
      </c>
      <c r="Q9" s="6">
        <f>IF(A9="","",B9*P9)</f>
        <v/>
      </c>
      <c r="R9" s="7">
        <f>IF(A9="","",IF(B9&gt;0,P9-J9,0))</f>
        <v/>
      </c>
      <c r="S9" s="6">
        <f>IF(A9="","",B9*R9)</f>
        <v/>
      </c>
      <c r="T9" s="8">
        <f>IF(A9="","",IF(K9&gt;0,S9*K9,""))</f>
        <v/>
      </c>
      <c r="U9" s="8">
        <f>IF(A9="","",IFERROR(B9/Q9,0))</f>
        <v/>
      </c>
      <c r="V9" s="9">
        <f>IF(A9="","",IF(OR(S9&lt;=0,Q9&lt;=0),"Drop",IF(P9&gt;=0.6,"Profit product",IF(P9&gt;=0.5,"Traffic product","Thin - rework"))))</f>
        <v/>
      </c>
    </row>
    <row r="10">
      <c r="B10" s="3" t="n"/>
      <c r="C10" s="3" t="n"/>
      <c r="D10" s="3" t="n"/>
      <c r="E10" s="3" t="n"/>
      <c r="F10" s="4" t="n"/>
      <c r="G10" s="3" t="n"/>
      <c r="H10" s="4" t="n"/>
      <c r="I10" s="4" t="n"/>
      <c r="J10" s="4" t="n"/>
      <c r="K10" s="5" t="n"/>
      <c r="L10" s="6">
        <f>IF(A10="","",B10*F10+G10)</f>
        <v/>
      </c>
      <c r="M10" s="7">
        <f>IF(A10="","",IFERROR((C10+D10+E10)/B10,0))</f>
        <v/>
      </c>
      <c r="N10" s="7">
        <f>IF(A10="","",IFERROR(L10/B10,0)+H10)</f>
        <v/>
      </c>
      <c r="O10" s="7">
        <f>IF(A10="","",M10+N10)</f>
        <v/>
      </c>
      <c r="P10" s="7">
        <f>IF(A10="","",IF(B10&gt;0,1-O10-I10,0))</f>
        <v/>
      </c>
      <c r="Q10" s="6">
        <f>IF(A10="","",B10*P10)</f>
        <v/>
      </c>
      <c r="R10" s="7">
        <f>IF(A10="","",IF(B10&gt;0,P10-J10,0))</f>
        <v/>
      </c>
      <c r="S10" s="6">
        <f>IF(A10="","",B10*R10)</f>
        <v/>
      </c>
      <c r="T10" s="8">
        <f>IF(A10="","",IF(K10&gt;0,S10*K10,""))</f>
        <v/>
      </c>
      <c r="U10" s="8">
        <f>IF(A10="","",IFERROR(B10/Q10,0))</f>
        <v/>
      </c>
      <c r="V10" s="9">
        <f>IF(A10="","",IF(OR(S10&lt;=0,Q10&lt;=0),"Drop",IF(P10&gt;=0.6,"Profit product",IF(P10&gt;=0.5,"Traffic product","Thin - rework"))))</f>
        <v/>
      </c>
    </row>
    <row r="11">
      <c r="B11" s="3" t="n"/>
      <c r="C11" s="3" t="n"/>
      <c r="D11" s="3" t="n"/>
      <c r="E11" s="3" t="n"/>
      <c r="F11" s="4" t="n"/>
      <c r="G11" s="3" t="n"/>
      <c r="H11" s="4" t="n"/>
      <c r="I11" s="4" t="n"/>
      <c r="J11" s="4" t="n"/>
      <c r="K11" s="5" t="n"/>
      <c r="L11" s="6">
        <f>IF(A11="","",B11*F11+G11)</f>
        <v/>
      </c>
      <c r="M11" s="7">
        <f>IF(A11="","",IFERROR((C11+D11+E11)/B11,0))</f>
        <v/>
      </c>
      <c r="N11" s="7">
        <f>IF(A11="","",IFERROR(L11/B11,0)+H11)</f>
        <v/>
      </c>
      <c r="O11" s="7">
        <f>IF(A11="","",M11+N11)</f>
        <v/>
      </c>
      <c r="P11" s="7">
        <f>IF(A11="","",IF(B11&gt;0,1-O11-I11,0))</f>
        <v/>
      </c>
      <c r="Q11" s="6">
        <f>IF(A11="","",B11*P11)</f>
        <v/>
      </c>
      <c r="R11" s="7">
        <f>IF(A11="","",IF(B11&gt;0,P11-J11,0))</f>
        <v/>
      </c>
      <c r="S11" s="6">
        <f>IF(A11="","",B11*R11)</f>
        <v/>
      </c>
      <c r="T11" s="8">
        <f>IF(A11="","",IF(K11&gt;0,S11*K11,""))</f>
        <v/>
      </c>
      <c r="U11" s="8">
        <f>IF(A11="","",IFERROR(B11/Q11,0))</f>
        <v/>
      </c>
      <c r="V11" s="9">
        <f>IF(A11="","",IF(OR(S11&lt;=0,Q11&lt;=0),"Drop",IF(P11&gt;=0.6,"Profit product",IF(P11&gt;=0.5,"Traffic product","Thin - rework"))))</f>
        <v/>
      </c>
    </row>
    <row r="12">
      <c r="B12" s="3" t="n"/>
      <c r="C12" s="3" t="n"/>
      <c r="D12" s="3" t="n"/>
      <c r="E12" s="3" t="n"/>
      <c r="F12" s="4" t="n"/>
      <c r="G12" s="3" t="n"/>
      <c r="H12" s="4" t="n"/>
      <c r="I12" s="4" t="n"/>
      <c r="J12" s="4" t="n"/>
      <c r="K12" s="5" t="n"/>
      <c r="L12" s="6">
        <f>IF(A12="","",B12*F12+G12)</f>
        <v/>
      </c>
      <c r="M12" s="7">
        <f>IF(A12="","",IFERROR((C12+D12+E12)/B12,0))</f>
        <v/>
      </c>
      <c r="N12" s="7">
        <f>IF(A12="","",IFERROR(L12/B12,0)+H12)</f>
        <v/>
      </c>
      <c r="O12" s="7">
        <f>IF(A12="","",M12+N12)</f>
        <v/>
      </c>
      <c r="P12" s="7">
        <f>IF(A12="","",IF(B12&gt;0,1-O12-I12,0))</f>
        <v/>
      </c>
      <c r="Q12" s="6">
        <f>IF(A12="","",B12*P12)</f>
        <v/>
      </c>
      <c r="R12" s="7">
        <f>IF(A12="","",IF(B12&gt;0,P12-J12,0))</f>
        <v/>
      </c>
      <c r="S12" s="6">
        <f>IF(A12="","",B12*R12)</f>
        <v/>
      </c>
      <c r="T12" s="8">
        <f>IF(A12="","",IF(K12&gt;0,S12*K12,""))</f>
        <v/>
      </c>
      <c r="U12" s="8">
        <f>IF(A12="","",IFERROR(B12/Q12,0))</f>
        <v/>
      </c>
      <c r="V12" s="9">
        <f>IF(A12="","",IF(OR(S12&lt;=0,Q12&lt;=0),"Drop",IF(P12&gt;=0.6,"Profit product",IF(P12&gt;=0.5,"Traffic product","Thin - rework"))))</f>
        <v/>
      </c>
    </row>
    <row r="13">
      <c r="B13" s="3" t="n"/>
      <c r="C13" s="3" t="n"/>
      <c r="D13" s="3" t="n"/>
      <c r="E13" s="3" t="n"/>
      <c r="F13" s="4" t="n"/>
      <c r="G13" s="3" t="n"/>
      <c r="H13" s="4" t="n"/>
      <c r="I13" s="4" t="n"/>
      <c r="J13" s="4" t="n"/>
      <c r="K13" s="5" t="n"/>
      <c r="L13" s="6">
        <f>IF(A13="","",B13*F13+G13)</f>
        <v/>
      </c>
      <c r="M13" s="7">
        <f>IF(A13="","",IFERROR((C13+D13+E13)/B13,0))</f>
        <v/>
      </c>
      <c r="N13" s="7">
        <f>IF(A13="","",IFERROR(L13/B13,0)+H13)</f>
        <v/>
      </c>
      <c r="O13" s="7">
        <f>IF(A13="","",M13+N13)</f>
        <v/>
      </c>
      <c r="P13" s="7">
        <f>IF(A13="","",IF(B13&gt;0,1-O13-I13,0))</f>
        <v/>
      </c>
      <c r="Q13" s="6">
        <f>IF(A13="","",B13*P13)</f>
        <v/>
      </c>
      <c r="R13" s="7">
        <f>IF(A13="","",IF(B13&gt;0,P13-J13,0))</f>
        <v/>
      </c>
      <c r="S13" s="6">
        <f>IF(A13="","",B13*R13)</f>
        <v/>
      </c>
      <c r="T13" s="8">
        <f>IF(A13="","",IF(K13&gt;0,S13*K13,""))</f>
        <v/>
      </c>
      <c r="U13" s="8">
        <f>IF(A13="","",IFERROR(B13/Q13,0))</f>
        <v/>
      </c>
      <c r="V13" s="9">
        <f>IF(A13="","",IF(OR(S13&lt;=0,Q13&lt;=0),"Drop",IF(P13&gt;=0.6,"Profit product",IF(P13&gt;=0.5,"Traffic product","Thin - rework"))))</f>
        <v/>
      </c>
    </row>
    <row r="14">
      <c r="B14" s="3" t="n"/>
      <c r="C14" s="3" t="n"/>
      <c r="D14" s="3" t="n"/>
      <c r="E14" s="3" t="n"/>
      <c r="F14" s="4" t="n"/>
      <c r="G14" s="3" t="n"/>
      <c r="H14" s="4" t="n"/>
      <c r="I14" s="4" t="n"/>
      <c r="J14" s="4" t="n"/>
      <c r="K14" s="5" t="n"/>
      <c r="L14" s="6">
        <f>IF(A14="","",B14*F14+G14)</f>
        <v/>
      </c>
      <c r="M14" s="7">
        <f>IF(A14="","",IFERROR((C14+D14+E14)/B14,0))</f>
        <v/>
      </c>
      <c r="N14" s="7">
        <f>IF(A14="","",IFERROR(L14/B14,0)+H14)</f>
        <v/>
      </c>
      <c r="O14" s="7">
        <f>IF(A14="","",M14+N14)</f>
        <v/>
      </c>
      <c r="P14" s="7">
        <f>IF(A14="","",IF(B14&gt;0,1-O14-I14,0))</f>
        <v/>
      </c>
      <c r="Q14" s="6">
        <f>IF(A14="","",B14*P14)</f>
        <v/>
      </c>
      <c r="R14" s="7">
        <f>IF(A14="","",IF(B14&gt;0,P14-J14,0))</f>
        <v/>
      </c>
      <c r="S14" s="6">
        <f>IF(A14="","",B14*R14)</f>
        <v/>
      </c>
      <c r="T14" s="8">
        <f>IF(A14="","",IF(K14&gt;0,S14*K14,""))</f>
        <v/>
      </c>
      <c r="U14" s="8">
        <f>IF(A14="","",IFERROR(B14/Q14,0))</f>
        <v/>
      </c>
      <c r="V14" s="9">
        <f>IF(A14="","",IF(OR(S14&lt;=0,Q14&lt;=0),"Drop",IF(P14&gt;=0.6,"Profit product",IF(P14&gt;=0.5,"Traffic product","Thin - rework"))))</f>
        <v/>
      </c>
    </row>
    <row r="15">
      <c r="B15" s="3" t="n"/>
      <c r="C15" s="3" t="n"/>
      <c r="D15" s="3" t="n"/>
      <c r="E15" s="3" t="n"/>
      <c r="F15" s="4" t="n"/>
      <c r="G15" s="3" t="n"/>
      <c r="H15" s="4" t="n"/>
      <c r="I15" s="4" t="n"/>
      <c r="J15" s="4" t="n"/>
      <c r="K15" s="5" t="n"/>
      <c r="L15" s="6">
        <f>IF(A15="","",B15*F15+G15)</f>
        <v/>
      </c>
      <c r="M15" s="7">
        <f>IF(A15="","",IFERROR((C15+D15+E15)/B15,0))</f>
        <v/>
      </c>
      <c r="N15" s="7">
        <f>IF(A15="","",IFERROR(L15/B15,0)+H15)</f>
        <v/>
      </c>
      <c r="O15" s="7">
        <f>IF(A15="","",M15+N15)</f>
        <v/>
      </c>
      <c r="P15" s="7">
        <f>IF(A15="","",IF(B15&gt;0,1-O15-I15,0))</f>
        <v/>
      </c>
      <c r="Q15" s="6">
        <f>IF(A15="","",B15*P15)</f>
        <v/>
      </c>
      <c r="R15" s="7">
        <f>IF(A15="","",IF(B15&gt;0,P15-J15,0))</f>
        <v/>
      </c>
      <c r="S15" s="6">
        <f>IF(A15="","",B15*R15)</f>
        <v/>
      </c>
      <c r="T15" s="8">
        <f>IF(A15="","",IF(K15&gt;0,S15*K15,""))</f>
        <v/>
      </c>
      <c r="U15" s="8">
        <f>IF(A15="","",IFERROR(B15/Q15,0))</f>
        <v/>
      </c>
      <c r="V15" s="9">
        <f>IF(A15="","",IF(OR(S15&lt;=0,Q15&lt;=0),"Drop",IF(P15&gt;=0.6,"Profit product",IF(P15&gt;=0.5,"Traffic product","Thin - rework"))))</f>
        <v/>
      </c>
    </row>
    <row r="16">
      <c r="B16" s="3" t="n"/>
      <c r="C16" s="3" t="n"/>
      <c r="D16" s="3" t="n"/>
      <c r="E16" s="3" t="n"/>
      <c r="F16" s="4" t="n"/>
      <c r="G16" s="3" t="n"/>
      <c r="H16" s="4" t="n"/>
      <c r="I16" s="4" t="n"/>
      <c r="J16" s="4" t="n"/>
      <c r="K16" s="5" t="n"/>
      <c r="L16" s="6">
        <f>IF(A16="","",B16*F16+G16)</f>
        <v/>
      </c>
      <c r="M16" s="7">
        <f>IF(A16="","",IFERROR((C16+D16+E16)/B16,0))</f>
        <v/>
      </c>
      <c r="N16" s="7">
        <f>IF(A16="","",IFERROR(L16/B16,0)+H16)</f>
        <v/>
      </c>
      <c r="O16" s="7">
        <f>IF(A16="","",M16+N16)</f>
        <v/>
      </c>
      <c r="P16" s="7">
        <f>IF(A16="","",IF(B16&gt;0,1-O16-I16,0))</f>
        <v/>
      </c>
      <c r="Q16" s="6">
        <f>IF(A16="","",B16*P16)</f>
        <v/>
      </c>
      <c r="R16" s="7">
        <f>IF(A16="","",IF(B16&gt;0,P16-J16,0))</f>
        <v/>
      </c>
      <c r="S16" s="6">
        <f>IF(A16="","",B16*R16)</f>
        <v/>
      </c>
      <c r="T16" s="8">
        <f>IF(A16="","",IF(K16&gt;0,S16*K16,""))</f>
        <v/>
      </c>
      <c r="U16" s="8">
        <f>IF(A16="","",IFERROR(B16/Q16,0))</f>
        <v/>
      </c>
      <c r="V16" s="9">
        <f>IF(A16="","",IF(OR(S16&lt;=0,Q16&lt;=0),"Drop",IF(P16&gt;=0.6,"Profit product",IF(P16&gt;=0.5,"Traffic product","Thin - rework"))))</f>
        <v/>
      </c>
    </row>
    <row r="17">
      <c r="B17" s="3" t="n"/>
      <c r="C17" s="3" t="n"/>
      <c r="D17" s="3" t="n"/>
      <c r="E17" s="3" t="n"/>
      <c r="F17" s="4" t="n"/>
      <c r="G17" s="3" t="n"/>
      <c r="H17" s="4" t="n"/>
      <c r="I17" s="4" t="n"/>
      <c r="J17" s="4" t="n"/>
      <c r="K17" s="5" t="n"/>
      <c r="L17" s="6">
        <f>IF(A17="","",B17*F17+G17)</f>
        <v/>
      </c>
      <c r="M17" s="7">
        <f>IF(A17="","",IFERROR((C17+D17+E17)/B17,0))</f>
        <v/>
      </c>
      <c r="N17" s="7">
        <f>IF(A17="","",IFERROR(L17/B17,0)+H17)</f>
        <v/>
      </c>
      <c r="O17" s="7">
        <f>IF(A17="","",M17+N17)</f>
        <v/>
      </c>
      <c r="P17" s="7">
        <f>IF(A17="","",IF(B17&gt;0,1-O17-I17,0))</f>
        <v/>
      </c>
      <c r="Q17" s="6">
        <f>IF(A17="","",B17*P17)</f>
        <v/>
      </c>
      <c r="R17" s="7">
        <f>IF(A17="","",IF(B17&gt;0,P17-J17,0))</f>
        <v/>
      </c>
      <c r="S17" s="6">
        <f>IF(A17="","",B17*R17)</f>
        <v/>
      </c>
      <c r="T17" s="8">
        <f>IF(A17="","",IF(K17&gt;0,S17*K17,""))</f>
        <v/>
      </c>
      <c r="U17" s="8">
        <f>IF(A17="","",IFERROR(B17/Q17,0))</f>
        <v/>
      </c>
      <c r="V17" s="9">
        <f>IF(A17="","",IF(OR(S17&lt;=0,Q17&lt;=0),"Drop",IF(P17&gt;=0.6,"Profit product",IF(P17&gt;=0.5,"Traffic product","Thin - rework"))))</f>
        <v/>
      </c>
    </row>
    <row r="18">
      <c r="B18" s="3" t="n"/>
      <c r="C18" s="3" t="n"/>
      <c r="D18" s="3" t="n"/>
      <c r="E18" s="3" t="n"/>
      <c r="F18" s="4" t="n"/>
      <c r="G18" s="3" t="n"/>
      <c r="H18" s="4" t="n"/>
      <c r="I18" s="4" t="n"/>
      <c r="J18" s="4" t="n"/>
      <c r="K18" s="5" t="n"/>
      <c r="L18" s="6">
        <f>IF(A18="","",B18*F18+G18)</f>
        <v/>
      </c>
      <c r="M18" s="7">
        <f>IF(A18="","",IFERROR((C18+D18+E18)/B18,0))</f>
        <v/>
      </c>
      <c r="N18" s="7">
        <f>IF(A18="","",IFERROR(L18/B18,0)+H18)</f>
        <v/>
      </c>
      <c r="O18" s="7">
        <f>IF(A18="","",M18+N18)</f>
        <v/>
      </c>
      <c r="P18" s="7">
        <f>IF(A18="","",IF(B18&gt;0,1-O18-I18,0))</f>
        <v/>
      </c>
      <c r="Q18" s="6">
        <f>IF(A18="","",B18*P18)</f>
        <v/>
      </c>
      <c r="R18" s="7">
        <f>IF(A18="","",IF(B18&gt;0,P18-J18,0))</f>
        <v/>
      </c>
      <c r="S18" s="6">
        <f>IF(A18="","",B18*R18)</f>
        <v/>
      </c>
      <c r="T18" s="8">
        <f>IF(A18="","",IF(K18&gt;0,S18*K18,""))</f>
        <v/>
      </c>
      <c r="U18" s="8">
        <f>IF(A18="","",IFERROR(B18/Q18,0))</f>
        <v/>
      </c>
      <c r="V18" s="9">
        <f>IF(A18="","",IF(OR(S18&lt;=0,Q18&lt;=0),"Drop",IF(P18&gt;=0.6,"Profit product",IF(P18&gt;=0.5,"Traffic product","Thin - rework"))))</f>
        <v/>
      </c>
    </row>
    <row r="19">
      <c r="B19" s="3" t="n"/>
      <c r="C19" s="3" t="n"/>
      <c r="D19" s="3" t="n"/>
      <c r="E19" s="3" t="n"/>
      <c r="F19" s="4" t="n"/>
      <c r="G19" s="3" t="n"/>
      <c r="H19" s="4" t="n"/>
      <c r="I19" s="4" t="n"/>
      <c r="J19" s="4" t="n"/>
      <c r="K19" s="5" t="n"/>
      <c r="L19" s="6">
        <f>IF(A19="","",B19*F19+G19)</f>
        <v/>
      </c>
      <c r="M19" s="7">
        <f>IF(A19="","",IFERROR((C19+D19+E19)/B19,0))</f>
        <v/>
      </c>
      <c r="N19" s="7">
        <f>IF(A19="","",IFERROR(L19/B19,0)+H19)</f>
        <v/>
      </c>
      <c r="O19" s="7">
        <f>IF(A19="","",M19+N19)</f>
        <v/>
      </c>
      <c r="P19" s="7">
        <f>IF(A19="","",IF(B19&gt;0,1-O19-I19,0))</f>
        <v/>
      </c>
      <c r="Q19" s="6">
        <f>IF(A19="","",B19*P19)</f>
        <v/>
      </c>
      <c r="R19" s="7">
        <f>IF(A19="","",IF(B19&gt;0,P19-J19,0))</f>
        <v/>
      </c>
      <c r="S19" s="6">
        <f>IF(A19="","",B19*R19)</f>
        <v/>
      </c>
      <c r="T19" s="8">
        <f>IF(A19="","",IF(K19&gt;0,S19*K19,""))</f>
        <v/>
      </c>
      <c r="U19" s="8">
        <f>IF(A19="","",IFERROR(B19/Q19,0))</f>
        <v/>
      </c>
      <c r="V19" s="9">
        <f>IF(A19="","",IF(OR(S19&lt;=0,Q19&lt;=0),"Drop",IF(P19&gt;=0.6,"Profit product",IF(P19&gt;=0.5,"Traffic product","Thin - rework"))))</f>
        <v/>
      </c>
    </row>
    <row r="20">
      <c r="B20" s="3" t="n"/>
      <c r="C20" s="3" t="n"/>
      <c r="D20" s="3" t="n"/>
      <c r="E20" s="3" t="n"/>
      <c r="F20" s="4" t="n"/>
      <c r="G20" s="3" t="n"/>
      <c r="H20" s="4" t="n"/>
      <c r="I20" s="4" t="n"/>
      <c r="J20" s="4" t="n"/>
      <c r="K20" s="5" t="n"/>
      <c r="L20" s="6">
        <f>IF(A20="","",B20*F20+G20)</f>
        <v/>
      </c>
      <c r="M20" s="7">
        <f>IF(A20="","",IFERROR((C20+D20+E20)/B20,0))</f>
        <v/>
      </c>
      <c r="N20" s="7">
        <f>IF(A20="","",IFERROR(L20/B20,0)+H20)</f>
        <v/>
      </c>
      <c r="O20" s="7">
        <f>IF(A20="","",M20+N20)</f>
        <v/>
      </c>
      <c r="P20" s="7">
        <f>IF(A20="","",IF(B20&gt;0,1-O20-I20,0))</f>
        <v/>
      </c>
      <c r="Q20" s="6">
        <f>IF(A20="","",B20*P20)</f>
        <v/>
      </c>
      <c r="R20" s="7">
        <f>IF(A20="","",IF(B20&gt;0,P20-J20,0))</f>
        <v/>
      </c>
      <c r="S20" s="6">
        <f>IF(A20="","",B20*R20)</f>
        <v/>
      </c>
      <c r="T20" s="8">
        <f>IF(A20="","",IF(K20&gt;0,S20*K20,""))</f>
        <v/>
      </c>
      <c r="U20" s="8">
        <f>IF(A20="","",IFERROR(B20/Q20,0))</f>
        <v/>
      </c>
      <c r="V20" s="9">
        <f>IF(A20="","",IF(OR(S20&lt;=0,Q20&lt;=0),"Drop",IF(P20&gt;=0.6,"Profit product",IF(P20&gt;=0.5,"Traffic product","Thin - rework"))))</f>
        <v/>
      </c>
    </row>
    <row r="21">
      <c r="B21" s="3" t="n"/>
      <c r="C21" s="3" t="n"/>
      <c r="D21" s="3" t="n"/>
      <c r="E21" s="3" t="n"/>
      <c r="F21" s="4" t="n"/>
      <c r="G21" s="3" t="n"/>
      <c r="H21" s="4" t="n"/>
      <c r="I21" s="4" t="n"/>
      <c r="J21" s="4" t="n"/>
      <c r="K21" s="5" t="n"/>
      <c r="L21" s="6">
        <f>IF(A21="","",B21*F21+G21)</f>
        <v/>
      </c>
      <c r="M21" s="7">
        <f>IF(A21="","",IFERROR((C21+D21+E21)/B21,0))</f>
        <v/>
      </c>
      <c r="N21" s="7">
        <f>IF(A21="","",IFERROR(L21/B21,0)+H21)</f>
        <v/>
      </c>
      <c r="O21" s="7">
        <f>IF(A21="","",M21+N21)</f>
        <v/>
      </c>
      <c r="P21" s="7">
        <f>IF(A21="","",IF(B21&gt;0,1-O21-I21,0))</f>
        <v/>
      </c>
      <c r="Q21" s="6">
        <f>IF(A21="","",B21*P21)</f>
        <v/>
      </c>
      <c r="R21" s="7">
        <f>IF(A21="","",IF(B21&gt;0,P21-J21,0))</f>
        <v/>
      </c>
      <c r="S21" s="6">
        <f>IF(A21="","",B21*R21)</f>
        <v/>
      </c>
      <c r="T21" s="8">
        <f>IF(A21="","",IF(K21&gt;0,S21*K21,""))</f>
        <v/>
      </c>
      <c r="U21" s="8">
        <f>IF(A21="","",IFERROR(B21/Q21,0))</f>
        <v/>
      </c>
      <c r="V21" s="9">
        <f>IF(A21="","",IF(OR(S21&lt;=0,Q21&lt;=0),"Drop",IF(P21&gt;=0.6,"Profit product",IF(P21&gt;=0.5,"Traffic product","Thin - rework"))))</f>
        <v/>
      </c>
    </row>
    <row r="22">
      <c r="B22" s="3" t="n"/>
      <c r="C22" s="3" t="n"/>
      <c r="D22" s="3" t="n"/>
      <c r="E22" s="3" t="n"/>
      <c r="F22" s="4" t="n"/>
      <c r="G22" s="3" t="n"/>
      <c r="H22" s="4" t="n"/>
      <c r="I22" s="4" t="n"/>
      <c r="J22" s="4" t="n"/>
      <c r="K22" s="5" t="n"/>
      <c r="L22" s="6">
        <f>IF(A22="","",B22*F22+G22)</f>
        <v/>
      </c>
      <c r="M22" s="7">
        <f>IF(A22="","",IFERROR((C22+D22+E22)/B22,0))</f>
        <v/>
      </c>
      <c r="N22" s="7">
        <f>IF(A22="","",IFERROR(L22/B22,0)+H22)</f>
        <v/>
      </c>
      <c r="O22" s="7">
        <f>IF(A22="","",M22+N22)</f>
        <v/>
      </c>
      <c r="P22" s="7">
        <f>IF(A22="","",IF(B22&gt;0,1-O22-I22,0))</f>
        <v/>
      </c>
      <c r="Q22" s="6">
        <f>IF(A22="","",B22*P22)</f>
        <v/>
      </c>
      <c r="R22" s="7">
        <f>IF(A22="","",IF(B22&gt;0,P22-J22,0))</f>
        <v/>
      </c>
      <c r="S22" s="6">
        <f>IF(A22="","",B22*R22)</f>
        <v/>
      </c>
      <c r="T22" s="8">
        <f>IF(A22="","",IF(K22&gt;0,S22*K22,""))</f>
        <v/>
      </c>
      <c r="U22" s="8">
        <f>IF(A22="","",IFERROR(B22/Q22,0))</f>
        <v/>
      </c>
      <c r="V22" s="9">
        <f>IF(A22="","",IF(OR(S22&lt;=0,Q22&lt;=0),"Drop",IF(P22&gt;=0.6,"Profit product",IF(P22&gt;=0.5,"Traffic product","Thin - rework"))))</f>
        <v/>
      </c>
    </row>
    <row r="23">
      <c r="B23" s="3" t="n"/>
      <c r="C23" s="3" t="n"/>
      <c r="D23" s="3" t="n"/>
      <c r="E23" s="3" t="n"/>
      <c r="F23" s="4" t="n"/>
      <c r="G23" s="3" t="n"/>
      <c r="H23" s="4" t="n"/>
      <c r="I23" s="4" t="n"/>
      <c r="J23" s="4" t="n"/>
      <c r="K23" s="5" t="n"/>
      <c r="L23" s="6">
        <f>IF(A23="","",B23*F23+G23)</f>
        <v/>
      </c>
      <c r="M23" s="7">
        <f>IF(A23="","",IFERROR((C23+D23+E23)/B23,0))</f>
        <v/>
      </c>
      <c r="N23" s="7">
        <f>IF(A23="","",IFERROR(L23/B23,0)+H23)</f>
        <v/>
      </c>
      <c r="O23" s="7">
        <f>IF(A23="","",M23+N23)</f>
        <v/>
      </c>
      <c r="P23" s="7">
        <f>IF(A23="","",IF(B23&gt;0,1-O23-I23,0))</f>
        <v/>
      </c>
      <c r="Q23" s="6">
        <f>IF(A23="","",B23*P23)</f>
        <v/>
      </c>
      <c r="R23" s="7">
        <f>IF(A23="","",IF(B23&gt;0,P23-J23,0))</f>
        <v/>
      </c>
      <c r="S23" s="6">
        <f>IF(A23="","",B23*R23)</f>
        <v/>
      </c>
      <c r="T23" s="8">
        <f>IF(A23="","",IF(K23&gt;0,S23*K23,""))</f>
        <v/>
      </c>
      <c r="U23" s="8">
        <f>IF(A23="","",IFERROR(B23/Q23,0))</f>
        <v/>
      </c>
      <c r="V23" s="9">
        <f>IF(A23="","",IF(OR(S23&lt;=0,Q23&lt;=0),"Drop",IF(P23&gt;=0.6,"Profit product",IF(P23&gt;=0.5,"Traffic product","Thin - rework"))))</f>
        <v/>
      </c>
    </row>
    <row r="24">
      <c r="B24" s="3" t="n"/>
      <c r="C24" s="3" t="n"/>
      <c r="D24" s="3" t="n"/>
      <c r="E24" s="3" t="n"/>
      <c r="F24" s="4" t="n"/>
      <c r="G24" s="3" t="n"/>
      <c r="H24" s="4" t="n"/>
      <c r="I24" s="4" t="n"/>
      <c r="J24" s="4" t="n"/>
      <c r="K24" s="5" t="n"/>
      <c r="L24" s="6">
        <f>IF(A24="","",B24*F24+G24)</f>
        <v/>
      </c>
      <c r="M24" s="7">
        <f>IF(A24="","",IFERROR((C24+D24+E24)/B24,0))</f>
        <v/>
      </c>
      <c r="N24" s="7">
        <f>IF(A24="","",IFERROR(L24/B24,0)+H24)</f>
        <v/>
      </c>
      <c r="O24" s="7">
        <f>IF(A24="","",M24+N24)</f>
        <v/>
      </c>
      <c r="P24" s="7">
        <f>IF(A24="","",IF(B24&gt;0,1-O24-I24,0))</f>
        <v/>
      </c>
      <c r="Q24" s="6">
        <f>IF(A24="","",B24*P24)</f>
        <v/>
      </c>
      <c r="R24" s="7">
        <f>IF(A24="","",IF(B24&gt;0,P24-J24,0))</f>
        <v/>
      </c>
      <c r="S24" s="6">
        <f>IF(A24="","",B24*R24)</f>
        <v/>
      </c>
      <c r="T24" s="8">
        <f>IF(A24="","",IF(K24&gt;0,S24*K24,""))</f>
        <v/>
      </c>
      <c r="U24" s="8">
        <f>IF(A24="","",IFERROR(B24/Q24,0))</f>
        <v/>
      </c>
      <c r="V24" s="9">
        <f>IF(A24="","",IF(OR(S24&lt;=0,Q24&lt;=0),"Drop",IF(P24&gt;=0.6,"Profit product",IF(P24&gt;=0.5,"Traffic product","Thin - rework"))))</f>
        <v/>
      </c>
    </row>
    <row r="25">
      <c r="B25" s="3" t="n"/>
      <c r="C25" s="3" t="n"/>
      <c r="D25" s="3" t="n"/>
      <c r="E25" s="3" t="n"/>
      <c r="F25" s="4" t="n"/>
      <c r="G25" s="3" t="n"/>
      <c r="H25" s="4" t="n"/>
      <c r="I25" s="4" t="n"/>
      <c r="J25" s="4" t="n"/>
      <c r="K25" s="5" t="n"/>
      <c r="L25" s="6">
        <f>IF(A25="","",B25*F25+G25)</f>
        <v/>
      </c>
      <c r="M25" s="7">
        <f>IF(A25="","",IFERROR((C25+D25+E25)/B25,0))</f>
        <v/>
      </c>
      <c r="N25" s="7">
        <f>IF(A25="","",IFERROR(L25/B25,0)+H25)</f>
        <v/>
      </c>
      <c r="O25" s="7">
        <f>IF(A25="","",M25+N25)</f>
        <v/>
      </c>
      <c r="P25" s="7">
        <f>IF(A25="","",IF(B25&gt;0,1-O25-I25,0))</f>
        <v/>
      </c>
      <c r="Q25" s="6">
        <f>IF(A25="","",B25*P25)</f>
        <v/>
      </c>
      <c r="R25" s="7">
        <f>IF(A25="","",IF(B25&gt;0,P25-J25,0))</f>
        <v/>
      </c>
      <c r="S25" s="6">
        <f>IF(A25="","",B25*R25)</f>
        <v/>
      </c>
      <c r="T25" s="8">
        <f>IF(A25="","",IF(K25&gt;0,S25*K25,""))</f>
        <v/>
      </c>
      <c r="U25" s="8">
        <f>IF(A25="","",IFERROR(B25/Q25,0))</f>
        <v/>
      </c>
      <c r="V25" s="9">
        <f>IF(A25="","",IF(OR(S25&lt;=0,Q25&lt;=0),"Drop",IF(P25&gt;=0.6,"Profit product",IF(P25&gt;=0.5,"Traffic product","Thin - rework"))))</f>
        <v/>
      </c>
    </row>
    <row r="26">
      <c r="B26" s="3" t="n"/>
      <c r="C26" s="3" t="n"/>
      <c r="D26" s="3" t="n"/>
      <c r="E26" s="3" t="n"/>
      <c r="F26" s="4" t="n"/>
      <c r="G26" s="3" t="n"/>
      <c r="H26" s="4" t="n"/>
      <c r="I26" s="4" t="n"/>
      <c r="J26" s="4" t="n"/>
      <c r="K26" s="5" t="n"/>
      <c r="L26" s="6">
        <f>IF(A26="","",B26*F26+G26)</f>
        <v/>
      </c>
      <c r="M26" s="7">
        <f>IF(A26="","",IFERROR((C26+D26+E26)/B26,0))</f>
        <v/>
      </c>
      <c r="N26" s="7">
        <f>IF(A26="","",IFERROR(L26/B26,0)+H26)</f>
        <v/>
      </c>
      <c r="O26" s="7">
        <f>IF(A26="","",M26+N26)</f>
        <v/>
      </c>
      <c r="P26" s="7">
        <f>IF(A26="","",IF(B26&gt;0,1-O26-I26,0))</f>
        <v/>
      </c>
      <c r="Q26" s="6">
        <f>IF(A26="","",B26*P26)</f>
        <v/>
      </c>
      <c r="R26" s="7">
        <f>IF(A26="","",IF(B26&gt;0,P26-J26,0))</f>
        <v/>
      </c>
      <c r="S26" s="6">
        <f>IF(A26="","",B26*R26)</f>
        <v/>
      </c>
      <c r="T26" s="8">
        <f>IF(A26="","",IF(K26&gt;0,S26*K26,""))</f>
        <v/>
      </c>
      <c r="U26" s="8">
        <f>IF(A26="","",IFERROR(B26/Q26,0))</f>
        <v/>
      </c>
      <c r="V26" s="9">
        <f>IF(A26="","",IF(OR(S26&lt;=0,Q26&lt;=0),"Drop",IF(P26&gt;=0.6,"Profit product",IF(P26&gt;=0.5,"Traffic product","Thin - rework"))))</f>
        <v/>
      </c>
    </row>
    <row r="27">
      <c r="B27" s="3" t="n"/>
      <c r="C27" s="3" t="n"/>
      <c r="D27" s="3" t="n"/>
      <c r="E27" s="3" t="n"/>
      <c r="F27" s="4" t="n"/>
      <c r="G27" s="3" t="n"/>
      <c r="H27" s="4" t="n"/>
      <c r="I27" s="4" t="n"/>
      <c r="J27" s="4" t="n"/>
      <c r="K27" s="5" t="n"/>
      <c r="L27" s="6">
        <f>IF(A27="","",B27*F27+G27)</f>
        <v/>
      </c>
      <c r="M27" s="7">
        <f>IF(A27="","",IFERROR((C27+D27+E27)/B27,0))</f>
        <v/>
      </c>
      <c r="N27" s="7">
        <f>IF(A27="","",IFERROR(L27/B27,0)+H27)</f>
        <v/>
      </c>
      <c r="O27" s="7">
        <f>IF(A27="","",M27+N27)</f>
        <v/>
      </c>
      <c r="P27" s="7">
        <f>IF(A27="","",IF(B27&gt;0,1-O27-I27,0))</f>
        <v/>
      </c>
      <c r="Q27" s="6">
        <f>IF(A27="","",B27*P27)</f>
        <v/>
      </c>
      <c r="R27" s="7">
        <f>IF(A27="","",IF(B27&gt;0,P27-J27,0))</f>
        <v/>
      </c>
      <c r="S27" s="6">
        <f>IF(A27="","",B27*R27)</f>
        <v/>
      </c>
      <c r="T27" s="8">
        <f>IF(A27="","",IF(K27&gt;0,S27*K27,""))</f>
        <v/>
      </c>
      <c r="U27" s="8">
        <f>IF(A27="","",IFERROR(B27/Q27,0))</f>
        <v/>
      </c>
      <c r="V27" s="9">
        <f>IF(A27="","",IF(OR(S27&lt;=0,Q27&lt;=0),"Drop",IF(P27&gt;=0.6,"Profit product",IF(P27&gt;=0.5,"Traffic product","Thin - rework"))))</f>
        <v/>
      </c>
    </row>
    <row r="28">
      <c r="B28" s="3" t="n"/>
      <c r="C28" s="3" t="n"/>
      <c r="D28" s="3" t="n"/>
      <c r="E28" s="3" t="n"/>
      <c r="F28" s="4" t="n"/>
      <c r="G28" s="3" t="n"/>
      <c r="H28" s="4" t="n"/>
      <c r="I28" s="4" t="n"/>
      <c r="J28" s="4" t="n"/>
      <c r="K28" s="5" t="n"/>
      <c r="L28" s="6">
        <f>IF(A28="","",B28*F28+G28)</f>
        <v/>
      </c>
      <c r="M28" s="7">
        <f>IF(A28="","",IFERROR((C28+D28+E28)/B28,0))</f>
        <v/>
      </c>
      <c r="N28" s="7">
        <f>IF(A28="","",IFERROR(L28/B28,0)+H28)</f>
        <v/>
      </c>
      <c r="O28" s="7">
        <f>IF(A28="","",M28+N28)</f>
        <v/>
      </c>
      <c r="P28" s="7">
        <f>IF(A28="","",IF(B28&gt;0,1-O28-I28,0))</f>
        <v/>
      </c>
      <c r="Q28" s="6">
        <f>IF(A28="","",B28*P28)</f>
        <v/>
      </c>
      <c r="R28" s="7">
        <f>IF(A28="","",IF(B28&gt;0,P28-J28,0))</f>
        <v/>
      </c>
      <c r="S28" s="6">
        <f>IF(A28="","",B28*R28)</f>
        <v/>
      </c>
      <c r="T28" s="8">
        <f>IF(A28="","",IF(K28&gt;0,S28*K28,""))</f>
        <v/>
      </c>
      <c r="U28" s="8">
        <f>IF(A28="","",IFERROR(B28/Q28,0))</f>
        <v/>
      </c>
      <c r="V28" s="9">
        <f>IF(A28="","",IF(OR(S28&lt;=0,Q28&lt;=0),"Drop",IF(P28&gt;=0.6,"Profit product",IF(P28&gt;=0.5,"Traffic product","Thin - rework"))))</f>
        <v/>
      </c>
    </row>
    <row r="29">
      <c r="B29" s="3" t="n"/>
      <c r="C29" s="3" t="n"/>
      <c r="D29" s="3" t="n"/>
      <c r="E29" s="3" t="n"/>
      <c r="F29" s="4" t="n"/>
      <c r="G29" s="3" t="n"/>
      <c r="H29" s="4" t="n"/>
      <c r="I29" s="4" t="n"/>
      <c r="J29" s="4" t="n"/>
      <c r="K29" s="5" t="n"/>
      <c r="L29" s="6">
        <f>IF(A29="","",B29*F29+G29)</f>
        <v/>
      </c>
      <c r="M29" s="7">
        <f>IF(A29="","",IFERROR((C29+D29+E29)/B29,0))</f>
        <v/>
      </c>
      <c r="N29" s="7">
        <f>IF(A29="","",IFERROR(L29/B29,0)+H29)</f>
        <v/>
      </c>
      <c r="O29" s="7">
        <f>IF(A29="","",M29+N29)</f>
        <v/>
      </c>
      <c r="P29" s="7">
        <f>IF(A29="","",IF(B29&gt;0,1-O29-I29,0))</f>
        <v/>
      </c>
      <c r="Q29" s="6">
        <f>IF(A29="","",B29*P29)</f>
        <v/>
      </c>
      <c r="R29" s="7">
        <f>IF(A29="","",IF(B29&gt;0,P29-J29,0))</f>
        <v/>
      </c>
      <c r="S29" s="6">
        <f>IF(A29="","",B29*R29)</f>
        <v/>
      </c>
      <c r="T29" s="8">
        <f>IF(A29="","",IF(K29&gt;0,S29*K29,""))</f>
        <v/>
      </c>
      <c r="U29" s="8">
        <f>IF(A29="","",IFERROR(B29/Q29,0))</f>
        <v/>
      </c>
      <c r="V29" s="9">
        <f>IF(A29="","",IF(OR(S29&lt;=0,Q29&lt;=0),"Drop",IF(P29&gt;=0.6,"Profit product",IF(P29&gt;=0.5,"Traffic product","Thin - rework"))))</f>
        <v/>
      </c>
    </row>
    <row r="30">
      <c r="B30" s="3" t="n"/>
      <c r="C30" s="3" t="n"/>
      <c r="D30" s="3" t="n"/>
      <c r="E30" s="3" t="n"/>
      <c r="F30" s="4" t="n"/>
      <c r="G30" s="3" t="n"/>
      <c r="H30" s="4" t="n"/>
      <c r="I30" s="4" t="n"/>
      <c r="J30" s="4" t="n"/>
      <c r="K30" s="5" t="n"/>
      <c r="L30" s="6">
        <f>IF(A30="","",B30*F30+G30)</f>
        <v/>
      </c>
      <c r="M30" s="7">
        <f>IF(A30="","",IFERROR((C30+D30+E30)/B30,0))</f>
        <v/>
      </c>
      <c r="N30" s="7">
        <f>IF(A30="","",IFERROR(L30/B30,0)+H30)</f>
        <v/>
      </c>
      <c r="O30" s="7">
        <f>IF(A30="","",M30+N30)</f>
        <v/>
      </c>
      <c r="P30" s="7">
        <f>IF(A30="","",IF(B30&gt;0,1-O30-I30,0))</f>
        <v/>
      </c>
      <c r="Q30" s="6">
        <f>IF(A30="","",B30*P30)</f>
        <v/>
      </c>
      <c r="R30" s="7">
        <f>IF(A30="","",IF(B30&gt;0,P30-J30,0))</f>
        <v/>
      </c>
      <c r="S30" s="6">
        <f>IF(A30="","",B30*R30)</f>
        <v/>
      </c>
      <c r="T30" s="8">
        <f>IF(A30="","",IF(K30&gt;0,S30*K30,""))</f>
        <v/>
      </c>
      <c r="U30" s="8">
        <f>IF(A30="","",IFERROR(B30/Q30,0))</f>
        <v/>
      </c>
      <c r="V30" s="9">
        <f>IF(A30="","",IF(OR(S30&lt;=0,Q30&lt;=0),"Drop",IF(P30&gt;=0.6,"Profit product",IF(P30&gt;=0.5,"Traffic product","Thin - rework"))))</f>
        <v/>
      </c>
    </row>
    <row r="31">
      <c r="B31" s="3" t="n"/>
      <c r="C31" s="3" t="n"/>
      <c r="D31" s="3" t="n"/>
      <c r="E31" s="3" t="n"/>
      <c r="F31" s="4" t="n"/>
      <c r="G31" s="3" t="n"/>
      <c r="H31" s="4" t="n"/>
      <c r="I31" s="4" t="n"/>
      <c r="J31" s="4" t="n"/>
      <c r="K31" s="5" t="n"/>
      <c r="L31" s="6">
        <f>IF(A31="","",B31*F31+G31)</f>
        <v/>
      </c>
      <c r="M31" s="7">
        <f>IF(A31="","",IFERROR((C31+D31+E31)/B31,0))</f>
        <v/>
      </c>
      <c r="N31" s="7">
        <f>IF(A31="","",IFERROR(L31/B31,0)+H31)</f>
        <v/>
      </c>
      <c r="O31" s="7">
        <f>IF(A31="","",M31+N31)</f>
        <v/>
      </c>
      <c r="P31" s="7">
        <f>IF(A31="","",IF(B31&gt;0,1-O31-I31,0))</f>
        <v/>
      </c>
      <c r="Q31" s="6">
        <f>IF(A31="","",B31*P31)</f>
        <v/>
      </c>
      <c r="R31" s="7">
        <f>IF(A31="","",IF(B31&gt;0,P31-J31,0))</f>
        <v/>
      </c>
      <c r="S31" s="6">
        <f>IF(A31="","",B31*R31)</f>
        <v/>
      </c>
      <c r="T31" s="8">
        <f>IF(A31="","",IF(K31&gt;0,S31*K31,""))</f>
        <v/>
      </c>
      <c r="U31" s="8">
        <f>IF(A31="","",IFERROR(B31/Q31,0))</f>
        <v/>
      </c>
      <c r="V31" s="9">
        <f>IF(A31="","",IF(OR(S31&lt;=0,Q31&lt;=0),"Drop",IF(P31&gt;=0.6,"Profit product",IF(P31&gt;=0.5,"Traffic product","Thin - rework"))))</f>
        <v/>
      </c>
    </row>
    <row r="32">
      <c r="B32" s="3" t="n"/>
      <c r="C32" s="3" t="n"/>
      <c r="D32" s="3" t="n"/>
      <c r="E32" s="3" t="n"/>
      <c r="F32" s="4" t="n"/>
      <c r="G32" s="3" t="n"/>
      <c r="H32" s="4" t="n"/>
      <c r="I32" s="4" t="n"/>
      <c r="J32" s="4" t="n"/>
      <c r="K32" s="5" t="n"/>
      <c r="L32" s="6">
        <f>IF(A32="","",B32*F32+G32)</f>
        <v/>
      </c>
      <c r="M32" s="7">
        <f>IF(A32="","",IFERROR((C32+D32+E32)/B32,0))</f>
        <v/>
      </c>
      <c r="N32" s="7">
        <f>IF(A32="","",IFERROR(L32/B32,0)+H32)</f>
        <v/>
      </c>
      <c r="O32" s="7">
        <f>IF(A32="","",M32+N32)</f>
        <v/>
      </c>
      <c r="P32" s="7">
        <f>IF(A32="","",IF(B32&gt;0,1-O32-I32,0))</f>
        <v/>
      </c>
      <c r="Q32" s="6">
        <f>IF(A32="","",B32*P32)</f>
        <v/>
      </c>
      <c r="R32" s="7">
        <f>IF(A32="","",IF(B32&gt;0,P32-J32,0))</f>
        <v/>
      </c>
      <c r="S32" s="6">
        <f>IF(A32="","",B32*R32)</f>
        <v/>
      </c>
      <c r="T32" s="8">
        <f>IF(A32="","",IF(K32&gt;0,S32*K32,""))</f>
        <v/>
      </c>
      <c r="U32" s="8">
        <f>IF(A32="","",IFERROR(B32/Q32,0))</f>
        <v/>
      </c>
      <c r="V32" s="9">
        <f>IF(A32="","",IF(OR(S32&lt;=0,Q32&lt;=0),"Drop",IF(P32&gt;=0.6,"Profit product",IF(P32&gt;=0.5,"Traffic product","Thin - rework"))))</f>
        <v/>
      </c>
    </row>
    <row r="33">
      <c r="B33" s="3" t="n"/>
      <c r="C33" s="3" t="n"/>
      <c r="D33" s="3" t="n"/>
      <c r="E33" s="3" t="n"/>
      <c r="F33" s="4" t="n"/>
      <c r="G33" s="3" t="n"/>
      <c r="H33" s="4" t="n"/>
      <c r="I33" s="4" t="n"/>
      <c r="J33" s="4" t="n"/>
      <c r="K33" s="5" t="n"/>
      <c r="L33" s="6">
        <f>IF(A33="","",B33*F33+G33)</f>
        <v/>
      </c>
      <c r="M33" s="7">
        <f>IF(A33="","",IFERROR((C33+D33+E33)/B33,0))</f>
        <v/>
      </c>
      <c r="N33" s="7">
        <f>IF(A33="","",IFERROR(L33/B33,0)+H33)</f>
        <v/>
      </c>
      <c r="O33" s="7">
        <f>IF(A33="","",M33+N33)</f>
        <v/>
      </c>
      <c r="P33" s="7">
        <f>IF(A33="","",IF(B33&gt;0,1-O33-I33,0))</f>
        <v/>
      </c>
      <c r="Q33" s="6">
        <f>IF(A33="","",B33*P33)</f>
        <v/>
      </c>
      <c r="R33" s="7">
        <f>IF(A33="","",IF(B33&gt;0,P33-J33,0))</f>
        <v/>
      </c>
      <c r="S33" s="6">
        <f>IF(A33="","",B33*R33)</f>
        <v/>
      </c>
      <c r="T33" s="8">
        <f>IF(A33="","",IF(K33&gt;0,S33*K33,""))</f>
        <v/>
      </c>
      <c r="U33" s="8">
        <f>IF(A33="","",IFERROR(B33/Q33,0))</f>
        <v/>
      </c>
      <c r="V33" s="9">
        <f>IF(A33="","",IF(OR(S33&lt;=0,Q33&lt;=0),"Drop",IF(P33&gt;=0.6,"Profit product",IF(P33&gt;=0.5,"Traffic product","Thin - rework"))))</f>
        <v/>
      </c>
    </row>
    <row r="34">
      <c r="B34" s="3" t="n"/>
      <c r="C34" s="3" t="n"/>
      <c r="D34" s="3" t="n"/>
      <c r="E34" s="3" t="n"/>
      <c r="F34" s="4" t="n"/>
      <c r="G34" s="3" t="n"/>
      <c r="H34" s="4" t="n"/>
      <c r="I34" s="4" t="n"/>
      <c r="J34" s="4" t="n"/>
      <c r="K34" s="5" t="n"/>
      <c r="L34" s="6">
        <f>IF(A34="","",B34*F34+G34)</f>
        <v/>
      </c>
      <c r="M34" s="7">
        <f>IF(A34="","",IFERROR((C34+D34+E34)/B34,0))</f>
        <v/>
      </c>
      <c r="N34" s="7">
        <f>IF(A34="","",IFERROR(L34/B34,0)+H34)</f>
        <v/>
      </c>
      <c r="O34" s="7">
        <f>IF(A34="","",M34+N34)</f>
        <v/>
      </c>
      <c r="P34" s="7">
        <f>IF(A34="","",IF(B34&gt;0,1-O34-I34,0))</f>
        <v/>
      </c>
      <c r="Q34" s="6">
        <f>IF(A34="","",B34*P34)</f>
        <v/>
      </c>
      <c r="R34" s="7">
        <f>IF(A34="","",IF(B34&gt;0,P34-J34,0))</f>
        <v/>
      </c>
      <c r="S34" s="6">
        <f>IF(A34="","",B34*R34)</f>
        <v/>
      </c>
      <c r="T34" s="8">
        <f>IF(A34="","",IF(K34&gt;0,S34*K34,""))</f>
        <v/>
      </c>
      <c r="U34" s="8">
        <f>IF(A34="","",IFERROR(B34/Q34,0))</f>
        <v/>
      </c>
      <c r="V34" s="9">
        <f>IF(A34="","",IF(OR(S34&lt;=0,Q34&lt;=0),"Drop",IF(P34&gt;=0.6,"Profit product",IF(P34&gt;=0.5,"Traffic product","Thin - rework"))))</f>
        <v/>
      </c>
    </row>
    <row r="35">
      <c r="B35" s="3" t="n"/>
      <c r="C35" s="3" t="n"/>
      <c r="D35" s="3" t="n"/>
      <c r="E35" s="3" t="n"/>
      <c r="F35" s="4" t="n"/>
      <c r="G35" s="3" t="n"/>
      <c r="H35" s="4" t="n"/>
      <c r="I35" s="4" t="n"/>
      <c r="J35" s="4" t="n"/>
      <c r="K35" s="5" t="n"/>
      <c r="L35" s="6">
        <f>IF(A35="","",B35*F35+G35)</f>
        <v/>
      </c>
      <c r="M35" s="7">
        <f>IF(A35="","",IFERROR((C35+D35+E35)/B35,0))</f>
        <v/>
      </c>
      <c r="N35" s="7">
        <f>IF(A35="","",IFERROR(L35/B35,0)+H35)</f>
        <v/>
      </c>
      <c r="O35" s="7">
        <f>IF(A35="","",M35+N35)</f>
        <v/>
      </c>
      <c r="P35" s="7">
        <f>IF(A35="","",IF(B35&gt;0,1-O35-I35,0))</f>
        <v/>
      </c>
      <c r="Q35" s="6">
        <f>IF(A35="","",B35*P35)</f>
        <v/>
      </c>
      <c r="R35" s="7">
        <f>IF(A35="","",IF(B35&gt;0,P35-J35,0))</f>
        <v/>
      </c>
      <c r="S35" s="6">
        <f>IF(A35="","",B35*R35)</f>
        <v/>
      </c>
      <c r="T35" s="8">
        <f>IF(A35="","",IF(K35&gt;0,S35*K35,""))</f>
        <v/>
      </c>
      <c r="U35" s="8">
        <f>IF(A35="","",IFERROR(B35/Q35,0))</f>
        <v/>
      </c>
      <c r="V35" s="9">
        <f>IF(A35="","",IF(OR(S35&lt;=0,Q35&lt;=0),"Drop",IF(P35&gt;=0.6,"Profit product",IF(P35&gt;=0.5,"Traffic product","Thin - rework"))))</f>
        <v/>
      </c>
    </row>
    <row r="36">
      <c r="B36" s="3" t="n"/>
      <c r="C36" s="3" t="n"/>
      <c r="D36" s="3" t="n"/>
      <c r="E36" s="3" t="n"/>
      <c r="F36" s="4" t="n"/>
      <c r="G36" s="3" t="n"/>
      <c r="H36" s="4" t="n"/>
      <c r="I36" s="4" t="n"/>
      <c r="J36" s="4" t="n"/>
      <c r="K36" s="5" t="n"/>
      <c r="L36" s="6">
        <f>IF(A36="","",B36*F36+G36)</f>
        <v/>
      </c>
      <c r="M36" s="7">
        <f>IF(A36="","",IFERROR((C36+D36+E36)/B36,0))</f>
        <v/>
      </c>
      <c r="N36" s="7">
        <f>IF(A36="","",IFERROR(L36/B36,0)+H36)</f>
        <v/>
      </c>
      <c r="O36" s="7">
        <f>IF(A36="","",M36+N36)</f>
        <v/>
      </c>
      <c r="P36" s="7">
        <f>IF(A36="","",IF(B36&gt;0,1-O36-I36,0))</f>
        <v/>
      </c>
      <c r="Q36" s="6">
        <f>IF(A36="","",B36*P36)</f>
        <v/>
      </c>
      <c r="R36" s="7">
        <f>IF(A36="","",IF(B36&gt;0,P36-J36,0))</f>
        <v/>
      </c>
      <c r="S36" s="6">
        <f>IF(A36="","",B36*R36)</f>
        <v/>
      </c>
      <c r="T36" s="8">
        <f>IF(A36="","",IF(K36&gt;0,S36*K36,""))</f>
        <v/>
      </c>
      <c r="U36" s="8">
        <f>IF(A36="","",IFERROR(B36/Q36,0))</f>
        <v/>
      </c>
      <c r="V36" s="9">
        <f>IF(A36="","",IF(OR(S36&lt;=0,Q36&lt;=0),"Drop",IF(P36&gt;=0.6,"Profit product",IF(P36&gt;=0.5,"Traffic product","Thin - rework"))))</f>
        <v/>
      </c>
    </row>
    <row r="37">
      <c r="B37" s="3" t="n"/>
      <c r="C37" s="3" t="n"/>
      <c r="D37" s="3" t="n"/>
      <c r="E37" s="3" t="n"/>
      <c r="F37" s="4" t="n"/>
      <c r="G37" s="3" t="n"/>
      <c r="H37" s="4" t="n"/>
      <c r="I37" s="4" t="n"/>
      <c r="J37" s="4" t="n"/>
      <c r="K37" s="5" t="n"/>
      <c r="L37" s="6">
        <f>IF(A37="","",B37*F37+G37)</f>
        <v/>
      </c>
      <c r="M37" s="7">
        <f>IF(A37="","",IFERROR((C37+D37+E37)/B37,0))</f>
        <v/>
      </c>
      <c r="N37" s="7">
        <f>IF(A37="","",IFERROR(L37/B37,0)+H37)</f>
        <v/>
      </c>
      <c r="O37" s="7">
        <f>IF(A37="","",M37+N37)</f>
        <v/>
      </c>
      <c r="P37" s="7">
        <f>IF(A37="","",IF(B37&gt;0,1-O37-I37,0))</f>
        <v/>
      </c>
      <c r="Q37" s="6">
        <f>IF(A37="","",B37*P37)</f>
        <v/>
      </c>
      <c r="R37" s="7">
        <f>IF(A37="","",IF(B37&gt;0,P37-J37,0))</f>
        <v/>
      </c>
      <c r="S37" s="6">
        <f>IF(A37="","",B37*R37)</f>
        <v/>
      </c>
      <c r="T37" s="8">
        <f>IF(A37="","",IF(K37&gt;0,S37*K37,""))</f>
        <v/>
      </c>
      <c r="U37" s="8">
        <f>IF(A37="","",IFERROR(B37/Q37,0))</f>
        <v/>
      </c>
      <c r="V37" s="9">
        <f>IF(A37="","",IF(OR(S37&lt;=0,Q37&lt;=0),"Drop",IF(P37&gt;=0.6,"Profit product",IF(P37&gt;=0.5,"Traffic product","Thin - rework"))))</f>
        <v/>
      </c>
    </row>
    <row r="38">
      <c r="B38" s="3" t="n"/>
      <c r="C38" s="3" t="n"/>
      <c r="D38" s="3" t="n"/>
      <c r="E38" s="3" t="n"/>
      <c r="F38" s="4" t="n"/>
      <c r="G38" s="3" t="n"/>
      <c r="H38" s="4" t="n"/>
      <c r="I38" s="4" t="n"/>
      <c r="J38" s="4" t="n"/>
      <c r="K38" s="5" t="n"/>
      <c r="L38" s="6">
        <f>IF(A38="","",B38*F38+G38)</f>
        <v/>
      </c>
      <c r="M38" s="7">
        <f>IF(A38="","",IFERROR((C38+D38+E38)/B38,0))</f>
        <v/>
      </c>
      <c r="N38" s="7">
        <f>IF(A38="","",IFERROR(L38/B38,0)+H38)</f>
        <v/>
      </c>
      <c r="O38" s="7">
        <f>IF(A38="","",M38+N38)</f>
        <v/>
      </c>
      <c r="P38" s="7">
        <f>IF(A38="","",IF(B38&gt;0,1-O38-I38,0))</f>
        <v/>
      </c>
      <c r="Q38" s="6">
        <f>IF(A38="","",B38*P38)</f>
        <v/>
      </c>
      <c r="R38" s="7">
        <f>IF(A38="","",IF(B38&gt;0,P38-J38,0))</f>
        <v/>
      </c>
      <c r="S38" s="6">
        <f>IF(A38="","",B38*R38)</f>
        <v/>
      </c>
      <c r="T38" s="8">
        <f>IF(A38="","",IF(K38&gt;0,S38*K38,""))</f>
        <v/>
      </c>
      <c r="U38" s="8">
        <f>IF(A38="","",IFERROR(B38/Q38,0))</f>
        <v/>
      </c>
      <c r="V38" s="9">
        <f>IF(A38="","",IF(OR(S38&lt;=0,Q38&lt;=0),"Drop",IF(P38&gt;=0.6,"Profit product",IF(P38&gt;=0.5,"Traffic product","Thin - rework"))))</f>
        <v/>
      </c>
    </row>
    <row r="39">
      <c r="B39" s="3" t="n"/>
      <c r="C39" s="3" t="n"/>
      <c r="D39" s="3" t="n"/>
      <c r="E39" s="3" t="n"/>
      <c r="F39" s="4" t="n"/>
      <c r="G39" s="3" t="n"/>
      <c r="H39" s="4" t="n"/>
      <c r="I39" s="4" t="n"/>
      <c r="J39" s="4" t="n"/>
      <c r="K39" s="5" t="n"/>
      <c r="L39" s="6">
        <f>IF(A39="","",B39*F39+G39)</f>
        <v/>
      </c>
      <c r="M39" s="7">
        <f>IF(A39="","",IFERROR((C39+D39+E39)/B39,0))</f>
        <v/>
      </c>
      <c r="N39" s="7">
        <f>IF(A39="","",IFERROR(L39/B39,0)+H39)</f>
        <v/>
      </c>
      <c r="O39" s="7">
        <f>IF(A39="","",M39+N39)</f>
        <v/>
      </c>
      <c r="P39" s="7">
        <f>IF(A39="","",IF(B39&gt;0,1-O39-I39,0))</f>
        <v/>
      </c>
      <c r="Q39" s="6">
        <f>IF(A39="","",B39*P39)</f>
        <v/>
      </c>
      <c r="R39" s="7">
        <f>IF(A39="","",IF(B39&gt;0,P39-J39,0))</f>
        <v/>
      </c>
      <c r="S39" s="6">
        <f>IF(A39="","",B39*R39)</f>
        <v/>
      </c>
      <c r="T39" s="8">
        <f>IF(A39="","",IF(K39&gt;0,S39*K39,""))</f>
        <v/>
      </c>
      <c r="U39" s="8">
        <f>IF(A39="","",IFERROR(B39/Q39,0))</f>
        <v/>
      </c>
      <c r="V39" s="9">
        <f>IF(A39="","",IF(OR(S39&lt;=0,Q39&lt;=0),"Drop",IF(P39&gt;=0.6,"Profit product",IF(P39&gt;=0.5,"Traffic product","Thin - rework"))))</f>
        <v/>
      </c>
    </row>
    <row r="40">
      <c r="B40" s="3" t="n"/>
      <c r="C40" s="3" t="n"/>
      <c r="D40" s="3" t="n"/>
      <c r="E40" s="3" t="n"/>
      <c r="F40" s="4" t="n"/>
      <c r="G40" s="3" t="n"/>
      <c r="H40" s="4" t="n"/>
      <c r="I40" s="4" t="n"/>
      <c r="J40" s="4" t="n"/>
      <c r="K40" s="5" t="n"/>
      <c r="L40" s="6">
        <f>IF(A40="","",B40*F40+G40)</f>
        <v/>
      </c>
      <c r="M40" s="7">
        <f>IF(A40="","",IFERROR((C40+D40+E40)/B40,0))</f>
        <v/>
      </c>
      <c r="N40" s="7">
        <f>IF(A40="","",IFERROR(L40/B40,0)+H40)</f>
        <v/>
      </c>
      <c r="O40" s="7">
        <f>IF(A40="","",M40+N40)</f>
        <v/>
      </c>
      <c r="P40" s="7">
        <f>IF(A40="","",IF(B40&gt;0,1-O40-I40,0))</f>
        <v/>
      </c>
      <c r="Q40" s="6">
        <f>IF(A40="","",B40*P40)</f>
        <v/>
      </c>
      <c r="R40" s="7">
        <f>IF(A40="","",IF(B40&gt;0,P40-J40,0))</f>
        <v/>
      </c>
      <c r="S40" s="6">
        <f>IF(A40="","",B40*R40)</f>
        <v/>
      </c>
      <c r="T40" s="8">
        <f>IF(A40="","",IF(K40&gt;0,S40*K40,""))</f>
        <v/>
      </c>
      <c r="U40" s="8">
        <f>IF(A40="","",IFERROR(B40/Q40,0))</f>
        <v/>
      </c>
      <c r="V40" s="9">
        <f>IF(A40="","",IF(OR(S40&lt;=0,Q40&lt;=0),"Drop",IF(P40&gt;=0.6,"Profit product",IF(P40&gt;=0.5,"Traffic product","Thin - rework"))))</f>
        <v/>
      </c>
    </row>
    <row r="41">
      <c r="B41" s="3" t="n"/>
      <c r="C41" s="3" t="n"/>
      <c r="D41" s="3" t="n"/>
      <c r="E41" s="3" t="n"/>
      <c r="F41" s="4" t="n"/>
      <c r="G41" s="3" t="n"/>
      <c r="H41" s="4" t="n"/>
      <c r="I41" s="4" t="n"/>
      <c r="J41" s="4" t="n"/>
      <c r="K41" s="5" t="n"/>
      <c r="L41" s="6">
        <f>IF(A41="","",B41*F41+G41)</f>
        <v/>
      </c>
      <c r="M41" s="7">
        <f>IF(A41="","",IFERROR((C41+D41+E41)/B41,0))</f>
        <v/>
      </c>
      <c r="N41" s="7">
        <f>IF(A41="","",IFERROR(L41/B41,0)+H41)</f>
        <v/>
      </c>
      <c r="O41" s="7">
        <f>IF(A41="","",M41+N41)</f>
        <v/>
      </c>
      <c r="P41" s="7">
        <f>IF(A41="","",IF(B41&gt;0,1-O41-I41,0))</f>
        <v/>
      </c>
      <c r="Q41" s="6">
        <f>IF(A41="","",B41*P41)</f>
        <v/>
      </c>
      <c r="R41" s="7">
        <f>IF(A41="","",IF(B41&gt;0,P41-J41,0))</f>
        <v/>
      </c>
      <c r="S41" s="6">
        <f>IF(A41="","",B41*R41)</f>
        <v/>
      </c>
      <c r="T41" s="8">
        <f>IF(A41="","",IF(K41&gt;0,S41*K41,""))</f>
        <v/>
      </c>
      <c r="U41" s="8">
        <f>IF(A41="","",IFERROR(B41/Q41,0))</f>
        <v/>
      </c>
      <c r="V41" s="9">
        <f>IF(A41="","",IF(OR(S41&lt;=0,Q41&lt;=0),"Drop",IF(P41&gt;=0.6,"Profit product",IF(P41&gt;=0.5,"Traffic product","Thin - rework"))))</f>
        <v/>
      </c>
    </row>
    <row r="42">
      <c r="B42" s="3" t="n"/>
      <c r="C42" s="3" t="n"/>
      <c r="D42" s="3" t="n"/>
      <c r="E42" s="3" t="n"/>
      <c r="F42" s="4" t="n"/>
      <c r="G42" s="3" t="n"/>
      <c r="H42" s="4" t="n"/>
      <c r="I42" s="4" t="n"/>
      <c r="J42" s="4" t="n"/>
      <c r="K42" s="5" t="n"/>
      <c r="L42" s="6">
        <f>IF(A42="","",B42*F42+G42)</f>
        <v/>
      </c>
      <c r="M42" s="7">
        <f>IF(A42="","",IFERROR((C42+D42+E42)/B42,0))</f>
        <v/>
      </c>
      <c r="N42" s="7">
        <f>IF(A42="","",IFERROR(L42/B42,0)+H42)</f>
        <v/>
      </c>
      <c r="O42" s="7">
        <f>IF(A42="","",M42+N42)</f>
        <v/>
      </c>
      <c r="P42" s="7">
        <f>IF(A42="","",IF(B42&gt;0,1-O42-I42,0))</f>
        <v/>
      </c>
      <c r="Q42" s="6">
        <f>IF(A42="","",B42*P42)</f>
        <v/>
      </c>
      <c r="R42" s="7">
        <f>IF(A42="","",IF(B42&gt;0,P42-J42,0))</f>
        <v/>
      </c>
      <c r="S42" s="6">
        <f>IF(A42="","",B42*R42)</f>
        <v/>
      </c>
      <c r="T42" s="8">
        <f>IF(A42="","",IF(K42&gt;0,S42*K42,""))</f>
        <v/>
      </c>
      <c r="U42" s="8">
        <f>IF(A42="","",IFERROR(B42/Q42,0))</f>
        <v/>
      </c>
      <c r="V42" s="9">
        <f>IF(A42="","",IF(OR(S42&lt;=0,Q42&lt;=0),"Drop",IF(P42&gt;=0.6,"Profit product",IF(P42&gt;=0.5,"Traffic product","Thin - rework"))))</f>
        <v/>
      </c>
    </row>
    <row r="43">
      <c r="B43" s="3" t="n"/>
      <c r="C43" s="3" t="n"/>
      <c r="D43" s="3" t="n"/>
      <c r="E43" s="3" t="n"/>
      <c r="F43" s="4" t="n"/>
      <c r="G43" s="3" t="n"/>
      <c r="H43" s="4" t="n"/>
      <c r="I43" s="4" t="n"/>
      <c r="J43" s="4" t="n"/>
      <c r="K43" s="5" t="n"/>
      <c r="L43" s="6">
        <f>IF(A43="","",B43*F43+G43)</f>
        <v/>
      </c>
      <c r="M43" s="7">
        <f>IF(A43="","",IFERROR((C43+D43+E43)/B43,0))</f>
        <v/>
      </c>
      <c r="N43" s="7">
        <f>IF(A43="","",IFERROR(L43/B43,0)+H43)</f>
        <v/>
      </c>
      <c r="O43" s="7">
        <f>IF(A43="","",M43+N43)</f>
        <v/>
      </c>
      <c r="P43" s="7">
        <f>IF(A43="","",IF(B43&gt;0,1-O43-I43,0))</f>
        <v/>
      </c>
      <c r="Q43" s="6">
        <f>IF(A43="","",B43*P43)</f>
        <v/>
      </c>
      <c r="R43" s="7">
        <f>IF(A43="","",IF(B43&gt;0,P43-J43,0))</f>
        <v/>
      </c>
      <c r="S43" s="6">
        <f>IF(A43="","",B43*R43)</f>
        <v/>
      </c>
      <c r="T43" s="8">
        <f>IF(A43="","",IF(K43&gt;0,S43*K43,""))</f>
        <v/>
      </c>
      <c r="U43" s="8">
        <f>IF(A43="","",IFERROR(B43/Q43,0))</f>
        <v/>
      </c>
      <c r="V43" s="9">
        <f>IF(A43="","",IF(OR(S43&lt;=0,Q43&lt;=0),"Drop",IF(P43&gt;=0.6,"Profit product",IF(P43&gt;=0.5,"Traffic product","Thin - rework"))))</f>
        <v/>
      </c>
    </row>
    <row r="44">
      <c r="B44" s="3" t="n"/>
      <c r="C44" s="3" t="n"/>
      <c r="D44" s="3" t="n"/>
      <c r="E44" s="3" t="n"/>
      <c r="F44" s="4" t="n"/>
      <c r="G44" s="3" t="n"/>
      <c r="H44" s="4" t="n"/>
      <c r="I44" s="4" t="n"/>
      <c r="J44" s="4" t="n"/>
      <c r="K44" s="5" t="n"/>
      <c r="L44" s="6">
        <f>IF(A44="","",B44*F44+G44)</f>
        <v/>
      </c>
      <c r="M44" s="7">
        <f>IF(A44="","",IFERROR((C44+D44+E44)/B44,0))</f>
        <v/>
      </c>
      <c r="N44" s="7">
        <f>IF(A44="","",IFERROR(L44/B44,0)+H44)</f>
        <v/>
      </c>
      <c r="O44" s="7">
        <f>IF(A44="","",M44+N44)</f>
        <v/>
      </c>
      <c r="P44" s="7">
        <f>IF(A44="","",IF(B44&gt;0,1-O44-I44,0))</f>
        <v/>
      </c>
      <c r="Q44" s="6">
        <f>IF(A44="","",B44*P44)</f>
        <v/>
      </c>
      <c r="R44" s="7">
        <f>IF(A44="","",IF(B44&gt;0,P44-J44,0))</f>
        <v/>
      </c>
      <c r="S44" s="6">
        <f>IF(A44="","",B44*R44)</f>
        <v/>
      </c>
      <c r="T44" s="8">
        <f>IF(A44="","",IF(K44&gt;0,S44*K44,""))</f>
        <v/>
      </c>
      <c r="U44" s="8">
        <f>IF(A44="","",IFERROR(B44/Q44,0))</f>
        <v/>
      </c>
      <c r="V44" s="9">
        <f>IF(A44="","",IF(OR(S44&lt;=0,Q44&lt;=0),"Drop",IF(P44&gt;=0.6,"Profit product",IF(P44&gt;=0.5,"Traffic product","Thin - rework"))))</f>
        <v/>
      </c>
    </row>
    <row r="45">
      <c r="B45" s="3" t="n"/>
      <c r="C45" s="3" t="n"/>
      <c r="D45" s="3" t="n"/>
      <c r="E45" s="3" t="n"/>
      <c r="F45" s="4" t="n"/>
      <c r="G45" s="3" t="n"/>
      <c r="H45" s="4" t="n"/>
      <c r="I45" s="4" t="n"/>
      <c r="J45" s="4" t="n"/>
      <c r="K45" s="5" t="n"/>
      <c r="L45" s="6">
        <f>IF(A45="","",B45*F45+G45)</f>
        <v/>
      </c>
      <c r="M45" s="7">
        <f>IF(A45="","",IFERROR((C45+D45+E45)/B45,0))</f>
        <v/>
      </c>
      <c r="N45" s="7">
        <f>IF(A45="","",IFERROR(L45/B45,0)+H45)</f>
        <v/>
      </c>
      <c r="O45" s="7">
        <f>IF(A45="","",M45+N45)</f>
        <v/>
      </c>
      <c r="P45" s="7">
        <f>IF(A45="","",IF(B45&gt;0,1-O45-I45,0))</f>
        <v/>
      </c>
      <c r="Q45" s="6">
        <f>IF(A45="","",B45*P45)</f>
        <v/>
      </c>
      <c r="R45" s="7">
        <f>IF(A45="","",IF(B45&gt;0,P45-J45,0))</f>
        <v/>
      </c>
      <c r="S45" s="6">
        <f>IF(A45="","",B45*R45)</f>
        <v/>
      </c>
      <c r="T45" s="8">
        <f>IF(A45="","",IF(K45&gt;0,S45*K45,""))</f>
        <v/>
      </c>
      <c r="U45" s="8">
        <f>IF(A45="","",IFERROR(B45/Q45,0))</f>
        <v/>
      </c>
      <c r="V45" s="9">
        <f>IF(A45="","",IF(OR(S45&lt;=0,Q45&lt;=0),"Drop",IF(P45&gt;=0.6,"Profit product",IF(P45&gt;=0.5,"Traffic product","Thin - rework"))))</f>
        <v/>
      </c>
    </row>
    <row r="46">
      <c r="B46" s="3" t="n"/>
      <c r="C46" s="3" t="n"/>
      <c r="D46" s="3" t="n"/>
      <c r="E46" s="3" t="n"/>
      <c r="F46" s="4" t="n"/>
      <c r="G46" s="3" t="n"/>
      <c r="H46" s="4" t="n"/>
      <c r="I46" s="4" t="n"/>
      <c r="J46" s="4" t="n"/>
      <c r="K46" s="5" t="n"/>
      <c r="L46" s="6">
        <f>IF(A46="","",B46*F46+G46)</f>
        <v/>
      </c>
      <c r="M46" s="7">
        <f>IF(A46="","",IFERROR((C46+D46+E46)/B46,0))</f>
        <v/>
      </c>
      <c r="N46" s="7">
        <f>IF(A46="","",IFERROR(L46/B46,0)+H46)</f>
        <v/>
      </c>
      <c r="O46" s="7">
        <f>IF(A46="","",M46+N46)</f>
        <v/>
      </c>
      <c r="P46" s="7">
        <f>IF(A46="","",IF(B46&gt;0,1-O46-I46,0))</f>
        <v/>
      </c>
      <c r="Q46" s="6">
        <f>IF(A46="","",B46*P46)</f>
        <v/>
      </c>
      <c r="R46" s="7">
        <f>IF(A46="","",IF(B46&gt;0,P46-J46,0))</f>
        <v/>
      </c>
      <c r="S46" s="6">
        <f>IF(A46="","",B46*R46)</f>
        <v/>
      </c>
      <c r="T46" s="8">
        <f>IF(A46="","",IF(K46&gt;0,S46*K46,""))</f>
        <v/>
      </c>
      <c r="U46" s="8">
        <f>IF(A46="","",IFERROR(B46/Q46,0))</f>
        <v/>
      </c>
      <c r="V46" s="9">
        <f>IF(A46="","",IF(OR(S46&lt;=0,Q46&lt;=0),"Drop",IF(P46&gt;=0.6,"Profit product",IF(P46&gt;=0.5,"Traffic product","Thin - rework"))))</f>
        <v/>
      </c>
    </row>
    <row r="47">
      <c r="B47" s="3" t="n"/>
      <c r="C47" s="3" t="n"/>
      <c r="D47" s="3" t="n"/>
      <c r="E47" s="3" t="n"/>
      <c r="F47" s="4" t="n"/>
      <c r="G47" s="3" t="n"/>
      <c r="H47" s="4" t="n"/>
      <c r="I47" s="4" t="n"/>
      <c r="J47" s="4" t="n"/>
      <c r="K47" s="5" t="n"/>
      <c r="L47" s="6">
        <f>IF(A47="","",B47*F47+G47)</f>
        <v/>
      </c>
      <c r="M47" s="7">
        <f>IF(A47="","",IFERROR((C47+D47+E47)/B47,0))</f>
        <v/>
      </c>
      <c r="N47" s="7">
        <f>IF(A47="","",IFERROR(L47/B47,0)+H47)</f>
        <v/>
      </c>
      <c r="O47" s="7">
        <f>IF(A47="","",M47+N47)</f>
        <v/>
      </c>
      <c r="P47" s="7">
        <f>IF(A47="","",IF(B47&gt;0,1-O47-I47,0))</f>
        <v/>
      </c>
      <c r="Q47" s="6">
        <f>IF(A47="","",B47*P47)</f>
        <v/>
      </c>
      <c r="R47" s="7">
        <f>IF(A47="","",IF(B47&gt;0,P47-J47,0))</f>
        <v/>
      </c>
      <c r="S47" s="6">
        <f>IF(A47="","",B47*R47)</f>
        <v/>
      </c>
      <c r="T47" s="8">
        <f>IF(A47="","",IF(K47&gt;0,S47*K47,""))</f>
        <v/>
      </c>
      <c r="U47" s="8">
        <f>IF(A47="","",IFERROR(B47/Q47,0))</f>
        <v/>
      </c>
      <c r="V47" s="9">
        <f>IF(A47="","",IF(OR(S47&lt;=0,Q47&lt;=0),"Drop",IF(P47&gt;=0.6,"Profit product",IF(P47&gt;=0.5,"Traffic product","Thin - rework"))))</f>
        <v/>
      </c>
    </row>
    <row r="48">
      <c r="B48" s="3" t="n"/>
      <c r="C48" s="3" t="n"/>
      <c r="D48" s="3" t="n"/>
      <c r="E48" s="3" t="n"/>
      <c r="F48" s="4" t="n"/>
      <c r="G48" s="3" t="n"/>
      <c r="H48" s="4" t="n"/>
      <c r="I48" s="4" t="n"/>
      <c r="J48" s="4" t="n"/>
      <c r="K48" s="5" t="n"/>
      <c r="L48" s="6">
        <f>IF(A48="","",B48*F48+G48)</f>
        <v/>
      </c>
      <c r="M48" s="7">
        <f>IF(A48="","",IFERROR((C48+D48+E48)/B48,0))</f>
        <v/>
      </c>
      <c r="N48" s="7">
        <f>IF(A48="","",IFERROR(L48/B48,0)+H48)</f>
        <v/>
      </c>
      <c r="O48" s="7">
        <f>IF(A48="","",M48+N48)</f>
        <v/>
      </c>
      <c r="P48" s="7">
        <f>IF(A48="","",IF(B48&gt;0,1-O48-I48,0))</f>
        <v/>
      </c>
      <c r="Q48" s="6">
        <f>IF(A48="","",B48*P48)</f>
        <v/>
      </c>
      <c r="R48" s="7">
        <f>IF(A48="","",IF(B48&gt;0,P48-J48,0))</f>
        <v/>
      </c>
      <c r="S48" s="6">
        <f>IF(A48="","",B48*R48)</f>
        <v/>
      </c>
      <c r="T48" s="8">
        <f>IF(A48="","",IF(K48&gt;0,S48*K48,""))</f>
        <v/>
      </c>
      <c r="U48" s="8">
        <f>IF(A48="","",IFERROR(B48/Q48,0))</f>
        <v/>
      </c>
      <c r="V48" s="9">
        <f>IF(A48="","",IF(OR(S48&lt;=0,Q48&lt;=0),"Drop",IF(P48&gt;=0.6,"Profit product",IF(P48&gt;=0.5,"Traffic product","Thin - rework"))))</f>
        <v/>
      </c>
    </row>
    <row r="49">
      <c r="B49" s="3" t="n"/>
      <c r="C49" s="3" t="n"/>
      <c r="D49" s="3" t="n"/>
      <c r="E49" s="3" t="n"/>
      <c r="F49" s="4" t="n"/>
      <c r="G49" s="3" t="n"/>
      <c r="H49" s="4" t="n"/>
      <c r="I49" s="4" t="n"/>
      <c r="J49" s="4" t="n"/>
      <c r="K49" s="5" t="n"/>
      <c r="L49" s="6">
        <f>IF(A49="","",B49*F49+G49)</f>
        <v/>
      </c>
      <c r="M49" s="7">
        <f>IF(A49="","",IFERROR((C49+D49+E49)/B49,0))</f>
        <v/>
      </c>
      <c r="N49" s="7">
        <f>IF(A49="","",IFERROR(L49/B49,0)+H49)</f>
        <v/>
      </c>
      <c r="O49" s="7">
        <f>IF(A49="","",M49+N49)</f>
        <v/>
      </c>
      <c r="P49" s="7">
        <f>IF(A49="","",IF(B49&gt;0,1-O49-I49,0))</f>
        <v/>
      </c>
      <c r="Q49" s="6">
        <f>IF(A49="","",B49*P49)</f>
        <v/>
      </c>
      <c r="R49" s="7">
        <f>IF(A49="","",IF(B49&gt;0,P49-J49,0))</f>
        <v/>
      </c>
      <c r="S49" s="6">
        <f>IF(A49="","",B49*R49)</f>
        <v/>
      </c>
      <c r="T49" s="8">
        <f>IF(A49="","",IF(K49&gt;0,S49*K49,""))</f>
        <v/>
      </c>
      <c r="U49" s="8">
        <f>IF(A49="","",IFERROR(B49/Q49,0))</f>
        <v/>
      </c>
      <c r="V49" s="9">
        <f>IF(A49="","",IF(OR(S49&lt;=0,Q49&lt;=0),"Drop",IF(P49&gt;=0.6,"Profit product",IF(P49&gt;=0.5,"Traffic product","Thin - rework"))))</f>
        <v/>
      </c>
    </row>
    <row r="50">
      <c r="B50" s="3" t="n"/>
      <c r="C50" s="3" t="n"/>
      <c r="D50" s="3" t="n"/>
      <c r="E50" s="3" t="n"/>
      <c r="F50" s="4" t="n"/>
      <c r="G50" s="3" t="n"/>
      <c r="H50" s="4" t="n"/>
      <c r="I50" s="4" t="n"/>
      <c r="J50" s="4" t="n"/>
      <c r="K50" s="5" t="n"/>
      <c r="L50" s="6">
        <f>IF(A50="","",B50*F50+G50)</f>
        <v/>
      </c>
      <c r="M50" s="7">
        <f>IF(A50="","",IFERROR((C50+D50+E50)/B50,0))</f>
        <v/>
      </c>
      <c r="N50" s="7">
        <f>IF(A50="","",IFERROR(L50/B50,0)+H50)</f>
        <v/>
      </c>
      <c r="O50" s="7">
        <f>IF(A50="","",M50+N50)</f>
        <v/>
      </c>
      <c r="P50" s="7">
        <f>IF(A50="","",IF(B50&gt;0,1-O50-I50,0))</f>
        <v/>
      </c>
      <c r="Q50" s="6">
        <f>IF(A50="","",B50*P50)</f>
        <v/>
      </c>
      <c r="R50" s="7">
        <f>IF(A50="","",IF(B50&gt;0,P50-J50,0))</f>
        <v/>
      </c>
      <c r="S50" s="6">
        <f>IF(A50="","",B50*R50)</f>
        <v/>
      </c>
      <c r="T50" s="8">
        <f>IF(A50="","",IF(K50&gt;0,S50*K50,""))</f>
        <v/>
      </c>
      <c r="U50" s="8">
        <f>IF(A50="","",IFERROR(B50/Q50,0))</f>
        <v/>
      </c>
      <c r="V50" s="9">
        <f>IF(A50="","",IF(OR(S50&lt;=0,Q50&lt;=0),"Drop",IF(P50&gt;=0.6,"Profit product",IF(P50&gt;=0.5,"Traffic product","Thin - rework"))))</f>
        <v/>
      </c>
    </row>
    <row r="51">
      <c r="B51" s="3" t="n"/>
      <c r="C51" s="3" t="n"/>
      <c r="D51" s="3" t="n"/>
      <c r="E51" s="3" t="n"/>
      <c r="F51" s="4" t="n"/>
      <c r="G51" s="3" t="n"/>
      <c r="H51" s="4" t="n"/>
      <c r="I51" s="4" t="n"/>
      <c r="J51" s="4" t="n"/>
      <c r="K51" s="5" t="n"/>
      <c r="L51" s="6">
        <f>IF(A51="","",B51*F51+G51)</f>
        <v/>
      </c>
      <c r="M51" s="7">
        <f>IF(A51="","",IFERROR((C51+D51+E51)/B51,0))</f>
        <v/>
      </c>
      <c r="N51" s="7">
        <f>IF(A51="","",IFERROR(L51/B51,0)+H51)</f>
        <v/>
      </c>
      <c r="O51" s="7">
        <f>IF(A51="","",M51+N51)</f>
        <v/>
      </c>
      <c r="P51" s="7">
        <f>IF(A51="","",IF(B51&gt;0,1-O51-I51,0))</f>
        <v/>
      </c>
      <c r="Q51" s="6">
        <f>IF(A51="","",B51*P51)</f>
        <v/>
      </c>
      <c r="R51" s="7">
        <f>IF(A51="","",IF(B51&gt;0,P51-J51,0))</f>
        <v/>
      </c>
      <c r="S51" s="6">
        <f>IF(A51="","",B51*R51)</f>
        <v/>
      </c>
      <c r="T51" s="8">
        <f>IF(A51="","",IF(K51&gt;0,S51*K51,""))</f>
        <v/>
      </c>
      <c r="U51" s="8">
        <f>IF(A51="","",IFERROR(B51/Q51,0))</f>
        <v/>
      </c>
      <c r="V51" s="9">
        <f>IF(A51="","",IF(OR(S51&lt;=0,Q51&lt;=0),"Drop",IF(P51&gt;=0.6,"Profit product",IF(P51&gt;=0.5,"Traffic product","Thin - rework"))))</f>
        <v/>
      </c>
    </row>
    <row r="52">
      <c r="B52" s="3" t="n"/>
      <c r="C52" s="3" t="n"/>
      <c r="D52" s="3" t="n"/>
      <c r="E52" s="3" t="n"/>
      <c r="F52" s="4" t="n"/>
      <c r="G52" s="3" t="n"/>
      <c r="H52" s="4" t="n"/>
      <c r="I52" s="4" t="n"/>
      <c r="J52" s="4" t="n"/>
      <c r="K52" s="5" t="n"/>
      <c r="L52" s="6">
        <f>IF(A52="","",B52*F52+G52)</f>
        <v/>
      </c>
      <c r="M52" s="7">
        <f>IF(A52="","",IFERROR((C52+D52+E52)/B52,0))</f>
        <v/>
      </c>
      <c r="N52" s="7">
        <f>IF(A52="","",IFERROR(L52/B52,0)+H52)</f>
        <v/>
      </c>
      <c r="O52" s="7">
        <f>IF(A52="","",M52+N52)</f>
        <v/>
      </c>
      <c r="P52" s="7">
        <f>IF(A52="","",IF(B52&gt;0,1-O52-I52,0))</f>
        <v/>
      </c>
      <c r="Q52" s="6">
        <f>IF(A52="","",B52*P52)</f>
        <v/>
      </c>
      <c r="R52" s="7">
        <f>IF(A52="","",IF(B52&gt;0,P52-J52,0))</f>
        <v/>
      </c>
      <c r="S52" s="6">
        <f>IF(A52="","",B52*R52)</f>
        <v/>
      </c>
      <c r="T52" s="8">
        <f>IF(A52="","",IF(K52&gt;0,S52*K52,""))</f>
        <v/>
      </c>
      <c r="U52" s="8">
        <f>IF(A52="","",IFERROR(B52/Q52,0))</f>
        <v/>
      </c>
      <c r="V52" s="9">
        <f>IF(A52="","",IF(OR(S52&lt;=0,Q52&lt;=0),"Drop",IF(P52&gt;=0.6,"Profit product",IF(P52&gt;=0.5,"Traffic product","Thin - rework"))))</f>
        <v/>
      </c>
    </row>
    <row r="53">
      <c r="B53" s="3" t="n"/>
      <c r="C53" s="3" t="n"/>
      <c r="D53" s="3" t="n"/>
      <c r="E53" s="3" t="n"/>
      <c r="F53" s="4" t="n"/>
      <c r="G53" s="3" t="n"/>
      <c r="H53" s="4" t="n"/>
      <c r="I53" s="4" t="n"/>
      <c r="J53" s="4" t="n"/>
      <c r="K53" s="5" t="n"/>
      <c r="L53" s="6">
        <f>IF(A53="","",B53*F53+G53)</f>
        <v/>
      </c>
      <c r="M53" s="7">
        <f>IF(A53="","",IFERROR((C53+D53+E53)/B53,0))</f>
        <v/>
      </c>
      <c r="N53" s="7">
        <f>IF(A53="","",IFERROR(L53/B53,0)+H53)</f>
        <v/>
      </c>
      <c r="O53" s="7">
        <f>IF(A53="","",M53+N53)</f>
        <v/>
      </c>
      <c r="P53" s="7">
        <f>IF(A53="","",IF(B53&gt;0,1-O53-I53,0))</f>
        <v/>
      </c>
      <c r="Q53" s="6">
        <f>IF(A53="","",B53*P53)</f>
        <v/>
      </c>
      <c r="R53" s="7">
        <f>IF(A53="","",IF(B53&gt;0,P53-J53,0))</f>
        <v/>
      </c>
      <c r="S53" s="6">
        <f>IF(A53="","",B53*R53)</f>
        <v/>
      </c>
      <c r="T53" s="8">
        <f>IF(A53="","",IF(K53&gt;0,S53*K53,""))</f>
        <v/>
      </c>
      <c r="U53" s="8">
        <f>IF(A53="","",IFERROR(B53/Q53,0))</f>
        <v/>
      </c>
      <c r="V53" s="9">
        <f>IF(A53="","",IF(OR(S53&lt;=0,Q53&lt;=0),"Drop",IF(P53&gt;=0.6,"Profit product",IF(P53&gt;=0.5,"Traffic product","Thin - rework"))))</f>
        <v/>
      </c>
    </row>
    <row r="54">
      <c r="B54" s="3" t="n"/>
      <c r="C54" s="3" t="n"/>
      <c r="D54" s="3" t="n"/>
      <c r="E54" s="3" t="n"/>
      <c r="F54" s="4" t="n"/>
      <c r="G54" s="3" t="n"/>
      <c r="H54" s="4" t="n"/>
      <c r="I54" s="4" t="n"/>
      <c r="J54" s="4" t="n"/>
      <c r="K54" s="5" t="n"/>
      <c r="L54" s="6">
        <f>IF(A54="","",B54*F54+G54)</f>
        <v/>
      </c>
      <c r="M54" s="7">
        <f>IF(A54="","",IFERROR((C54+D54+E54)/B54,0))</f>
        <v/>
      </c>
      <c r="N54" s="7">
        <f>IF(A54="","",IFERROR(L54/B54,0)+H54)</f>
        <v/>
      </c>
      <c r="O54" s="7">
        <f>IF(A54="","",M54+N54)</f>
        <v/>
      </c>
      <c r="P54" s="7">
        <f>IF(A54="","",IF(B54&gt;0,1-O54-I54,0))</f>
        <v/>
      </c>
      <c r="Q54" s="6">
        <f>IF(A54="","",B54*P54)</f>
        <v/>
      </c>
      <c r="R54" s="7">
        <f>IF(A54="","",IF(B54&gt;0,P54-J54,0))</f>
        <v/>
      </c>
      <c r="S54" s="6">
        <f>IF(A54="","",B54*R54)</f>
        <v/>
      </c>
      <c r="T54" s="8">
        <f>IF(A54="","",IF(K54&gt;0,S54*K54,""))</f>
        <v/>
      </c>
      <c r="U54" s="8">
        <f>IF(A54="","",IFERROR(B54/Q54,0))</f>
        <v/>
      </c>
      <c r="V54" s="9">
        <f>IF(A54="","",IF(OR(S54&lt;=0,Q54&lt;=0),"Drop",IF(P54&gt;=0.6,"Profit product",IF(P54&gt;=0.5,"Traffic product","Thin - rework"))))</f>
        <v/>
      </c>
    </row>
    <row r="55">
      <c r="B55" s="3" t="n"/>
      <c r="C55" s="3" t="n"/>
      <c r="D55" s="3" t="n"/>
      <c r="E55" s="3" t="n"/>
      <c r="F55" s="4" t="n"/>
      <c r="G55" s="3" t="n"/>
      <c r="H55" s="4" t="n"/>
      <c r="I55" s="4" t="n"/>
      <c r="J55" s="4" t="n"/>
      <c r="K55" s="5" t="n"/>
      <c r="L55" s="6">
        <f>IF(A55="","",B55*F55+G55)</f>
        <v/>
      </c>
      <c r="M55" s="7">
        <f>IF(A55="","",IFERROR((C55+D55+E55)/B55,0))</f>
        <v/>
      </c>
      <c r="N55" s="7">
        <f>IF(A55="","",IFERROR(L55/B55,0)+H55)</f>
        <v/>
      </c>
      <c r="O55" s="7">
        <f>IF(A55="","",M55+N55)</f>
        <v/>
      </c>
      <c r="P55" s="7">
        <f>IF(A55="","",IF(B55&gt;0,1-O55-I55,0))</f>
        <v/>
      </c>
      <c r="Q55" s="6">
        <f>IF(A55="","",B55*P55)</f>
        <v/>
      </c>
      <c r="R55" s="7">
        <f>IF(A55="","",IF(B55&gt;0,P55-J55,0))</f>
        <v/>
      </c>
      <c r="S55" s="6">
        <f>IF(A55="","",B55*R55)</f>
        <v/>
      </c>
      <c r="T55" s="8">
        <f>IF(A55="","",IF(K55&gt;0,S55*K55,""))</f>
        <v/>
      </c>
      <c r="U55" s="8">
        <f>IF(A55="","",IFERROR(B55/Q55,0))</f>
        <v/>
      </c>
      <c r="V55" s="9">
        <f>IF(A55="","",IF(OR(S55&lt;=0,Q55&lt;=0),"Drop",IF(P55&gt;=0.6,"Profit product",IF(P55&gt;=0.5,"Traffic product","Thin - rework"))))</f>
        <v/>
      </c>
    </row>
    <row r="56">
      <c r="B56" s="3" t="n"/>
      <c r="C56" s="3" t="n"/>
      <c r="D56" s="3" t="n"/>
      <c r="E56" s="3" t="n"/>
      <c r="F56" s="4" t="n"/>
      <c r="G56" s="3" t="n"/>
      <c r="H56" s="4" t="n"/>
      <c r="I56" s="4" t="n"/>
      <c r="J56" s="4" t="n"/>
      <c r="K56" s="5" t="n"/>
      <c r="L56" s="6">
        <f>IF(A56="","",B56*F56+G56)</f>
        <v/>
      </c>
      <c r="M56" s="7">
        <f>IF(A56="","",IFERROR((C56+D56+E56)/B56,0))</f>
        <v/>
      </c>
      <c r="N56" s="7">
        <f>IF(A56="","",IFERROR(L56/B56,0)+H56)</f>
        <v/>
      </c>
      <c r="O56" s="7">
        <f>IF(A56="","",M56+N56)</f>
        <v/>
      </c>
      <c r="P56" s="7">
        <f>IF(A56="","",IF(B56&gt;0,1-O56-I56,0))</f>
        <v/>
      </c>
      <c r="Q56" s="6">
        <f>IF(A56="","",B56*P56)</f>
        <v/>
      </c>
      <c r="R56" s="7">
        <f>IF(A56="","",IF(B56&gt;0,P56-J56,0))</f>
        <v/>
      </c>
      <c r="S56" s="6">
        <f>IF(A56="","",B56*R56)</f>
        <v/>
      </c>
      <c r="T56" s="8">
        <f>IF(A56="","",IF(K56&gt;0,S56*K56,""))</f>
        <v/>
      </c>
      <c r="U56" s="8">
        <f>IF(A56="","",IFERROR(B56/Q56,0))</f>
        <v/>
      </c>
      <c r="V56" s="9">
        <f>IF(A56="","",IF(OR(S56&lt;=0,Q56&lt;=0),"Drop",IF(P56&gt;=0.6,"Profit product",IF(P56&gt;=0.5,"Traffic product","Thin - rework"))))</f>
        <v/>
      </c>
    </row>
    <row r="57">
      <c r="B57" s="3" t="n"/>
      <c r="C57" s="3" t="n"/>
      <c r="D57" s="3" t="n"/>
      <c r="E57" s="3" t="n"/>
      <c r="F57" s="4" t="n"/>
      <c r="G57" s="3" t="n"/>
      <c r="H57" s="4" t="n"/>
      <c r="I57" s="4" t="n"/>
      <c r="J57" s="4" t="n"/>
      <c r="K57" s="5" t="n"/>
      <c r="L57" s="6">
        <f>IF(A57="","",B57*F57+G57)</f>
        <v/>
      </c>
      <c r="M57" s="7">
        <f>IF(A57="","",IFERROR((C57+D57+E57)/B57,0))</f>
        <v/>
      </c>
      <c r="N57" s="7">
        <f>IF(A57="","",IFERROR(L57/B57,0)+H57)</f>
        <v/>
      </c>
      <c r="O57" s="7">
        <f>IF(A57="","",M57+N57)</f>
        <v/>
      </c>
      <c r="P57" s="7">
        <f>IF(A57="","",IF(B57&gt;0,1-O57-I57,0))</f>
        <v/>
      </c>
      <c r="Q57" s="6">
        <f>IF(A57="","",B57*P57)</f>
        <v/>
      </c>
      <c r="R57" s="7">
        <f>IF(A57="","",IF(B57&gt;0,P57-J57,0))</f>
        <v/>
      </c>
      <c r="S57" s="6">
        <f>IF(A57="","",B57*R57)</f>
        <v/>
      </c>
      <c r="T57" s="8">
        <f>IF(A57="","",IF(K57&gt;0,S57*K57,""))</f>
        <v/>
      </c>
      <c r="U57" s="8">
        <f>IF(A57="","",IFERROR(B57/Q57,0))</f>
        <v/>
      </c>
      <c r="V57" s="9">
        <f>IF(A57="","",IF(OR(S57&lt;=0,Q57&lt;=0),"Drop",IF(P57&gt;=0.6,"Profit product",IF(P57&gt;=0.5,"Traffic product","Thin - rework"))))</f>
        <v/>
      </c>
    </row>
    <row r="58">
      <c r="B58" s="3" t="n"/>
      <c r="C58" s="3" t="n"/>
      <c r="D58" s="3" t="n"/>
      <c r="E58" s="3" t="n"/>
      <c r="F58" s="4" t="n"/>
      <c r="G58" s="3" t="n"/>
      <c r="H58" s="4" t="n"/>
      <c r="I58" s="4" t="n"/>
      <c r="J58" s="4" t="n"/>
      <c r="K58" s="5" t="n"/>
      <c r="L58" s="6">
        <f>IF(A58="","",B58*F58+G58)</f>
        <v/>
      </c>
      <c r="M58" s="7">
        <f>IF(A58="","",IFERROR((C58+D58+E58)/B58,0))</f>
        <v/>
      </c>
      <c r="N58" s="7">
        <f>IF(A58="","",IFERROR(L58/B58,0)+H58)</f>
        <v/>
      </c>
      <c r="O58" s="7">
        <f>IF(A58="","",M58+N58)</f>
        <v/>
      </c>
      <c r="P58" s="7">
        <f>IF(A58="","",IF(B58&gt;0,1-O58-I58,0))</f>
        <v/>
      </c>
      <c r="Q58" s="6">
        <f>IF(A58="","",B58*P58)</f>
        <v/>
      </c>
      <c r="R58" s="7">
        <f>IF(A58="","",IF(B58&gt;0,P58-J58,0))</f>
        <v/>
      </c>
      <c r="S58" s="6">
        <f>IF(A58="","",B58*R58)</f>
        <v/>
      </c>
      <c r="T58" s="8">
        <f>IF(A58="","",IF(K58&gt;0,S58*K58,""))</f>
        <v/>
      </c>
      <c r="U58" s="8">
        <f>IF(A58="","",IFERROR(B58/Q58,0))</f>
        <v/>
      </c>
      <c r="V58" s="9">
        <f>IF(A58="","",IF(OR(S58&lt;=0,Q58&lt;=0),"Drop",IF(P58&gt;=0.6,"Profit product",IF(P58&gt;=0.5,"Traffic product","Thin - rework"))))</f>
        <v/>
      </c>
    </row>
    <row r="59">
      <c r="B59" s="3" t="n"/>
      <c r="C59" s="3" t="n"/>
      <c r="D59" s="3" t="n"/>
      <c r="E59" s="3" t="n"/>
      <c r="F59" s="4" t="n"/>
      <c r="G59" s="3" t="n"/>
      <c r="H59" s="4" t="n"/>
      <c r="I59" s="4" t="n"/>
      <c r="J59" s="4" t="n"/>
      <c r="K59" s="5" t="n"/>
      <c r="L59" s="6">
        <f>IF(A59="","",B59*F59+G59)</f>
        <v/>
      </c>
      <c r="M59" s="7">
        <f>IF(A59="","",IFERROR((C59+D59+E59)/B59,0))</f>
        <v/>
      </c>
      <c r="N59" s="7">
        <f>IF(A59="","",IFERROR(L59/B59,0)+H59)</f>
        <v/>
      </c>
      <c r="O59" s="7">
        <f>IF(A59="","",M59+N59)</f>
        <v/>
      </c>
      <c r="P59" s="7">
        <f>IF(A59="","",IF(B59&gt;0,1-O59-I59,0))</f>
        <v/>
      </c>
      <c r="Q59" s="6">
        <f>IF(A59="","",B59*P59)</f>
        <v/>
      </c>
      <c r="R59" s="7">
        <f>IF(A59="","",IF(B59&gt;0,P59-J59,0))</f>
        <v/>
      </c>
      <c r="S59" s="6">
        <f>IF(A59="","",B59*R59)</f>
        <v/>
      </c>
      <c r="T59" s="8">
        <f>IF(A59="","",IF(K59&gt;0,S59*K59,""))</f>
        <v/>
      </c>
      <c r="U59" s="8">
        <f>IF(A59="","",IFERROR(B59/Q59,0))</f>
        <v/>
      </c>
      <c r="V59" s="9">
        <f>IF(A59="","",IF(OR(S59&lt;=0,Q59&lt;=0),"Drop",IF(P59&gt;=0.6,"Profit product",IF(P59&gt;=0.5,"Traffic product","Thin - rework"))))</f>
        <v/>
      </c>
    </row>
    <row r="60">
      <c r="B60" s="3" t="n"/>
      <c r="C60" s="3" t="n"/>
      <c r="D60" s="3" t="n"/>
      <c r="E60" s="3" t="n"/>
      <c r="F60" s="4" t="n"/>
      <c r="G60" s="3" t="n"/>
      <c r="H60" s="4" t="n"/>
      <c r="I60" s="4" t="n"/>
      <c r="J60" s="4" t="n"/>
      <c r="K60" s="5" t="n"/>
      <c r="L60" s="6">
        <f>IF(A60="","",B60*F60+G60)</f>
        <v/>
      </c>
      <c r="M60" s="7">
        <f>IF(A60="","",IFERROR((C60+D60+E60)/B60,0))</f>
        <v/>
      </c>
      <c r="N60" s="7">
        <f>IF(A60="","",IFERROR(L60/B60,0)+H60)</f>
        <v/>
      </c>
      <c r="O60" s="7">
        <f>IF(A60="","",M60+N60)</f>
        <v/>
      </c>
      <c r="P60" s="7">
        <f>IF(A60="","",IF(B60&gt;0,1-O60-I60,0))</f>
        <v/>
      </c>
      <c r="Q60" s="6">
        <f>IF(A60="","",B60*P60)</f>
        <v/>
      </c>
      <c r="R60" s="7">
        <f>IF(A60="","",IF(B60&gt;0,P60-J60,0))</f>
        <v/>
      </c>
      <c r="S60" s="6">
        <f>IF(A60="","",B60*R60)</f>
        <v/>
      </c>
      <c r="T60" s="8">
        <f>IF(A60="","",IF(K60&gt;0,S60*K60,""))</f>
        <v/>
      </c>
      <c r="U60" s="8">
        <f>IF(A60="","",IFERROR(B60/Q60,0))</f>
        <v/>
      </c>
      <c r="V60" s="9">
        <f>IF(A60="","",IF(OR(S60&lt;=0,Q60&lt;=0),"Drop",IF(P60&gt;=0.6,"Profit product",IF(P60&gt;=0.5,"Traffic product","Thin - rework"))))</f>
        <v/>
      </c>
    </row>
    <row r="61">
      <c r="B61" s="3" t="n"/>
      <c r="C61" s="3" t="n"/>
      <c r="D61" s="3" t="n"/>
      <c r="E61" s="3" t="n"/>
      <c r="F61" s="4" t="n"/>
      <c r="G61" s="3" t="n"/>
      <c r="H61" s="4" t="n"/>
      <c r="I61" s="4" t="n"/>
      <c r="J61" s="4" t="n"/>
      <c r="K61" s="5" t="n"/>
      <c r="L61" s="6">
        <f>IF(A61="","",B61*F61+G61)</f>
        <v/>
      </c>
      <c r="M61" s="7">
        <f>IF(A61="","",IFERROR((C61+D61+E61)/B61,0))</f>
        <v/>
      </c>
      <c r="N61" s="7">
        <f>IF(A61="","",IFERROR(L61/B61,0)+H61)</f>
        <v/>
      </c>
      <c r="O61" s="7">
        <f>IF(A61="","",M61+N61)</f>
        <v/>
      </c>
      <c r="P61" s="7">
        <f>IF(A61="","",IF(B61&gt;0,1-O61-I61,0))</f>
        <v/>
      </c>
      <c r="Q61" s="6">
        <f>IF(A61="","",B61*P61)</f>
        <v/>
      </c>
      <c r="R61" s="7">
        <f>IF(A61="","",IF(B61&gt;0,P61-J61,0))</f>
        <v/>
      </c>
      <c r="S61" s="6">
        <f>IF(A61="","",B61*R61)</f>
        <v/>
      </c>
      <c r="T61" s="8">
        <f>IF(A61="","",IF(K61&gt;0,S61*K61,""))</f>
        <v/>
      </c>
      <c r="U61" s="8">
        <f>IF(A61="","",IFERROR(B61/Q61,0))</f>
        <v/>
      </c>
      <c r="V61" s="9">
        <f>IF(A61="","",IF(OR(S61&lt;=0,Q61&lt;=0),"Drop",IF(P61&gt;=0.6,"Profit product",IF(P61&gt;=0.5,"Traffic product","Thin - rework"))))</f>
        <v/>
      </c>
    </row>
    <row r="62">
      <c r="B62" s="3" t="n"/>
      <c r="C62" s="3" t="n"/>
      <c r="D62" s="3" t="n"/>
      <c r="E62" s="3" t="n"/>
      <c r="F62" s="4" t="n"/>
      <c r="G62" s="3" t="n"/>
      <c r="H62" s="4" t="n"/>
      <c r="I62" s="4" t="n"/>
      <c r="J62" s="4" t="n"/>
      <c r="K62" s="5" t="n"/>
      <c r="L62" s="6">
        <f>IF(A62="","",B62*F62+G62)</f>
        <v/>
      </c>
      <c r="M62" s="7">
        <f>IF(A62="","",IFERROR((C62+D62+E62)/B62,0))</f>
        <v/>
      </c>
      <c r="N62" s="7">
        <f>IF(A62="","",IFERROR(L62/B62,0)+H62)</f>
        <v/>
      </c>
      <c r="O62" s="7">
        <f>IF(A62="","",M62+N62)</f>
        <v/>
      </c>
      <c r="P62" s="7">
        <f>IF(A62="","",IF(B62&gt;0,1-O62-I62,0))</f>
        <v/>
      </c>
      <c r="Q62" s="6">
        <f>IF(A62="","",B62*P62)</f>
        <v/>
      </c>
      <c r="R62" s="7">
        <f>IF(A62="","",IF(B62&gt;0,P62-J62,0))</f>
        <v/>
      </c>
      <c r="S62" s="6">
        <f>IF(A62="","",B62*R62)</f>
        <v/>
      </c>
      <c r="T62" s="8">
        <f>IF(A62="","",IF(K62&gt;0,S62*K62,""))</f>
        <v/>
      </c>
      <c r="U62" s="8">
        <f>IF(A62="","",IFERROR(B62/Q62,0))</f>
        <v/>
      </c>
      <c r="V62" s="9">
        <f>IF(A62="","",IF(OR(S62&lt;=0,Q62&lt;=0),"Drop",IF(P62&gt;=0.6,"Profit product",IF(P62&gt;=0.5,"Traffic product","Thin - rework"))))</f>
        <v/>
      </c>
    </row>
    <row r="63">
      <c r="B63" s="3" t="n"/>
      <c r="C63" s="3" t="n"/>
      <c r="D63" s="3" t="n"/>
      <c r="E63" s="3" t="n"/>
      <c r="F63" s="4" t="n"/>
      <c r="G63" s="3" t="n"/>
      <c r="H63" s="4" t="n"/>
      <c r="I63" s="4" t="n"/>
      <c r="J63" s="4" t="n"/>
      <c r="K63" s="5" t="n"/>
      <c r="L63" s="6">
        <f>IF(A63="","",B63*F63+G63)</f>
        <v/>
      </c>
      <c r="M63" s="7">
        <f>IF(A63="","",IFERROR((C63+D63+E63)/B63,0))</f>
        <v/>
      </c>
      <c r="N63" s="7">
        <f>IF(A63="","",IFERROR(L63/B63,0)+H63)</f>
        <v/>
      </c>
      <c r="O63" s="7">
        <f>IF(A63="","",M63+N63)</f>
        <v/>
      </c>
      <c r="P63" s="7">
        <f>IF(A63="","",IF(B63&gt;0,1-O63-I63,0))</f>
        <v/>
      </c>
      <c r="Q63" s="6">
        <f>IF(A63="","",B63*P63)</f>
        <v/>
      </c>
      <c r="R63" s="7">
        <f>IF(A63="","",IF(B63&gt;0,P63-J63,0))</f>
        <v/>
      </c>
      <c r="S63" s="6">
        <f>IF(A63="","",B63*R63)</f>
        <v/>
      </c>
      <c r="T63" s="8">
        <f>IF(A63="","",IF(K63&gt;0,S63*K63,""))</f>
        <v/>
      </c>
      <c r="U63" s="8">
        <f>IF(A63="","",IFERROR(B63/Q63,0))</f>
        <v/>
      </c>
      <c r="V63" s="9">
        <f>IF(A63="","",IF(OR(S63&lt;=0,Q63&lt;=0),"Drop",IF(P63&gt;=0.6,"Profit product",IF(P63&gt;=0.5,"Traffic product","Thin - rework"))))</f>
        <v/>
      </c>
    </row>
    <row r="64">
      <c r="B64" s="3" t="n"/>
      <c r="C64" s="3" t="n"/>
      <c r="D64" s="3" t="n"/>
      <c r="E64" s="3" t="n"/>
      <c r="F64" s="4" t="n"/>
      <c r="G64" s="3" t="n"/>
      <c r="H64" s="4" t="n"/>
      <c r="I64" s="4" t="n"/>
      <c r="J64" s="4" t="n"/>
      <c r="K64" s="5" t="n"/>
      <c r="L64" s="6">
        <f>IF(A64="","",B64*F64+G64)</f>
        <v/>
      </c>
      <c r="M64" s="7">
        <f>IF(A64="","",IFERROR((C64+D64+E64)/B64,0))</f>
        <v/>
      </c>
      <c r="N64" s="7">
        <f>IF(A64="","",IFERROR(L64/B64,0)+H64)</f>
        <v/>
      </c>
      <c r="O64" s="7">
        <f>IF(A64="","",M64+N64)</f>
        <v/>
      </c>
      <c r="P64" s="7">
        <f>IF(A64="","",IF(B64&gt;0,1-O64-I64,0))</f>
        <v/>
      </c>
      <c r="Q64" s="6">
        <f>IF(A64="","",B64*P64)</f>
        <v/>
      </c>
      <c r="R64" s="7">
        <f>IF(A64="","",IF(B64&gt;0,P64-J64,0))</f>
        <v/>
      </c>
      <c r="S64" s="6">
        <f>IF(A64="","",B64*R64)</f>
        <v/>
      </c>
      <c r="T64" s="8">
        <f>IF(A64="","",IF(K64&gt;0,S64*K64,""))</f>
        <v/>
      </c>
      <c r="U64" s="8">
        <f>IF(A64="","",IFERROR(B64/Q64,0))</f>
        <v/>
      </c>
      <c r="V64" s="9">
        <f>IF(A64="","",IF(OR(S64&lt;=0,Q64&lt;=0),"Drop",IF(P64&gt;=0.6,"Profit product",IF(P64&gt;=0.5,"Traffic product","Thin - rework"))))</f>
        <v/>
      </c>
    </row>
    <row r="65">
      <c r="B65" s="3" t="n"/>
      <c r="C65" s="3" t="n"/>
      <c r="D65" s="3" t="n"/>
      <c r="E65" s="3" t="n"/>
      <c r="F65" s="4" t="n"/>
      <c r="G65" s="3" t="n"/>
      <c r="H65" s="4" t="n"/>
      <c r="I65" s="4" t="n"/>
      <c r="J65" s="4" t="n"/>
      <c r="K65" s="5" t="n"/>
      <c r="L65" s="6">
        <f>IF(A65="","",B65*F65+G65)</f>
        <v/>
      </c>
      <c r="M65" s="7">
        <f>IF(A65="","",IFERROR((C65+D65+E65)/B65,0))</f>
        <v/>
      </c>
      <c r="N65" s="7">
        <f>IF(A65="","",IFERROR(L65/B65,0)+H65)</f>
        <v/>
      </c>
      <c r="O65" s="7">
        <f>IF(A65="","",M65+N65)</f>
        <v/>
      </c>
      <c r="P65" s="7">
        <f>IF(A65="","",IF(B65&gt;0,1-O65-I65,0))</f>
        <v/>
      </c>
      <c r="Q65" s="6">
        <f>IF(A65="","",B65*P65)</f>
        <v/>
      </c>
      <c r="R65" s="7">
        <f>IF(A65="","",IF(B65&gt;0,P65-J65,0))</f>
        <v/>
      </c>
      <c r="S65" s="6">
        <f>IF(A65="","",B65*R65)</f>
        <v/>
      </c>
      <c r="T65" s="8">
        <f>IF(A65="","",IF(K65&gt;0,S65*K65,""))</f>
        <v/>
      </c>
      <c r="U65" s="8">
        <f>IF(A65="","",IFERROR(B65/Q65,0))</f>
        <v/>
      </c>
      <c r="V65" s="9">
        <f>IF(A65="","",IF(OR(S65&lt;=0,Q65&lt;=0),"Drop",IF(P65&gt;=0.6,"Profit product",IF(P65&gt;=0.5,"Traffic product","Thin - rework"))))</f>
        <v/>
      </c>
    </row>
    <row r="66">
      <c r="B66" s="3" t="n"/>
      <c r="C66" s="3" t="n"/>
      <c r="D66" s="3" t="n"/>
      <c r="E66" s="3" t="n"/>
      <c r="F66" s="4" t="n"/>
      <c r="G66" s="3" t="n"/>
      <c r="H66" s="4" t="n"/>
      <c r="I66" s="4" t="n"/>
      <c r="J66" s="4" t="n"/>
      <c r="K66" s="5" t="n"/>
      <c r="L66" s="6">
        <f>IF(A66="","",B66*F66+G66)</f>
        <v/>
      </c>
      <c r="M66" s="7">
        <f>IF(A66="","",IFERROR((C66+D66+E66)/B66,0))</f>
        <v/>
      </c>
      <c r="N66" s="7">
        <f>IF(A66="","",IFERROR(L66/B66,0)+H66)</f>
        <v/>
      </c>
      <c r="O66" s="7">
        <f>IF(A66="","",M66+N66)</f>
        <v/>
      </c>
      <c r="P66" s="7">
        <f>IF(A66="","",IF(B66&gt;0,1-O66-I66,0))</f>
        <v/>
      </c>
      <c r="Q66" s="6">
        <f>IF(A66="","",B66*P66)</f>
        <v/>
      </c>
      <c r="R66" s="7">
        <f>IF(A66="","",IF(B66&gt;0,P66-J66,0))</f>
        <v/>
      </c>
      <c r="S66" s="6">
        <f>IF(A66="","",B66*R66)</f>
        <v/>
      </c>
      <c r="T66" s="8">
        <f>IF(A66="","",IF(K66&gt;0,S66*K66,""))</f>
        <v/>
      </c>
      <c r="U66" s="8">
        <f>IF(A66="","",IFERROR(B66/Q66,0))</f>
        <v/>
      </c>
      <c r="V66" s="9">
        <f>IF(A66="","",IF(OR(S66&lt;=0,Q66&lt;=0),"Drop",IF(P66&gt;=0.6,"Profit product",IF(P66&gt;=0.5,"Traffic product","Thin - rework"))))</f>
        <v/>
      </c>
    </row>
    <row r="67">
      <c r="B67" s="3" t="n"/>
      <c r="C67" s="3" t="n"/>
      <c r="D67" s="3" t="n"/>
      <c r="E67" s="3" t="n"/>
      <c r="F67" s="4" t="n"/>
      <c r="G67" s="3" t="n"/>
      <c r="H67" s="4" t="n"/>
      <c r="I67" s="4" t="n"/>
      <c r="J67" s="4" t="n"/>
      <c r="K67" s="5" t="n"/>
      <c r="L67" s="6">
        <f>IF(A67="","",B67*F67+G67)</f>
        <v/>
      </c>
      <c r="M67" s="7">
        <f>IF(A67="","",IFERROR((C67+D67+E67)/B67,0))</f>
        <v/>
      </c>
      <c r="N67" s="7">
        <f>IF(A67="","",IFERROR(L67/B67,0)+H67)</f>
        <v/>
      </c>
      <c r="O67" s="7">
        <f>IF(A67="","",M67+N67)</f>
        <v/>
      </c>
      <c r="P67" s="7">
        <f>IF(A67="","",IF(B67&gt;0,1-O67-I67,0))</f>
        <v/>
      </c>
      <c r="Q67" s="6">
        <f>IF(A67="","",B67*P67)</f>
        <v/>
      </c>
      <c r="R67" s="7">
        <f>IF(A67="","",IF(B67&gt;0,P67-J67,0))</f>
        <v/>
      </c>
      <c r="S67" s="6">
        <f>IF(A67="","",B67*R67)</f>
        <v/>
      </c>
      <c r="T67" s="8">
        <f>IF(A67="","",IF(K67&gt;0,S67*K67,""))</f>
        <v/>
      </c>
      <c r="U67" s="8">
        <f>IF(A67="","",IFERROR(B67/Q67,0))</f>
        <v/>
      </c>
      <c r="V67" s="9">
        <f>IF(A67="","",IF(OR(S67&lt;=0,Q67&lt;=0),"Drop",IF(P67&gt;=0.6,"Profit product",IF(P67&gt;=0.5,"Traffic product","Thin - rework"))))</f>
        <v/>
      </c>
    </row>
    <row r="68">
      <c r="B68" s="3" t="n"/>
      <c r="C68" s="3" t="n"/>
      <c r="D68" s="3" t="n"/>
      <c r="E68" s="3" t="n"/>
      <c r="F68" s="4" t="n"/>
      <c r="G68" s="3" t="n"/>
      <c r="H68" s="4" t="n"/>
      <c r="I68" s="4" t="n"/>
      <c r="J68" s="4" t="n"/>
      <c r="K68" s="5" t="n"/>
      <c r="L68" s="6">
        <f>IF(A68="","",B68*F68+G68)</f>
        <v/>
      </c>
      <c r="M68" s="7">
        <f>IF(A68="","",IFERROR((C68+D68+E68)/B68,0))</f>
        <v/>
      </c>
      <c r="N68" s="7">
        <f>IF(A68="","",IFERROR(L68/B68,0)+H68)</f>
        <v/>
      </c>
      <c r="O68" s="7">
        <f>IF(A68="","",M68+N68)</f>
        <v/>
      </c>
      <c r="P68" s="7">
        <f>IF(A68="","",IF(B68&gt;0,1-O68-I68,0))</f>
        <v/>
      </c>
      <c r="Q68" s="6">
        <f>IF(A68="","",B68*P68)</f>
        <v/>
      </c>
      <c r="R68" s="7">
        <f>IF(A68="","",IF(B68&gt;0,P68-J68,0))</f>
        <v/>
      </c>
      <c r="S68" s="6">
        <f>IF(A68="","",B68*R68)</f>
        <v/>
      </c>
      <c r="T68" s="8">
        <f>IF(A68="","",IF(K68&gt;0,S68*K68,""))</f>
        <v/>
      </c>
      <c r="U68" s="8">
        <f>IF(A68="","",IFERROR(B68/Q68,0))</f>
        <v/>
      </c>
      <c r="V68" s="9">
        <f>IF(A68="","",IF(OR(S68&lt;=0,Q68&lt;=0),"Drop",IF(P68&gt;=0.6,"Profit product",IF(P68&gt;=0.5,"Traffic product","Thin - rework"))))</f>
        <v/>
      </c>
    </row>
    <row r="69">
      <c r="B69" s="3" t="n"/>
      <c r="C69" s="3" t="n"/>
      <c r="D69" s="3" t="n"/>
      <c r="E69" s="3" t="n"/>
      <c r="F69" s="4" t="n"/>
      <c r="G69" s="3" t="n"/>
      <c r="H69" s="4" t="n"/>
      <c r="I69" s="4" t="n"/>
      <c r="J69" s="4" t="n"/>
      <c r="K69" s="5" t="n"/>
      <c r="L69" s="6">
        <f>IF(A69="","",B69*F69+G69)</f>
        <v/>
      </c>
      <c r="M69" s="7">
        <f>IF(A69="","",IFERROR((C69+D69+E69)/B69,0))</f>
        <v/>
      </c>
      <c r="N69" s="7">
        <f>IF(A69="","",IFERROR(L69/B69,0)+H69)</f>
        <v/>
      </c>
      <c r="O69" s="7">
        <f>IF(A69="","",M69+N69)</f>
        <v/>
      </c>
      <c r="P69" s="7">
        <f>IF(A69="","",IF(B69&gt;0,1-O69-I69,0))</f>
        <v/>
      </c>
      <c r="Q69" s="6">
        <f>IF(A69="","",B69*P69)</f>
        <v/>
      </c>
      <c r="R69" s="7">
        <f>IF(A69="","",IF(B69&gt;0,P69-J69,0))</f>
        <v/>
      </c>
      <c r="S69" s="6">
        <f>IF(A69="","",B69*R69)</f>
        <v/>
      </c>
      <c r="T69" s="8">
        <f>IF(A69="","",IF(K69&gt;0,S69*K69,""))</f>
        <v/>
      </c>
      <c r="U69" s="8">
        <f>IF(A69="","",IFERROR(B69/Q69,0))</f>
        <v/>
      </c>
      <c r="V69" s="9">
        <f>IF(A69="","",IF(OR(S69&lt;=0,Q69&lt;=0),"Drop",IF(P69&gt;=0.6,"Profit product",IF(P69&gt;=0.5,"Traffic product","Thin - rework"))))</f>
        <v/>
      </c>
    </row>
    <row r="70">
      <c r="B70" s="3" t="n"/>
      <c r="C70" s="3" t="n"/>
      <c r="D70" s="3" t="n"/>
      <c r="E70" s="3" t="n"/>
      <c r="F70" s="4" t="n"/>
      <c r="G70" s="3" t="n"/>
      <c r="H70" s="4" t="n"/>
      <c r="I70" s="4" t="n"/>
      <c r="J70" s="4" t="n"/>
      <c r="K70" s="5" t="n"/>
      <c r="L70" s="6">
        <f>IF(A70="","",B70*F70+G70)</f>
        <v/>
      </c>
      <c r="M70" s="7">
        <f>IF(A70="","",IFERROR((C70+D70+E70)/B70,0))</f>
        <v/>
      </c>
      <c r="N70" s="7">
        <f>IF(A70="","",IFERROR(L70/B70,0)+H70)</f>
        <v/>
      </c>
      <c r="O70" s="7">
        <f>IF(A70="","",M70+N70)</f>
        <v/>
      </c>
      <c r="P70" s="7">
        <f>IF(A70="","",IF(B70&gt;0,1-O70-I70,0))</f>
        <v/>
      </c>
      <c r="Q70" s="6">
        <f>IF(A70="","",B70*P70)</f>
        <v/>
      </c>
      <c r="R70" s="7">
        <f>IF(A70="","",IF(B70&gt;0,P70-J70,0))</f>
        <v/>
      </c>
      <c r="S70" s="6">
        <f>IF(A70="","",B70*R70)</f>
        <v/>
      </c>
      <c r="T70" s="8">
        <f>IF(A70="","",IF(K70&gt;0,S70*K70,""))</f>
        <v/>
      </c>
      <c r="U70" s="8">
        <f>IF(A70="","",IFERROR(B70/Q70,0))</f>
        <v/>
      </c>
      <c r="V70" s="9">
        <f>IF(A70="","",IF(OR(S70&lt;=0,Q70&lt;=0),"Drop",IF(P70&gt;=0.6,"Profit product",IF(P70&gt;=0.5,"Traffic product","Thin - rework"))))</f>
        <v/>
      </c>
    </row>
    <row r="71">
      <c r="B71" s="3" t="n"/>
      <c r="C71" s="3" t="n"/>
      <c r="D71" s="3" t="n"/>
      <c r="E71" s="3" t="n"/>
      <c r="F71" s="4" t="n"/>
      <c r="G71" s="3" t="n"/>
      <c r="H71" s="4" t="n"/>
      <c r="I71" s="4" t="n"/>
      <c r="J71" s="4" t="n"/>
      <c r="K71" s="5" t="n"/>
      <c r="L71" s="6">
        <f>IF(A71="","",B71*F71+G71)</f>
        <v/>
      </c>
      <c r="M71" s="7">
        <f>IF(A71="","",IFERROR((C71+D71+E71)/B71,0))</f>
        <v/>
      </c>
      <c r="N71" s="7">
        <f>IF(A71="","",IFERROR(L71/B71,0)+H71)</f>
        <v/>
      </c>
      <c r="O71" s="7">
        <f>IF(A71="","",M71+N71)</f>
        <v/>
      </c>
      <c r="P71" s="7">
        <f>IF(A71="","",IF(B71&gt;0,1-O71-I71,0))</f>
        <v/>
      </c>
      <c r="Q71" s="6">
        <f>IF(A71="","",B71*P71)</f>
        <v/>
      </c>
      <c r="R71" s="7">
        <f>IF(A71="","",IF(B71&gt;0,P71-J71,0))</f>
        <v/>
      </c>
      <c r="S71" s="6">
        <f>IF(A71="","",B71*R71)</f>
        <v/>
      </c>
      <c r="T71" s="8">
        <f>IF(A71="","",IF(K71&gt;0,S71*K71,""))</f>
        <v/>
      </c>
      <c r="U71" s="8">
        <f>IF(A71="","",IFERROR(B71/Q71,0))</f>
        <v/>
      </c>
      <c r="V71" s="9">
        <f>IF(A71="","",IF(OR(S71&lt;=0,Q71&lt;=0),"Drop",IF(P71&gt;=0.6,"Profit product",IF(P71&gt;=0.5,"Traffic product","Thin - rework"))))</f>
        <v/>
      </c>
    </row>
    <row r="72">
      <c r="B72" s="3" t="n"/>
      <c r="C72" s="3" t="n"/>
      <c r="D72" s="3" t="n"/>
      <c r="E72" s="3" t="n"/>
      <c r="F72" s="4" t="n"/>
      <c r="G72" s="3" t="n"/>
      <c r="H72" s="4" t="n"/>
      <c r="I72" s="4" t="n"/>
      <c r="J72" s="4" t="n"/>
      <c r="K72" s="5" t="n"/>
      <c r="L72" s="6">
        <f>IF(A72="","",B72*F72+G72)</f>
        <v/>
      </c>
      <c r="M72" s="7">
        <f>IF(A72="","",IFERROR((C72+D72+E72)/B72,0))</f>
        <v/>
      </c>
      <c r="N72" s="7">
        <f>IF(A72="","",IFERROR(L72/B72,0)+H72)</f>
        <v/>
      </c>
      <c r="O72" s="7">
        <f>IF(A72="","",M72+N72)</f>
        <v/>
      </c>
      <c r="P72" s="7">
        <f>IF(A72="","",IF(B72&gt;0,1-O72-I72,0))</f>
        <v/>
      </c>
      <c r="Q72" s="6">
        <f>IF(A72="","",B72*P72)</f>
        <v/>
      </c>
      <c r="R72" s="7">
        <f>IF(A72="","",IF(B72&gt;0,P72-J72,0))</f>
        <v/>
      </c>
      <c r="S72" s="6">
        <f>IF(A72="","",B72*R72)</f>
        <v/>
      </c>
      <c r="T72" s="8">
        <f>IF(A72="","",IF(K72&gt;0,S72*K72,""))</f>
        <v/>
      </c>
      <c r="U72" s="8">
        <f>IF(A72="","",IFERROR(B72/Q72,0))</f>
        <v/>
      </c>
      <c r="V72" s="9">
        <f>IF(A72="","",IF(OR(S72&lt;=0,Q72&lt;=0),"Drop",IF(P72&gt;=0.6,"Profit product",IF(P72&gt;=0.5,"Traffic product","Thin - rework"))))</f>
        <v/>
      </c>
    </row>
    <row r="73">
      <c r="B73" s="3" t="n"/>
      <c r="C73" s="3" t="n"/>
      <c r="D73" s="3" t="n"/>
      <c r="E73" s="3" t="n"/>
      <c r="F73" s="4" t="n"/>
      <c r="G73" s="3" t="n"/>
      <c r="H73" s="4" t="n"/>
      <c r="I73" s="4" t="n"/>
      <c r="J73" s="4" t="n"/>
      <c r="K73" s="5" t="n"/>
      <c r="L73" s="6">
        <f>IF(A73="","",B73*F73+G73)</f>
        <v/>
      </c>
      <c r="M73" s="7">
        <f>IF(A73="","",IFERROR((C73+D73+E73)/B73,0))</f>
        <v/>
      </c>
      <c r="N73" s="7">
        <f>IF(A73="","",IFERROR(L73/B73,0)+H73)</f>
        <v/>
      </c>
      <c r="O73" s="7">
        <f>IF(A73="","",M73+N73)</f>
        <v/>
      </c>
      <c r="P73" s="7">
        <f>IF(A73="","",IF(B73&gt;0,1-O73-I73,0))</f>
        <v/>
      </c>
      <c r="Q73" s="6">
        <f>IF(A73="","",B73*P73)</f>
        <v/>
      </c>
      <c r="R73" s="7">
        <f>IF(A73="","",IF(B73&gt;0,P73-J73,0))</f>
        <v/>
      </c>
      <c r="S73" s="6">
        <f>IF(A73="","",B73*R73)</f>
        <v/>
      </c>
      <c r="T73" s="8">
        <f>IF(A73="","",IF(K73&gt;0,S73*K73,""))</f>
        <v/>
      </c>
      <c r="U73" s="8">
        <f>IF(A73="","",IFERROR(B73/Q73,0))</f>
        <v/>
      </c>
      <c r="V73" s="9">
        <f>IF(A73="","",IF(OR(S73&lt;=0,Q73&lt;=0),"Drop",IF(P73&gt;=0.6,"Profit product",IF(P73&gt;=0.5,"Traffic product","Thin - rework"))))</f>
        <v/>
      </c>
    </row>
    <row r="74">
      <c r="B74" s="3" t="n"/>
      <c r="C74" s="3" t="n"/>
      <c r="D74" s="3" t="n"/>
      <c r="E74" s="3" t="n"/>
      <c r="F74" s="4" t="n"/>
      <c r="G74" s="3" t="n"/>
      <c r="H74" s="4" t="n"/>
      <c r="I74" s="4" t="n"/>
      <c r="J74" s="4" t="n"/>
      <c r="K74" s="5" t="n"/>
      <c r="L74" s="6">
        <f>IF(A74="","",B74*F74+G74)</f>
        <v/>
      </c>
      <c r="M74" s="7">
        <f>IF(A74="","",IFERROR((C74+D74+E74)/B74,0))</f>
        <v/>
      </c>
      <c r="N74" s="7">
        <f>IF(A74="","",IFERROR(L74/B74,0)+H74)</f>
        <v/>
      </c>
      <c r="O74" s="7">
        <f>IF(A74="","",M74+N74)</f>
        <v/>
      </c>
      <c r="P74" s="7">
        <f>IF(A74="","",IF(B74&gt;0,1-O74-I74,0))</f>
        <v/>
      </c>
      <c r="Q74" s="6">
        <f>IF(A74="","",B74*P74)</f>
        <v/>
      </c>
      <c r="R74" s="7">
        <f>IF(A74="","",IF(B74&gt;0,P74-J74,0))</f>
        <v/>
      </c>
      <c r="S74" s="6">
        <f>IF(A74="","",B74*R74)</f>
        <v/>
      </c>
      <c r="T74" s="8">
        <f>IF(A74="","",IF(K74&gt;0,S74*K74,""))</f>
        <v/>
      </c>
      <c r="U74" s="8">
        <f>IF(A74="","",IFERROR(B74/Q74,0))</f>
        <v/>
      </c>
      <c r="V74" s="9">
        <f>IF(A74="","",IF(OR(S74&lt;=0,Q74&lt;=0),"Drop",IF(P74&gt;=0.6,"Profit product",IF(P74&gt;=0.5,"Traffic product","Thin - rework"))))</f>
        <v/>
      </c>
    </row>
    <row r="75">
      <c r="B75" s="3" t="n"/>
      <c r="C75" s="3" t="n"/>
      <c r="D75" s="3" t="n"/>
      <c r="E75" s="3" t="n"/>
      <c r="F75" s="4" t="n"/>
      <c r="G75" s="3" t="n"/>
      <c r="H75" s="4" t="n"/>
      <c r="I75" s="4" t="n"/>
      <c r="J75" s="4" t="n"/>
      <c r="K75" s="5" t="n"/>
      <c r="L75" s="6">
        <f>IF(A75="","",B75*F75+G75)</f>
        <v/>
      </c>
      <c r="M75" s="7">
        <f>IF(A75="","",IFERROR((C75+D75+E75)/B75,0))</f>
        <v/>
      </c>
      <c r="N75" s="7">
        <f>IF(A75="","",IFERROR(L75/B75,0)+H75)</f>
        <v/>
      </c>
      <c r="O75" s="7">
        <f>IF(A75="","",M75+N75)</f>
        <v/>
      </c>
      <c r="P75" s="7">
        <f>IF(A75="","",IF(B75&gt;0,1-O75-I75,0))</f>
        <v/>
      </c>
      <c r="Q75" s="6">
        <f>IF(A75="","",B75*P75)</f>
        <v/>
      </c>
      <c r="R75" s="7">
        <f>IF(A75="","",IF(B75&gt;0,P75-J75,0))</f>
        <v/>
      </c>
      <c r="S75" s="6">
        <f>IF(A75="","",B75*R75)</f>
        <v/>
      </c>
      <c r="T75" s="8">
        <f>IF(A75="","",IF(K75&gt;0,S75*K75,""))</f>
        <v/>
      </c>
      <c r="U75" s="8">
        <f>IF(A75="","",IFERROR(B75/Q75,0))</f>
        <v/>
      </c>
      <c r="V75" s="9">
        <f>IF(A75="","",IF(OR(S75&lt;=0,Q75&lt;=0),"Drop",IF(P75&gt;=0.6,"Profit product",IF(P75&gt;=0.5,"Traffic product","Thin - rework"))))</f>
        <v/>
      </c>
    </row>
    <row r="76">
      <c r="B76" s="3" t="n"/>
      <c r="C76" s="3" t="n"/>
      <c r="D76" s="3" t="n"/>
      <c r="E76" s="3" t="n"/>
      <c r="F76" s="4" t="n"/>
      <c r="G76" s="3" t="n"/>
      <c r="H76" s="4" t="n"/>
      <c r="I76" s="4" t="n"/>
      <c r="J76" s="4" t="n"/>
      <c r="K76" s="5" t="n"/>
      <c r="L76" s="6">
        <f>IF(A76="","",B76*F76+G76)</f>
        <v/>
      </c>
      <c r="M76" s="7">
        <f>IF(A76="","",IFERROR((C76+D76+E76)/B76,0))</f>
        <v/>
      </c>
      <c r="N76" s="7">
        <f>IF(A76="","",IFERROR(L76/B76,0)+H76)</f>
        <v/>
      </c>
      <c r="O76" s="7">
        <f>IF(A76="","",M76+N76)</f>
        <v/>
      </c>
      <c r="P76" s="7">
        <f>IF(A76="","",IF(B76&gt;0,1-O76-I76,0))</f>
        <v/>
      </c>
      <c r="Q76" s="6">
        <f>IF(A76="","",B76*P76)</f>
        <v/>
      </c>
      <c r="R76" s="7">
        <f>IF(A76="","",IF(B76&gt;0,P76-J76,0))</f>
        <v/>
      </c>
      <c r="S76" s="6">
        <f>IF(A76="","",B76*R76)</f>
        <v/>
      </c>
      <c r="T76" s="8">
        <f>IF(A76="","",IF(K76&gt;0,S76*K76,""))</f>
        <v/>
      </c>
      <c r="U76" s="8">
        <f>IF(A76="","",IFERROR(B76/Q76,0))</f>
        <v/>
      </c>
      <c r="V76" s="9">
        <f>IF(A76="","",IF(OR(S76&lt;=0,Q76&lt;=0),"Drop",IF(P76&gt;=0.6,"Profit product",IF(P76&gt;=0.5,"Traffic product","Thin - rework"))))</f>
        <v/>
      </c>
    </row>
    <row r="77">
      <c r="B77" s="3" t="n"/>
      <c r="C77" s="3" t="n"/>
      <c r="D77" s="3" t="n"/>
      <c r="E77" s="3" t="n"/>
      <c r="F77" s="4" t="n"/>
      <c r="G77" s="3" t="n"/>
      <c r="H77" s="4" t="n"/>
      <c r="I77" s="4" t="n"/>
      <c r="J77" s="4" t="n"/>
      <c r="K77" s="5" t="n"/>
      <c r="L77" s="6">
        <f>IF(A77="","",B77*F77+G77)</f>
        <v/>
      </c>
      <c r="M77" s="7">
        <f>IF(A77="","",IFERROR((C77+D77+E77)/B77,0))</f>
        <v/>
      </c>
      <c r="N77" s="7">
        <f>IF(A77="","",IFERROR(L77/B77,0)+H77)</f>
        <v/>
      </c>
      <c r="O77" s="7">
        <f>IF(A77="","",M77+N77)</f>
        <v/>
      </c>
      <c r="P77" s="7">
        <f>IF(A77="","",IF(B77&gt;0,1-O77-I77,0))</f>
        <v/>
      </c>
      <c r="Q77" s="6">
        <f>IF(A77="","",B77*P77)</f>
        <v/>
      </c>
      <c r="R77" s="7">
        <f>IF(A77="","",IF(B77&gt;0,P77-J77,0))</f>
        <v/>
      </c>
      <c r="S77" s="6">
        <f>IF(A77="","",B77*R77)</f>
        <v/>
      </c>
      <c r="T77" s="8">
        <f>IF(A77="","",IF(K77&gt;0,S77*K77,""))</f>
        <v/>
      </c>
      <c r="U77" s="8">
        <f>IF(A77="","",IFERROR(B77/Q77,0))</f>
        <v/>
      </c>
      <c r="V77" s="9">
        <f>IF(A77="","",IF(OR(S77&lt;=0,Q77&lt;=0),"Drop",IF(P77&gt;=0.6,"Profit product",IF(P77&gt;=0.5,"Traffic product","Thin - rework"))))</f>
        <v/>
      </c>
    </row>
    <row r="78">
      <c r="B78" s="3" t="n"/>
      <c r="C78" s="3" t="n"/>
      <c r="D78" s="3" t="n"/>
      <c r="E78" s="3" t="n"/>
      <c r="F78" s="4" t="n"/>
      <c r="G78" s="3" t="n"/>
      <c r="H78" s="4" t="n"/>
      <c r="I78" s="4" t="n"/>
      <c r="J78" s="4" t="n"/>
      <c r="K78" s="5" t="n"/>
      <c r="L78" s="6">
        <f>IF(A78="","",B78*F78+G78)</f>
        <v/>
      </c>
      <c r="M78" s="7">
        <f>IF(A78="","",IFERROR((C78+D78+E78)/B78,0))</f>
        <v/>
      </c>
      <c r="N78" s="7">
        <f>IF(A78="","",IFERROR(L78/B78,0)+H78)</f>
        <v/>
      </c>
      <c r="O78" s="7">
        <f>IF(A78="","",M78+N78)</f>
        <v/>
      </c>
      <c r="P78" s="7">
        <f>IF(A78="","",IF(B78&gt;0,1-O78-I78,0))</f>
        <v/>
      </c>
      <c r="Q78" s="6">
        <f>IF(A78="","",B78*P78)</f>
        <v/>
      </c>
      <c r="R78" s="7">
        <f>IF(A78="","",IF(B78&gt;0,P78-J78,0))</f>
        <v/>
      </c>
      <c r="S78" s="6">
        <f>IF(A78="","",B78*R78)</f>
        <v/>
      </c>
      <c r="T78" s="8">
        <f>IF(A78="","",IF(K78&gt;0,S78*K78,""))</f>
        <v/>
      </c>
      <c r="U78" s="8">
        <f>IF(A78="","",IFERROR(B78/Q78,0))</f>
        <v/>
      </c>
      <c r="V78" s="9">
        <f>IF(A78="","",IF(OR(S78&lt;=0,Q78&lt;=0),"Drop",IF(P78&gt;=0.6,"Profit product",IF(P78&gt;=0.5,"Traffic product","Thin - rework"))))</f>
        <v/>
      </c>
    </row>
    <row r="79">
      <c r="B79" s="3" t="n"/>
      <c r="C79" s="3" t="n"/>
      <c r="D79" s="3" t="n"/>
      <c r="E79" s="3" t="n"/>
      <c r="F79" s="4" t="n"/>
      <c r="G79" s="3" t="n"/>
      <c r="H79" s="4" t="n"/>
      <c r="I79" s="4" t="n"/>
      <c r="J79" s="4" t="n"/>
      <c r="K79" s="5" t="n"/>
      <c r="L79" s="6">
        <f>IF(A79="","",B79*F79+G79)</f>
        <v/>
      </c>
      <c r="M79" s="7">
        <f>IF(A79="","",IFERROR((C79+D79+E79)/B79,0))</f>
        <v/>
      </c>
      <c r="N79" s="7">
        <f>IF(A79="","",IFERROR(L79/B79,0)+H79)</f>
        <v/>
      </c>
      <c r="O79" s="7">
        <f>IF(A79="","",M79+N79)</f>
        <v/>
      </c>
      <c r="P79" s="7">
        <f>IF(A79="","",IF(B79&gt;0,1-O79-I79,0))</f>
        <v/>
      </c>
      <c r="Q79" s="6">
        <f>IF(A79="","",B79*P79)</f>
        <v/>
      </c>
      <c r="R79" s="7">
        <f>IF(A79="","",IF(B79&gt;0,P79-J79,0))</f>
        <v/>
      </c>
      <c r="S79" s="6">
        <f>IF(A79="","",B79*R79)</f>
        <v/>
      </c>
      <c r="T79" s="8">
        <f>IF(A79="","",IF(K79&gt;0,S79*K79,""))</f>
        <v/>
      </c>
      <c r="U79" s="8">
        <f>IF(A79="","",IFERROR(B79/Q79,0))</f>
        <v/>
      </c>
      <c r="V79" s="9">
        <f>IF(A79="","",IF(OR(S79&lt;=0,Q79&lt;=0),"Drop",IF(P79&gt;=0.6,"Profit product",IF(P79&gt;=0.5,"Traffic product","Thin - rework"))))</f>
        <v/>
      </c>
    </row>
    <row r="80">
      <c r="B80" s="3" t="n"/>
      <c r="C80" s="3" t="n"/>
      <c r="D80" s="3" t="n"/>
      <c r="E80" s="3" t="n"/>
      <c r="F80" s="4" t="n"/>
      <c r="G80" s="3" t="n"/>
      <c r="H80" s="4" t="n"/>
      <c r="I80" s="4" t="n"/>
      <c r="J80" s="4" t="n"/>
      <c r="K80" s="5" t="n"/>
      <c r="L80" s="6">
        <f>IF(A80="","",B80*F80+G80)</f>
        <v/>
      </c>
      <c r="M80" s="7">
        <f>IF(A80="","",IFERROR((C80+D80+E80)/B80,0))</f>
        <v/>
      </c>
      <c r="N80" s="7">
        <f>IF(A80="","",IFERROR(L80/B80,0)+H80)</f>
        <v/>
      </c>
      <c r="O80" s="7">
        <f>IF(A80="","",M80+N80)</f>
        <v/>
      </c>
      <c r="P80" s="7">
        <f>IF(A80="","",IF(B80&gt;0,1-O80-I80,0))</f>
        <v/>
      </c>
      <c r="Q80" s="6">
        <f>IF(A80="","",B80*P80)</f>
        <v/>
      </c>
      <c r="R80" s="7">
        <f>IF(A80="","",IF(B80&gt;0,P80-J80,0))</f>
        <v/>
      </c>
      <c r="S80" s="6">
        <f>IF(A80="","",B80*R80)</f>
        <v/>
      </c>
      <c r="T80" s="8">
        <f>IF(A80="","",IF(K80&gt;0,S80*K80,""))</f>
        <v/>
      </c>
      <c r="U80" s="8">
        <f>IF(A80="","",IFERROR(B80/Q80,0))</f>
        <v/>
      </c>
      <c r="V80" s="9">
        <f>IF(A80="","",IF(OR(S80&lt;=0,Q80&lt;=0),"Drop",IF(P80&gt;=0.6,"Profit product",IF(P80&gt;=0.5,"Traffic product","Thin - rework"))))</f>
        <v/>
      </c>
    </row>
    <row r="81">
      <c r="B81" s="3" t="n"/>
      <c r="C81" s="3" t="n"/>
      <c r="D81" s="3" t="n"/>
      <c r="E81" s="3" t="n"/>
      <c r="F81" s="4" t="n"/>
      <c r="G81" s="3" t="n"/>
      <c r="H81" s="4" t="n"/>
      <c r="I81" s="4" t="n"/>
      <c r="J81" s="4" t="n"/>
      <c r="K81" s="5" t="n"/>
      <c r="L81" s="6">
        <f>IF(A81="","",B81*F81+G81)</f>
        <v/>
      </c>
      <c r="M81" s="7">
        <f>IF(A81="","",IFERROR((C81+D81+E81)/B81,0))</f>
        <v/>
      </c>
      <c r="N81" s="7">
        <f>IF(A81="","",IFERROR(L81/B81,0)+H81)</f>
        <v/>
      </c>
      <c r="O81" s="7">
        <f>IF(A81="","",M81+N81)</f>
        <v/>
      </c>
      <c r="P81" s="7">
        <f>IF(A81="","",IF(B81&gt;0,1-O81-I81,0))</f>
        <v/>
      </c>
      <c r="Q81" s="6">
        <f>IF(A81="","",B81*P81)</f>
        <v/>
      </c>
      <c r="R81" s="7">
        <f>IF(A81="","",IF(B81&gt;0,P81-J81,0))</f>
        <v/>
      </c>
      <c r="S81" s="6">
        <f>IF(A81="","",B81*R81)</f>
        <v/>
      </c>
      <c r="T81" s="8">
        <f>IF(A81="","",IF(K81&gt;0,S81*K81,""))</f>
        <v/>
      </c>
      <c r="U81" s="8">
        <f>IF(A81="","",IFERROR(B81/Q81,0))</f>
        <v/>
      </c>
      <c r="V81" s="9">
        <f>IF(A81="","",IF(OR(S81&lt;=0,Q81&lt;=0),"Drop",IF(P81&gt;=0.6,"Profit product",IF(P81&gt;=0.5,"Traffic product","Thin - rework"))))</f>
        <v/>
      </c>
    </row>
    <row r="82">
      <c r="B82" s="3" t="n"/>
      <c r="C82" s="3" t="n"/>
      <c r="D82" s="3" t="n"/>
      <c r="E82" s="3" t="n"/>
      <c r="F82" s="4" t="n"/>
      <c r="G82" s="3" t="n"/>
      <c r="H82" s="4" t="n"/>
      <c r="I82" s="4" t="n"/>
      <c r="J82" s="4" t="n"/>
      <c r="K82" s="5" t="n"/>
      <c r="L82" s="6">
        <f>IF(A82="","",B82*F82+G82)</f>
        <v/>
      </c>
      <c r="M82" s="7">
        <f>IF(A82="","",IFERROR((C82+D82+E82)/B82,0))</f>
        <v/>
      </c>
      <c r="N82" s="7">
        <f>IF(A82="","",IFERROR(L82/B82,0)+H82)</f>
        <v/>
      </c>
      <c r="O82" s="7">
        <f>IF(A82="","",M82+N82)</f>
        <v/>
      </c>
      <c r="P82" s="7">
        <f>IF(A82="","",IF(B82&gt;0,1-O82-I82,0))</f>
        <v/>
      </c>
      <c r="Q82" s="6">
        <f>IF(A82="","",B82*P82)</f>
        <v/>
      </c>
      <c r="R82" s="7">
        <f>IF(A82="","",IF(B82&gt;0,P82-J82,0))</f>
        <v/>
      </c>
      <c r="S82" s="6">
        <f>IF(A82="","",B82*R82)</f>
        <v/>
      </c>
      <c r="T82" s="8">
        <f>IF(A82="","",IF(K82&gt;0,S82*K82,""))</f>
        <v/>
      </c>
      <c r="U82" s="8">
        <f>IF(A82="","",IFERROR(B82/Q82,0))</f>
        <v/>
      </c>
      <c r="V82" s="9">
        <f>IF(A82="","",IF(OR(S82&lt;=0,Q82&lt;=0),"Drop",IF(P82&gt;=0.6,"Profit product",IF(P82&gt;=0.5,"Traffic product","Thin - rework"))))</f>
        <v/>
      </c>
    </row>
    <row r="83">
      <c r="B83" s="3" t="n"/>
      <c r="C83" s="3" t="n"/>
      <c r="D83" s="3" t="n"/>
      <c r="E83" s="3" t="n"/>
      <c r="F83" s="4" t="n"/>
      <c r="G83" s="3" t="n"/>
      <c r="H83" s="4" t="n"/>
      <c r="I83" s="4" t="n"/>
      <c r="J83" s="4" t="n"/>
      <c r="K83" s="5" t="n"/>
      <c r="L83" s="6">
        <f>IF(A83="","",B83*F83+G83)</f>
        <v/>
      </c>
      <c r="M83" s="7">
        <f>IF(A83="","",IFERROR((C83+D83+E83)/B83,0))</f>
        <v/>
      </c>
      <c r="N83" s="7">
        <f>IF(A83="","",IFERROR(L83/B83,0)+H83)</f>
        <v/>
      </c>
      <c r="O83" s="7">
        <f>IF(A83="","",M83+N83)</f>
        <v/>
      </c>
      <c r="P83" s="7">
        <f>IF(A83="","",IF(B83&gt;0,1-O83-I83,0))</f>
        <v/>
      </c>
      <c r="Q83" s="6">
        <f>IF(A83="","",B83*P83)</f>
        <v/>
      </c>
      <c r="R83" s="7">
        <f>IF(A83="","",IF(B83&gt;0,P83-J83,0))</f>
        <v/>
      </c>
      <c r="S83" s="6">
        <f>IF(A83="","",B83*R83)</f>
        <v/>
      </c>
      <c r="T83" s="8">
        <f>IF(A83="","",IF(K83&gt;0,S83*K83,""))</f>
        <v/>
      </c>
      <c r="U83" s="8">
        <f>IF(A83="","",IFERROR(B83/Q83,0))</f>
        <v/>
      </c>
      <c r="V83" s="9">
        <f>IF(A83="","",IF(OR(S83&lt;=0,Q83&lt;=0),"Drop",IF(P83&gt;=0.6,"Profit product",IF(P83&gt;=0.5,"Traffic product","Thin - rework"))))</f>
        <v/>
      </c>
    </row>
    <row r="84">
      <c r="B84" s="3" t="n"/>
      <c r="C84" s="3" t="n"/>
      <c r="D84" s="3" t="n"/>
      <c r="E84" s="3" t="n"/>
      <c r="F84" s="4" t="n"/>
      <c r="G84" s="3" t="n"/>
      <c r="H84" s="4" t="n"/>
      <c r="I84" s="4" t="n"/>
      <c r="J84" s="4" t="n"/>
      <c r="K84" s="5" t="n"/>
      <c r="L84" s="6">
        <f>IF(A84="","",B84*F84+G84)</f>
        <v/>
      </c>
      <c r="M84" s="7">
        <f>IF(A84="","",IFERROR((C84+D84+E84)/B84,0))</f>
        <v/>
      </c>
      <c r="N84" s="7">
        <f>IF(A84="","",IFERROR(L84/B84,0)+H84)</f>
        <v/>
      </c>
      <c r="O84" s="7">
        <f>IF(A84="","",M84+N84)</f>
        <v/>
      </c>
      <c r="P84" s="7">
        <f>IF(A84="","",IF(B84&gt;0,1-O84-I84,0))</f>
        <v/>
      </c>
      <c r="Q84" s="6">
        <f>IF(A84="","",B84*P84)</f>
        <v/>
      </c>
      <c r="R84" s="7">
        <f>IF(A84="","",IF(B84&gt;0,P84-J84,0))</f>
        <v/>
      </c>
      <c r="S84" s="6">
        <f>IF(A84="","",B84*R84)</f>
        <v/>
      </c>
      <c r="T84" s="8">
        <f>IF(A84="","",IF(K84&gt;0,S84*K84,""))</f>
        <v/>
      </c>
      <c r="U84" s="8">
        <f>IF(A84="","",IFERROR(B84/Q84,0))</f>
        <v/>
      </c>
      <c r="V84" s="9">
        <f>IF(A84="","",IF(OR(S84&lt;=0,Q84&lt;=0),"Drop",IF(P84&gt;=0.6,"Profit product",IF(P84&gt;=0.5,"Traffic product","Thin - rework"))))</f>
        <v/>
      </c>
    </row>
    <row r="85">
      <c r="B85" s="3" t="n"/>
      <c r="C85" s="3" t="n"/>
      <c r="D85" s="3" t="n"/>
      <c r="E85" s="3" t="n"/>
      <c r="F85" s="4" t="n"/>
      <c r="G85" s="3" t="n"/>
      <c r="H85" s="4" t="n"/>
      <c r="I85" s="4" t="n"/>
      <c r="J85" s="4" t="n"/>
      <c r="K85" s="5" t="n"/>
      <c r="L85" s="6">
        <f>IF(A85="","",B85*F85+G85)</f>
        <v/>
      </c>
      <c r="M85" s="7">
        <f>IF(A85="","",IFERROR((C85+D85+E85)/B85,0))</f>
        <v/>
      </c>
      <c r="N85" s="7">
        <f>IF(A85="","",IFERROR(L85/B85,0)+H85)</f>
        <v/>
      </c>
      <c r="O85" s="7">
        <f>IF(A85="","",M85+N85)</f>
        <v/>
      </c>
      <c r="P85" s="7">
        <f>IF(A85="","",IF(B85&gt;0,1-O85-I85,0))</f>
        <v/>
      </c>
      <c r="Q85" s="6">
        <f>IF(A85="","",B85*P85)</f>
        <v/>
      </c>
      <c r="R85" s="7">
        <f>IF(A85="","",IF(B85&gt;0,P85-J85,0))</f>
        <v/>
      </c>
      <c r="S85" s="6">
        <f>IF(A85="","",B85*R85)</f>
        <v/>
      </c>
      <c r="T85" s="8">
        <f>IF(A85="","",IF(K85&gt;0,S85*K85,""))</f>
        <v/>
      </c>
      <c r="U85" s="8">
        <f>IF(A85="","",IFERROR(B85/Q85,0))</f>
        <v/>
      </c>
      <c r="V85" s="9">
        <f>IF(A85="","",IF(OR(S85&lt;=0,Q85&lt;=0),"Drop",IF(P85&gt;=0.6,"Profit product",IF(P85&gt;=0.5,"Traffic product","Thin - rework"))))</f>
        <v/>
      </c>
    </row>
    <row r="86">
      <c r="B86" s="3" t="n"/>
      <c r="C86" s="3" t="n"/>
      <c r="D86" s="3" t="n"/>
      <c r="E86" s="3" t="n"/>
      <c r="F86" s="4" t="n"/>
      <c r="G86" s="3" t="n"/>
      <c r="H86" s="4" t="n"/>
      <c r="I86" s="4" t="n"/>
      <c r="J86" s="4" t="n"/>
      <c r="K86" s="5" t="n"/>
      <c r="L86" s="6">
        <f>IF(A86="","",B86*F86+G86)</f>
        <v/>
      </c>
      <c r="M86" s="7">
        <f>IF(A86="","",IFERROR((C86+D86+E86)/B86,0))</f>
        <v/>
      </c>
      <c r="N86" s="7">
        <f>IF(A86="","",IFERROR(L86/B86,0)+H86)</f>
        <v/>
      </c>
      <c r="O86" s="7">
        <f>IF(A86="","",M86+N86)</f>
        <v/>
      </c>
      <c r="P86" s="7">
        <f>IF(A86="","",IF(B86&gt;0,1-O86-I86,0))</f>
        <v/>
      </c>
      <c r="Q86" s="6">
        <f>IF(A86="","",B86*P86)</f>
        <v/>
      </c>
      <c r="R86" s="7">
        <f>IF(A86="","",IF(B86&gt;0,P86-J86,0))</f>
        <v/>
      </c>
      <c r="S86" s="6">
        <f>IF(A86="","",B86*R86)</f>
        <v/>
      </c>
      <c r="T86" s="8">
        <f>IF(A86="","",IF(K86&gt;0,S86*K86,""))</f>
        <v/>
      </c>
      <c r="U86" s="8">
        <f>IF(A86="","",IFERROR(B86/Q86,0))</f>
        <v/>
      </c>
      <c r="V86" s="9">
        <f>IF(A86="","",IF(OR(S86&lt;=0,Q86&lt;=0),"Drop",IF(P86&gt;=0.6,"Profit product",IF(P86&gt;=0.5,"Traffic product","Thin - rework"))))</f>
        <v/>
      </c>
    </row>
    <row r="87">
      <c r="B87" s="3" t="n"/>
      <c r="C87" s="3" t="n"/>
      <c r="D87" s="3" t="n"/>
      <c r="E87" s="3" t="n"/>
      <c r="F87" s="4" t="n"/>
      <c r="G87" s="3" t="n"/>
      <c r="H87" s="4" t="n"/>
      <c r="I87" s="4" t="n"/>
      <c r="J87" s="4" t="n"/>
      <c r="K87" s="5" t="n"/>
      <c r="L87" s="6">
        <f>IF(A87="","",B87*F87+G87)</f>
        <v/>
      </c>
      <c r="M87" s="7">
        <f>IF(A87="","",IFERROR((C87+D87+E87)/B87,0))</f>
        <v/>
      </c>
      <c r="N87" s="7">
        <f>IF(A87="","",IFERROR(L87/B87,0)+H87)</f>
        <v/>
      </c>
      <c r="O87" s="7">
        <f>IF(A87="","",M87+N87)</f>
        <v/>
      </c>
      <c r="P87" s="7">
        <f>IF(A87="","",IF(B87&gt;0,1-O87-I87,0))</f>
        <v/>
      </c>
      <c r="Q87" s="6">
        <f>IF(A87="","",B87*P87)</f>
        <v/>
      </c>
      <c r="R87" s="7">
        <f>IF(A87="","",IF(B87&gt;0,P87-J87,0))</f>
        <v/>
      </c>
      <c r="S87" s="6">
        <f>IF(A87="","",B87*R87)</f>
        <v/>
      </c>
      <c r="T87" s="8">
        <f>IF(A87="","",IF(K87&gt;0,S87*K87,""))</f>
        <v/>
      </c>
      <c r="U87" s="8">
        <f>IF(A87="","",IFERROR(B87/Q87,0))</f>
        <v/>
      </c>
      <c r="V87" s="9">
        <f>IF(A87="","",IF(OR(S87&lt;=0,Q87&lt;=0),"Drop",IF(P87&gt;=0.6,"Profit product",IF(P87&gt;=0.5,"Traffic product","Thin - rework"))))</f>
        <v/>
      </c>
    </row>
    <row r="88">
      <c r="B88" s="3" t="n"/>
      <c r="C88" s="3" t="n"/>
      <c r="D88" s="3" t="n"/>
      <c r="E88" s="3" t="n"/>
      <c r="F88" s="4" t="n"/>
      <c r="G88" s="3" t="n"/>
      <c r="H88" s="4" t="n"/>
      <c r="I88" s="4" t="n"/>
      <c r="J88" s="4" t="n"/>
      <c r="K88" s="5" t="n"/>
      <c r="L88" s="6">
        <f>IF(A88="","",B88*F88+G88)</f>
        <v/>
      </c>
      <c r="M88" s="7">
        <f>IF(A88="","",IFERROR((C88+D88+E88)/B88,0))</f>
        <v/>
      </c>
      <c r="N88" s="7">
        <f>IF(A88="","",IFERROR(L88/B88,0)+H88)</f>
        <v/>
      </c>
      <c r="O88" s="7">
        <f>IF(A88="","",M88+N88)</f>
        <v/>
      </c>
      <c r="P88" s="7">
        <f>IF(A88="","",IF(B88&gt;0,1-O88-I88,0))</f>
        <v/>
      </c>
      <c r="Q88" s="6">
        <f>IF(A88="","",B88*P88)</f>
        <v/>
      </c>
      <c r="R88" s="7">
        <f>IF(A88="","",IF(B88&gt;0,P88-J88,0))</f>
        <v/>
      </c>
      <c r="S88" s="6">
        <f>IF(A88="","",B88*R88)</f>
        <v/>
      </c>
      <c r="T88" s="8">
        <f>IF(A88="","",IF(K88&gt;0,S88*K88,""))</f>
        <v/>
      </c>
      <c r="U88" s="8">
        <f>IF(A88="","",IFERROR(B88/Q88,0))</f>
        <v/>
      </c>
      <c r="V88" s="9">
        <f>IF(A88="","",IF(OR(S88&lt;=0,Q88&lt;=0),"Drop",IF(P88&gt;=0.6,"Profit product",IF(P88&gt;=0.5,"Traffic product","Thin - rework"))))</f>
        <v/>
      </c>
    </row>
    <row r="89">
      <c r="B89" s="3" t="n"/>
      <c r="C89" s="3" t="n"/>
      <c r="D89" s="3" t="n"/>
      <c r="E89" s="3" t="n"/>
      <c r="F89" s="4" t="n"/>
      <c r="G89" s="3" t="n"/>
      <c r="H89" s="4" t="n"/>
      <c r="I89" s="4" t="n"/>
      <c r="J89" s="4" t="n"/>
      <c r="K89" s="5" t="n"/>
      <c r="L89" s="6">
        <f>IF(A89="","",B89*F89+G89)</f>
        <v/>
      </c>
      <c r="M89" s="7">
        <f>IF(A89="","",IFERROR((C89+D89+E89)/B89,0))</f>
        <v/>
      </c>
      <c r="N89" s="7">
        <f>IF(A89="","",IFERROR(L89/B89,0)+H89)</f>
        <v/>
      </c>
      <c r="O89" s="7">
        <f>IF(A89="","",M89+N89)</f>
        <v/>
      </c>
      <c r="P89" s="7">
        <f>IF(A89="","",IF(B89&gt;0,1-O89-I89,0))</f>
        <v/>
      </c>
      <c r="Q89" s="6">
        <f>IF(A89="","",B89*P89)</f>
        <v/>
      </c>
      <c r="R89" s="7">
        <f>IF(A89="","",IF(B89&gt;0,P89-J89,0))</f>
        <v/>
      </c>
      <c r="S89" s="6">
        <f>IF(A89="","",B89*R89)</f>
        <v/>
      </c>
      <c r="T89" s="8">
        <f>IF(A89="","",IF(K89&gt;0,S89*K89,""))</f>
        <v/>
      </c>
      <c r="U89" s="8">
        <f>IF(A89="","",IFERROR(B89/Q89,0))</f>
        <v/>
      </c>
      <c r="V89" s="9">
        <f>IF(A89="","",IF(OR(S89&lt;=0,Q89&lt;=0),"Drop",IF(P89&gt;=0.6,"Profit product",IF(P89&gt;=0.5,"Traffic product","Thin - rework"))))</f>
        <v/>
      </c>
    </row>
    <row r="90">
      <c r="B90" s="3" t="n"/>
      <c r="C90" s="3" t="n"/>
      <c r="D90" s="3" t="n"/>
      <c r="E90" s="3" t="n"/>
      <c r="F90" s="4" t="n"/>
      <c r="G90" s="3" t="n"/>
      <c r="H90" s="4" t="n"/>
      <c r="I90" s="4" t="n"/>
      <c r="J90" s="4" t="n"/>
      <c r="K90" s="5" t="n"/>
      <c r="L90" s="6">
        <f>IF(A90="","",B90*F90+G90)</f>
        <v/>
      </c>
      <c r="M90" s="7">
        <f>IF(A90="","",IFERROR((C90+D90+E90)/B90,0))</f>
        <v/>
      </c>
      <c r="N90" s="7">
        <f>IF(A90="","",IFERROR(L90/B90,0)+H90)</f>
        <v/>
      </c>
      <c r="O90" s="7">
        <f>IF(A90="","",M90+N90)</f>
        <v/>
      </c>
      <c r="P90" s="7">
        <f>IF(A90="","",IF(B90&gt;0,1-O90-I90,0))</f>
        <v/>
      </c>
      <c r="Q90" s="6">
        <f>IF(A90="","",B90*P90)</f>
        <v/>
      </c>
      <c r="R90" s="7">
        <f>IF(A90="","",IF(B90&gt;0,P90-J90,0))</f>
        <v/>
      </c>
      <c r="S90" s="6">
        <f>IF(A90="","",B90*R90)</f>
        <v/>
      </c>
      <c r="T90" s="8">
        <f>IF(A90="","",IF(K90&gt;0,S90*K90,""))</f>
        <v/>
      </c>
      <c r="U90" s="8">
        <f>IF(A90="","",IFERROR(B90/Q90,0))</f>
        <v/>
      </c>
      <c r="V90" s="9">
        <f>IF(A90="","",IF(OR(S90&lt;=0,Q90&lt;=0),"Drop",IF(P90&gt;=0.6,"Profit product",IF(P90&gt;=0.5,"Traffic product","Thin - rework"))))</f>
        <v/>
      </c>
    </row>
    <row r="91">
      <c r="B91" s="3" t="n"/>
      <c r="C91" s="3" t="n"/>
      <c r="D91" s="3" t="n"/>
      <c r="E91" s="3" t="n"/>
      <c r="F91" s="4" t="n"/>
      <c r="G91" s="3" t="n"/>
      <c r="H91" s="4" t="n"/>
      <c r="I91" s="4" t="n"/>
      <c r="J91" s="4" t="n"/>
      <c r="K91" s="5" t="n"/>
      <c r="L91" s="6">
        <f>IF(A91="","",B91*F91+G91)</f>
        <v/>
      </c>
      <c r="M91" s="7">
        <f>IF(A91="","",IFERROR((C91+D91+E91)/B91,0))</f>
        <v/>
      </c>
      <c r="N91" s="7">
        <f>IF(A91="","",IFERROR(L91/B91,0)+H91)</f>
        <v/>
      </c>
      <c r="O91" s="7">
        <f>IF(A91="","",M91+N91)</f>
        <v/>
      </c>
      <c r="P91" s="7">
        <f>IF(A91="","",IF(B91&gt;0,1-O91-I91,0))</f>
        <v/>
      </c>
      <c r="Q91" s="6">
        <f>IF(A91="","",B91*P91)</f>
        <v/>
      </c>
      <c r="R91" s="7">
        <f>IF(A91="","",IF(B91&gt;0,P91-J91,0))</f>
        <v/>
      </c>
      <c r="S91" s="6">
        <f>IF(A91="","",B91*R91)</f>
        <v/>
      </c>
      <c r="T91" s="8">
        <f>IF(A91="","",IF(K91&gt;0,S91*K91,""))</f>
        <v/>
      </c>
      <c r="U91" s="8">
        <f>IF(A91="","",IFERROR(B91/Q91,0))</f>
        <v/>
      </c>
      <c r="V91" s="9">
        <f>IF(A91="","",IF(OR(S91&lt;=0,Q91&lt;=0),"Drop",IF(P91&gt;=0.6,"Profit product",IF(P91&gt;=0.5,"Traffic product","Thin - rework"))))</f>
        <v/>
      </c>
    </row>
    <row r="92">
      <c r="B92" s="3" t="n"/>
      <c r="C92" s="3" t="n"/>
      <c r="D92" s="3" t="n"/>
      <c r="E92" s="3" t="n"/>
      <c r="F92" s="4" t="n"/>
      <c r="G92" s="3" t="n"/>
      <c r="H92" s="4" t="n"/>
      <c r="I92" s="4" t="n"/>
      <c r="J92" s="4" t="n"/>
      <c r="K92" s="5" t="n"/>
      <c r="L92" s="6">
        <f>IF(A92="","",B92*F92+G92)</f>
        <v/>
      </c>
      <c r="M92" s="7">
        <f>IF(A92="","",IFERROR((C92+D92+E92)/B92,0))</f>
        <v/>
      </c>
      <c r="N92" s="7">
        <f>IF(A92="","",IFERROR(L92/B92,0)+H92)</f>
        <v/>
      </c>
      <c r="O92" s="7">
        <f>IF(A92="","",M92+N92)</f>
        <v/>
      </c>
      <c r="P92" s="7">
        <f>IF(A92="","",IF(B92&gt;0,1-O92-I92,0))</f>
        <v/>
      </c>
      <c r="Q92" s="6">
        <f>IF(A92="","",B92*P92)</f>
        <v/>
      </c>
      <c r="R92" s="7">
        <f>IF(A92="","",IF(B92&gt;0,P92-J92,0))</f>
        <v/>
      </c>
      <c r="S92" s="6">
        <f>IF(A92="","",B92*R92)</f>
        <v/>
      </c>
      <c r="T92" s="8">
        <f>IF(A92="","",IF(K92&gt;0,S92*K92,""))</f>
        <v/>
      </c>
      <c r="U92" s="8">
        <f>IF(A92="","",IFERROR(B92/Q92,0))</f>
        <v/>
      </c>
      <c r="V92" s="9">
        <f>IF(A92="","",IF(OR(S92&lt;=0,Q92&lt;=0),"Drop",IF(P92&gt;=0.6,"Profit product",IF(P92&gt;=0.5,"Traffic product","Thin - rework"))))</f>
        <v/>
      </c>
    </row>
    <row r="93">
      <c r="B93" s="3" t="n"/>
      <c r="C93" s="3" t="n"/>
      <c r="D93" s="3" t="n"/>
      <c r="E93" s="3" t="n"/>
      <c r="F93" s="4" t="n"/>
      <c r="G93" s="3" t="n"/>
      <c r="H93" s="4" t="n"/>
      <c r="I93" s="4" t="n"/>
      <c r="J93" s="4" t="n"/>
      <c r="K93" s="5" t="n"/>
      <c r="L93" s="6">
        <f>IF(A93="","",B93*F93+G93)</f>
        <v/>
      </c>
      <c r="M93" s="7">
        <f>IF(A93="","",IFERROR((C93+D93+E93)/B93,0))</f>
        <v/>
      </c>
      <c r="N93" s="7">
        <f>IF(A93="","",IFERROR(L93/B93,0)+H93)</f>
        <v/>
      </c>
      <c r="O93" s="7">
        <f>IF(A93="","",M93+N93)</f>
        <v/>
      </c>
      <c r="P93" s="7">
        <f>IF(A93="","",IF(B93&gt;0,1-O93-I93,0))</f>
        <v/>
      </c>
      <c r="Q93" s="6">
        <f>IF(A93="","",B93*P93)</f>
        <v/>
      </c>
      <c r="R93" s="7">
        <f>IF(A93="","",IF(B93&gt;0,P93-J93,0))</f>
        <v/>
      </c>
      <c r="S93" s="6">
        <f>IF(A93="","",B93*R93)</f>
        <v/>
      </c>
      <c r="T93" s="8">
        <f>IF(A93="","",IF(K93&gt;0,S93*K93,""))</f>
        <v/>
      </c>
      <c r="U93" s="8">
        <f>IF(A93="","",IFERROR(B93/Q93,0))</f>
        <v/>
      </c>
      <c r="V93" s="9">
        <f>IF(A93="","",IF(OR(S93&lt;=0,Q93&lt;=0),"Drop",IF(P93&gt;=0.6,"Profit product",IF(P93&gt;=0.5,"Traffic product","Thin - rework"))))</f>
        <v/>
      </c>
    </row>
    <row r="94">
      <c r="B94" s="3" t="n"/>
      <c r="C94" s="3" t="n"/>
      <c r="D94" s="3" t="n"/>
      <c r="E94" s="3" t="n"/>
      <c r="F94" s="4" t="n"/>
      <c r="G94" s="3" t="n"/>
      <c r="H94" s="4" t="n"/>
      <c r="I94" s="4" t="n"/>
      <c r="J94" s="4" t="n"/>
      <c r="K94" s="5" t="n"/>
      <c r="L94" s="6">
        <f>IF(A94="","",B94*F94+G94)</f>
        <v/>
      </c>
      <c r="M94" s="7">
        <f>IF(A94="","",IFERROR((C94+D94+E94)/B94,0))</f>
        <v/>
      </c>
      <c r="N94" s="7">
        <f>IF(A94="","",IFERROR(L94/B94,0)+H94)</f>
        <v/>
      </c>
      <c r="O94" s="7">
        <f>IF(A94="","",M94+N94)</f>
        <v/>
      </c>
      <c r="P94" s="7">
        <f>IF(A94="","",IF(B94&gt;0,1-O94-I94,0))</f>
        <v/>
      </c>
      <c r="Q94" s="6">
        <f>IF(A94="","",B94*P94)</f>
        <v/>
      </c>
      <c r="R94" s="7">
        <f>IF(A94="","",IF(B94&gt;0,P94-J94,0))</f>
        <v/>
      </c>
      <c r="S94" s="6">
        <f>IF(A94="","",B94*R94)</f>
        <v/>
      </c>
      <c r="T94" s="8">
        <f>IF(A94="","",IF(K94&gt;0,S94*K94,""))</f>
        <v/>
      </c>
      <c r="U94" s="8">
        <f>IF(A94="","",IFERROR(B94/Q94,0))</f>
        <v/>
      </c>
      <c r="V94" s="9">
        <f>IF(A94="","",IF(OR(S94&lt;=0,Q94&lt;=0),"Drop",IF(P94&gt;=0.6,"Profit product",IF(P94&gt;=0.5,"Traffic product","Thin - rework"))))</f>
        <v/>
      </c>
    </row>
    <row r="95">
      <c r="B95" s="3" t="n"/>
      <c r="C95" s="3" t="n"/>
      <c r="D95" s="3" t="n"/>
      <c r="E95" s="3" t="n"/>
      <c r="F95" s="4" t="n"/>
      <c r="G95" s="3" t="n"/>
      <c r="H95" s="4" t="n"/>
      <c r="I95" s="4" t="n"/>
      <c r="J95" s="4" t="n"/>
      <c r="K95" s="5" t="n"/>
      <c r="L95" s="6">
        <f>IF(A95="","",B95*F95+G95)</f>
        <v/>
      </c>
      <c r="M95" s="7">
        <f>IF(A95="","",IFERROR((C95+D95+E95)/B95,0))</f>
        <v/>
      </c>
      <c r="N95" s="7">
        <f>IF(A95="","",IFERROR(L95/B95,0)+H95)</f>
        <v/>
      </c>
      <c r="O95" s="7">
        <f>IF(A95="","",M95+N95)</f>
        <v/>
      </c>
      <c r="P95" s="7">
        <f>IF(A95="","",IF(B95&gt;0,1-O95-I95,0))</f>
        <v/>
      </c>
      <c r="Q95" s="6">
        <f>IF(A95="","",B95*P95)</f>
        <v/>
      </c>
      <c r="R95" s="7">
        <f>IF(A95="","",IF(B95&gt;0,P95-J95,0))</f>
        <v/>
      </c>
      <c r="S95" s="6">
        <f>IF(A95="","",B95*R95)</f>
        <v/>
      </c>
      <c r="T95" s="8">
        <f>IF(A95="","",IF(K95&gt;0,S95*K95,""))</f>
        <v/>
      </c>
      <c r="U95" s="8">
        <f>IF(A95="","",IFERROR(B95/Q95,0))</f>
        <v/>
      </c>
      <c r="V95" s="9">
        <f>IF(A95="","",IF(OR(S95&lt;=0,Q95&lt;=0),"Drop",IF(P95&gt;=0.6,"Profit product",IF(P95&gt;=0.5,"Traffic product","Thin - rework"))))</f>
        <v/>
      </c>
    </row>
    <row r="96">
      <c r="B96" s="3" t="n"/>
      <c r="C96" s="3" t="n"/>
      <c r="D96" s="3" t="n"/>
      <c r="E96" s="3" t="n"/>
      <c r="F96" s="4" t="n"/>
      <c r="G96" s="3" t="n"/>
      <c r="H96" s="4" t="n"/>
      <c r="I96" s="4" t="n"/>
      <c r="J96" s="4" t="n"/>
      <c r="K96" s="5" t="n"/>
      <c r="L96" s="6">
        <f>IF(A96="","",B96*F96+G96)</f>
        <v/>
      </c>
      <c r="M96" s="7">
        <f>IF(A96="","",IFERROR((C96+D96+E96)/B96,0))</f>
        <v/>
      </c>
      <c r="N96" s="7">
        <f>IF(A96="","",IFERROR(L96/B96,0)+H96)</f>
        <v/>
      </c>
      <c r="O96" s="7">
        <f>IF(A96="","",M96+N96)</f>
        <v/>
      </c>
      <c r="P96" s="7">
        <f>IF(A96="","",IF(B96&gt;0,1-O96-I96,0))</f>
        <v/>
      </c>
      <c r="Q96" s="6">
        <f>IF(A96="","",B96*P96)</f>
        <v/>
      </c>
      <c r="R96" s="7">
        <f>IF(A96="","",IF(B96&gt;0,P96-J96,0))</f>
        <v/>
      </c>
      <c r="S96" s="6">
        <f>IF(A96="","",B96*R96)</f>
        <v/>
      </c>
      <c r="T96" s="8">
        <f>IF(A96="","",IF(K96&gt;0,S96*K96,""))</f>
        <v/>
      </c>
      <c r="U96" s="8">
        <f>IF(A96="","",IFERROR(B96/Q96,0))</f>
        <v/>
      </c>
      <c r="V96" s="9">
        <f>IF(A96="","",IF(OR(S96&lt;=0,Q96&lt;=0),"Drop",IF(P96&gt;=0.6,"Profit product",IF(P96&gt;=0.5,"Traffic product","Thin - rework"))))</f>
        <v/>
      </c>
    </row>
    <row r="97">
      <c r="B97" s="3" t="n"/>
      <c r="C97" s="3" t="n"/>
      <c r="D97" s="3" t="n"/>
      <c r="E97" s="3" t="n"/>
      <c r="F97" s="4" t="n"/>
      <c r="G97" s="3" t="n"/>
      <c r="H97" s="4" t="n"/>
      <c r="I97" s="4" t="n"/>
      <c r="J97" s="4" t="n"/>
      <c r="K97" s="5" t="n"/>
      <c r="L97" s="6">
        <f>IF(A97="","",B97*F97+G97)</f>
        <v/>
      </c>
      <c r="M97" s="7">
        <f>IF(A97="","",IFERROR((C97+D97+E97)/B97,0))</f>
        <v/>
      </c>
      <c r="N97" s="7">
        <f>IF(A97="","",IFERROR(L97/B97,0)+H97)</f>
        <v/>
      </c>
      <c r="O97" s="7">
        <f>IF(A97="","",M97+N97)</f>
        <v/>
      </c>
      <c r="P97" s="7">
        <f>IF(A97="","",IF(B97&gt;0,1-O97-I97,0))</f>
        <v/>
      </c>
      <c r="Q97" s="6">
        <f>IF(A97="","",B97*P97)</f>
        <v/>
      </c>
      <c r="R97" s="7">
        <f>IF(A97="","",IF(B97&gt;0,P97-J97,0))</f>
        <v/>
      </c>
      <c r="S97" s="6">
        <f>IF(A97="","",B97*R97)</f>
        <v/>
      </c>
      <c r="T97" s="8">
        <f>IF(A97="","",IF(K97&gt;0,S97*K97,""))</f>
        <v/>
      </c>
      <c r="U97" s="8">
        <f>IF(A97="","",IFERROR(B97/Q97,0))</f>
        <v/>
      </c>
      <c r="V97" s="9">
        <f>IF(A97="","",IF(OR(S97&lt;=0,Q97&lt;=0),"Drop",IF(P97&gt;=0.6,"Profit product",IF(P97&gt;=0.5,"Traffic product","Thin - rework"))))</f>
        <v/>
      </c>
    </row>
    <row r="98">
      <c r="B98" s="3" t="n"/>
      <c r="C98" s="3" t="n"/>
      <c r="D98" s="3" t="n"/>
      <c r="E98" s="3" t="n"/>
      <c r="F98" s="4" t="n"/>
      <c r="G98" s="3" t="n"/>
      <c r="H98" s="4" t="n"/>
      <c r="I98" s="4" t="n"/>
      <c r="J98" s="4" t="n"/>
      <c r="K98" s="5" t="n"/>
      <c r="L98" s="6">
        <f>IF(A98="","",B98*F98+G98)</f>
        <v/>
      </c>
      <c r="M98" s="7">
        <f>IF(A98="","",IFERROR((C98+D98+E98)/B98,0))</f>
        <v/>
      </c>
      <c r="N98" s="7">
        <f>IF(A98="","",IFERROR(L98/B98,0)+H98)</f>
        <v/>
      </c>
      <c r="O98" s="7">
        <f>IF(A98="","",M98+N98)</f>
        <v/>
      </c>
      <c r="P98" s="7">
        <f>IF(A98="","",IF(B98&gt;0,1-O98-I98,0))</f>
        <v/>
      </c>
      <c r="Q98" s="6">
        <f>IF(A98="","",B98*P98)</f>
        <v/>
      </c>
      <c r="R98" s="7">
        <f>IF(A98="","",IF(B98&gt;0,P98-J98,0))</f>
        <v/>
      </c>
      <c r="S98" s="6">
        <f>IF(A98="","",B98*R98)</f>
        <v/>
      </c>
      <c r="T98" s="8">
        <f>IF(A98="","",IF(K98&gt;0,S98*K98,""))</f>
        <v/>
      </c>
      <c r="U98" s="8">
        <f>IF(A98="","",IFERROR(B98/Q98,0))</f>
        <v/>
      </c>
      <c r="V98" s="9">
        <f>IF(A98="","",IF(OR(S98&lt;=0,Q98&lt;=0),"Drop",IF(P98&gt;=0.6,"Profit product",IF(P98&gt;=0.5,"Traffic product","Thin - rework"))))</f>
        <v/>
      </c>
    </row>
    <row r="99">
      <c r="B99" s="3" t="n"/>
      <c r="C99" s="3" t="n"/>
      <c r="D99" s="3" t="n"/>
      <c r="E99" s="3" t="n"/>
      <c r="F99" s="4" t="n"/>
      <c r="G99" s="3" t="n"/>
      <c r="H99" s="4" t="n"/>
      <c r="I99" s="4" t="n"/>
      <c r="J99" s="4" t="n"/>
      <c r="K99" s="5" t="n"/>
      <c r="L99" s="6">
        <f>IF(A99="","",B99*F99+G99)</f>
        <v/>
      </c>
      <c r="M99" s="7">
        <f>IF(A99="","",IFERROR((C99+D99+E99)/B99,0))</f>
        <v/>
      </c>
      <c r="N99" s="7">
        <f>IF(A99="","",IFERROR(L99/B99,0)+H99)</f>
        <v/>
      </c>
      <c r="O99" s="7">
        <f>IF(A99="","",M99+N99)</f>
        <v/>
      </c>
      <c r="P99" s="7">
        <f>IF(A99="","",IF(B99&gt;0,1-O99-I99,0))</f>
        <v/>
      </c>
      <c r="Q99" s="6">
        <f>IF(A99="","",B99*P99)</f>
        <v/>
      </c>
      <c r="R99" s="7">
        <f>IF(A99="","",IF(B99&gt;0,P99-J99,0))</f>
        <v/>
      </c>
      <c r="S99" s="6">
        <f>IF(A99="","",B99*R99)</f>
        <v/>
      </c>
      <c r="T99" s="8">
        <f>IF(A99="","",IF(K99&gt;0,S99*K99,""))</f>
        <v/>
      </c>
      <c r="U99" s="8">
        <f>IF(A99="","",IFERROR(B99/Q99,0))</f>
        <v/>
      </c>
      <c r="V99" s="9">
        <f>IF(A99="","",IF(OR(S99&lt;=0,Q99&lt;=0),"Drop",IF(P99&gt;=0.6,"Profit product",IF(P99&gt;=0.5,"Traffic product","Thin - rework"))))</f>
        <v/>
      </c>
    </row>
    <row r="100">
      <c r="B100" s="3" t="n"/>
      <c r="C100" s="3" t="n"/>
      <c r="D100" s="3" t="n"/>
      <c r="E100" s="3" t="n"/>
      <c r="F100" s="4" t="n"/>
      <c r="G100" s="3" t="n"/>
      <c r="H100" s="4" t="n"/>
      <c r="I100" s="4" t="n"/>
      <c r="J100" s="4" t="n"/>
      <c r="K100" s="5" t="n"/>
      <c r="L100" s="6">
        <f>IF(A100="","",B100*F100+G100)</f>
        <v/>
      </c>
      <c r="M100" s="7">
        <f>IF(A100="","",IFERROR((C100+D100+E100)/B100,0))</f>
        <v/>
      </c>
      <c r="N100" s="7">
        <f>IF(A100="","",IFERROR(L100/B100,0)+H100)</f>
        <v/>
      </c>
      <c r="O100" s="7">
        <f>IF(A100="","",M100+N100)</f>
        <v/>
      </c>
      <c r="P100" s="7">
        <f>IF(A100="","",IF(B100&gt;0,1-O100-I100,0))</f>
        <v/>
      </c>
      <c r="Q100" s="6">
        <f>IF(A100="","",B100*P100)</f>
        <v/>
      </c>
      <c r="R100" s="7">
        <f>IF(A100="","",IF(B100&gt;0,P100-J100,0))</f>
        <v/>
      </c>
      <c r="S100" s="6">
        <f>IF(A100="","",B100*R100)</f>
        <v/>
      </c>
      <c r="T100" s="8">
        <f>IF(A100="","",IF(K100&gt;0,S100*K100,""))</f>
        <v/>
      </c>
      <c r="U100" s="8">
        <f>IF(A100="","",IFERROR(B100/Q100,0))</f>
        <v/>
      </c>
      <c r="V100" s="9">
        <f>IF(A100="","",IF(OR(S100&lt;=0,Q100&lt;=0),"Drop",IF(P100&gt;=0.6,"Profit product",IF(P100&gt;=0.5,"Traffic product","Thin - rework"))))</f>
        <v/>
      </c>
    </row>
    <row r="101">
      <c r="B101" s="3" t="n"/>
      <c r="C101" s="3" t="n"/>
      <c r="D101" s="3" t="n"/>
      <c r="E101" s="3" t="n"/>
      <c r="F101" s="4" t="n"/>
      <c r="G101" s="3" t="n"/>
      <c r="H101" s="4" t="n"/>
      <c r="I101" s="4" t="n"/>
      <c r="J101" s="4" t="n"/>
      <c r="K101" s="5" t="n"/>
      <c r="L101" s="6">
        <f>IF(A101="","",B101*F101+G101)</f>
        <v/>
      </c>
      <c r="M101" s="7">
        <f>IF(A101="","",IFERROR((C101+D101+E101)/B101,0))</f>
        <v/>
      </c>
      <c r="N101" s="7">
        <f>IF(A101="","",IFERROR(L101/B101,0)+H101)</f>
        <v/>
      </c>
      <c r="O101" s="7">
        <f>IF(A101="","",M101+N101)</f>
        <v/>
      </c>
      <c r="P101" s="7">
        <f>IF(A101="","",IF(B101&gt;0,1-O101-I101,0))</f>
        <v/>
      </c>
      <c r="Q101" s="6">
        <f>IF(A101="","",B101*P101)</f>
        <v/>
      </c>
      <c r="R101" s="7">
        <f>IF(A101="","",IF(B101&gt;0,P101-J101,0))</f>
        <v/>
      </c>
      <c r="S101" s="6">
        <f>IF(A101="","",B101*R101)</f>
        <v/>
      </c>
      <c r="T101" s="8">
        <f>IF(A101="","",IF(K101&gt;0,S101*K101,""))</f>
        <v/>
      </c>
      <c r="U101" s="8">
        <f>IF(A101="","",IFERROR(B101/Q101,0))</f>
        <v/>
      </c>
      <c r="V101" s="9">
        <f>IF(A101="","",IF(OR(S101&lt;=0,Q101&lt;=0),"Drop",IF(P101&gt;=0.6,"Profit product",IF(P101&gt;=0.5,"Traffic product","Thin - rework"))))</f>
        <v/>
      </c>
    </row>
    <row r="102">
      <c r="B102" s="3" t="n"/>
      <c r="C102" s="3" t="n"/>
      <c r="D102" s="3" t="n"/>
      <c r="E102" s="3" t="n"/>
      <c r="F102" s="4" t="n"/>
      <c r="G102" s="3" t="n"/>
      <c r="H102" s="4" t="n"/>
      <c r="I102" s="4" t="n"/>
      <c r="J102" s="4" t="n"/>
      <c r="K102" s="5" t="n"/>
      <c r="L102" s="6">
        <f>IF(A102="","",B102*F102+G102)</f>
        <v/>
      </c>
      <c r="M102" s="7">
        <f>IF(A102="","",IFERROR((C102+D102+E102)/B102,0))</f>
        <v/>
      </c>
      <c r="N102" s="7">
        <f>IF(A102="","",IFERROR(L102/B102,0)+H102)</f>
        <v/>
      </c>
      <c r="O102" s="7">
        <f>IF(A102="","",M102+N102)</f>
        <v/>
      </c>
      <c r="P102" s="7">
        <f>IF(A102="","",IF(B102&gt;0,1-O102-I102,0))</f>
        <v/>
      </c>
      <c r="Q102" s="6">
        <f>IF(A102="","",B102*P102)</f>
        <v/>
      </c>
      <c r="R102" s="7">
        <f>IF(A102="","",IF(B102&gt;0,P102-J102,0))</f>
        <v/>
      </c>
      <c r="S102" s="6">
        <f>IF(A102="","",B102*R102)</f>
        <v/>
      </c>
      <c r="T102" s="8">
        <f>IF(A102="","",IF(K102&gt;0,S102*K102,""))</f>
        <v/>
      </c>
      <c r="U102" s="8">
        <f>IF(A102="","",IFERROR(B102/Q102,0))</f>
        <v/>
      </c>
      <c r="V102" s="9">
        <f>IF(A102="","",IF(OR(S102&lt;=0,Q102&lt;=0),"Drop",IF(P102&gt;=0.6,"Profit product",IF(P102&gt;=0.5,"Traffic product","Thin - rework"))))</f>
        <v/>
      </c>
    </row>
    <row r="103">
      <c r="B103" s="3" t="n"/>
      <c r="C103" s="3" t="n"/>
      <c r="D103" s="3" t="n"/>
      <c r="E103" s="3" t="n"/>
      <c r="F103" s="4" t="n"/>
      <c r="G103" s="3" t="n"/>
      <c r="H103" s="4" t="n"/>
      <c r="I103" s="4" t="n"/>
      <c r="J103" s="4" t="n"/>
      <c r="K103" s="5" t="n"/>
      <c r="L103" s="6">
        <f>IF(A103="","",B103*F103+G103)</f>
        <v/>
      </c>
      <c r="M103" s="7">
        <f>IF(A103="","",IFERROR((C103+D103+E103)/B103,0))</f>
        <v/>
      </c>
      <c r="N103" s="7">
        <f>IF(A103="","",IFERROR(L103/B103,0)+H103)</f>
        <v/>
      </c>
      <c r="O103" s="7">
        <f>IF(A103="","",M103+N103)</f>
        <v/>
      </c>
      <c r="P103" s="7">
        <f>IF(A103="","",IF(B103&gt;0,1-O103-I103,0))</f>
        <v/>
      </c>
      <c r="Q103" s="6">
        <f>IF(A103="","",B103*P103)</f>
        <v/>
      </c>
      <c r="R103" s="7">
        <f>IF(A103="","",IF(B103&gt;0,P103-J103,0))</f>
        <v/>
      </c>
      <c r="S103" s="6">
        <f>IF(A103="","",B103*R103)</f>
        <v/>
      </c>
      <c r="T103" s="8">
        <f>IF(A103="","",IF(K103&gt;0,S103*K103,""))</f>
        <v/>
      </c>
      <c r="U103" s="8">
        <f>IF(A103="","",IFERROR(B103/Q103,0))</f>
        <v/>
      </c>
      <c r="V103" s="9">
        <f>IF(A103="","",IF(OR(S103&lt;=0,Q103&lt;=0),"Drop",IF(P103&gt;=0.6,"Profit product",IF(P103&gt;=0.5,"Traffic product","Thin - rework"))))</f>
        <v/>
      </c>
    </row>
    <row r="104">
      <c r="B104" s="3" t="n"/>
      <c r="C104" s="3" t="n"/>
      <c r="D104" s="3" t="n"/>
      <c r="E104" s="3" t="n"/>
      <c r="F104" s="4" t="n"/>
      <c r="G104" s="3" t="n"/>
      <c r="H104" s="4" t="n"/>
      <c r="I104" s="4" t="n"/>
      <c r="J104" s="4" t="n"/>
      <c r="K104" s="5" t="n"/>
      <c r="L104" s="6">
        <f>IF(A104="","",B104*F104+G104)</f>
        <v/>
      </c>
      <c r="M104" s="7">
        <f>IF(A104="","",IFERROR((C104+D104+E104)/B104,0))</f>
        <v/>
      </c>
      <c r="N104" s="7">
        <f>IF(A104="","",IFERROR(L104/B104,0)+H104)</f>
        <v/>
      </c>
      <c r="O104" s="7">
        <f>IF(A104="","",M104+N104)</f>
        <v/>
      </c>
      <c r="P104" s="7">
        <f>IF(A104="","",IF(B104&gt;0,1-O104-I104,0))</f>
        <v/>
      </c>
      <c r="Q104" s="6">
        <f>IF(A104="","",B104*P104)</f>
        <v/>
      </c>
      <c r="R104" s="7">
        <f>IF(A104="","",IF(B104&gt;0,P104-J104,0))</f>
        <v/>
      </c>
      <c r="S104" s="6">
        <f>IF(A104="","",B104*R104)</f>
        <v/>
      </c>
      <c r="T104" s="8">
        <f>IF(A104="","",IF(K104&gt;0,S104*K104,""))</f>
        <v/>
      </c>
      <c r="U104" s="8">
        <f>IF(A104="","",IFERROR(B104/Q104,0))</f>
        <v/>
      </c>
      <c r="V104" s="9">
        <f>IF(A104="","",IF(OR(S104&lt;=0,Q104&lt;=0),"Drop",IF(P104&gt;=0.6,"Profit product",IF(P104&gt;=0.5,"Traffic product","Thin - rework"))))</f>
        <v/>
      </c>
    </row>
    <row r="105">
      <c r="B105" s="3" t="n"/>
      <c r="C105" s="3" t="n"/>
      <c r="D105" s="3" t="n"/>
      <c r="E105" s="3" t="n"/>
      <c r="F105" s="4" t="n"/>
      <c r="G105" s="3" t="n"/>
      <c r="H105" s="4" t="n"/>
      <c r="I105" s="4" t="n"/>
      <c r="J105" s="4" t="n"/>
      <c r="K105" s="5" t="n"/>
      <c r="L105" s="6">
        <f>IF(A105="","",B105*F105+G105)</f>
        <v/>
      </c>
      <c r="M105" s="7">
        <f>IF(A105="","",IFERROR((C105+D105+E105)/B105,0))</f>
        <v/>
      </c>
      <c r="N105" s="7">
        <f>IF(A105="","",IFERROR(L105/B105,0)+H105)</f>
        <v/>
      </c>
      <c r="O105" s="7">
        <f>IF(A105="","",M105+N105)</f>
        <v/>
      </c>
      <c r="P105" s="7">
        <f>IF(A105="","",IF(B105&gt;0,1-O105-I105,0))</f>
        <v/>
      </c>
      <c r="Q105" s="6">
        <f>IF(A105="","",B105*P105)</f>
        <v/>
      </c>
      <c r="R105" s="7">
        <f>IF(A105="","",IF(B105&gt;0,P105-J105,0))</f>
        <v/>
      </c>
      <c r="S105" s="6">
        <f>IF(A105="","",B105*R105)</f>
        <v/>
      </c>
      <c r="T105" s="8">
        <f>IF(A105="","",IF(K105&gt;0,S105*K105,""))</f>
        <v/>
      </c>
      <c r="U105" s="8">
        <f>IF(A105="","",IFERROR(B105/Q105,0))</f>
        <v/>
      </c>
      <c r="V105" s="9">
        <f>IF(A105="","",IF(OR(S105&lt;=0,Q105&lt;=0),"Drop",IF(P105&gt;=0.6,"Profit product",IF(P105&gt;=0.5,"Traffic product","Thin - rework"))))</f>
        <v/>
      </c>
    </row>
    <row r="106">
      <c r="B106" s="3" t="n"/>
      <c r="C106" s="3" t="n"/>
      <c r="D106" s="3" t="n"/>
      <c r="E106" s="3" t="n"/>
      <c r="F106" s="4" t="n"/>
      <c r="G106" s="3" t="n"/>
      <c r="H106" s="4" t="n"/>
      <c r="I106" s="4" t="n"/>
      <c r="J106" s="4" t="n"/>
      <c r="K106" s="5" t="n"/>
      <c r="L106" s="6">
        <f>IF(A106="","",B106*F106+G106)</f>
        <v/>
      </c>
      <c r="M106" s="7">
        <f>IF(A106="","",IFERROR((C106+D106+E106)/B106,0))</f>
        <v/>
      </c>
      <c r="N106" s="7">
        <f>IF(A106="","",IFERROR(L106/B106,0)+H106)</f>
        <v/>
      </c>
      <c r="O106" s="7">
        <f>IF(A106="","",M106+N106)</f>
        <v/>
      </c>
      <c r="P106" s="7">
        <f>IF(A106="","",IF(B106&gt;0,1-O106-I106,0))</f>
        <v/>
      </c>
      <c r="Q106" s="6">
        <f>IF(A106="","",B106*P106)</f>
        <v/>
      </c>
      <c r="R106" s="7">
        <f>IF(A106="","",IF(B106&gt;0,P106-J106,0))</f>
        <v/>
      </c>
      <c r="S106" s="6">
        <f>IF(A106="","",B106*R106)</f>
        <v/>
      </c>
      <c r="T106" s="8">
        <f>IF(A106="","",IF(K106&gt;0,S106*K106,""))</f>
        <v/>
      </c>
      <c r="U106" s="8">
        <f>IF(A106="","",IFERROR(B106/Q106,0))</f>
        <v/>
      </c>
      <c r="V106" s="9">
        <f>IF(A106="","",IF(OR(S106&lt;=0,Q106&lt;=0),"Drop",IF(P106&gt;=0.6,"Profit product",IF(P106&gt;=0.5,"Traffic product","Thin - rework"))))</f>
        <v/>
      </c>
    </row>
    <row r="107">
      <c r="B107" s="3" t="n"/>
      <c r="C107" s="3" t="n"/>
      <c r="D107" s="3" t="n"/>
      <c r="E107" s="3" t="n"/>
      <c r="F107" s="4" t="n"/>
      <c r="G107" s="3" t="n"/>
      <c r="H107" s="4" t="n"/>
      <c r="I107" s="4" t="n"/>
      <c r="J107" s="4" t="n"/>
      <c r="K107" s="5" t="n"/>
      <c r="L107" s="6">
        <f>IF(A107="","",B107*F107+G107)</f>
        <v/>
      </c>
      <c r="M107" s="7">
        <f>IF(A107="","",IFERROR((C107+D107+E107)/B107,0))</f>
        <v/>
      </c>
      <c r="N107" s="7">
        <f>IF(A107="","",IFERROR(L107/B107,0)+H107)</f>
        <v/>
      </c>
      <c r="O107" s="7">
        <f>IF(A107="","",M107+N107)</f>
        <v/>
      </c>
      <c r="P107" s="7">
        <f>IF(A107="","",IF(B107&gt;0,1-O107-I107,0))</f>
        <v/>
      </c>
      <c r="Q107" s="6">
        <f>IF(A107="","",B107*P107)</f>
        <v/>
      </c>
      <c r="R107" s="7">
        <f>IF(A107="","",IF(B107&gt;0,P107-J107,0))</f>
        <v/>
      </c>
      <c r="S107" s="6">
        <f>IF(A107="","",B107*R107)</f>
        <v/>
      </c>
      <c r="T107" s="8">
        <f>IF(A107="","",IF(K107&gt;0,S107*K107,""))</f>
        <v/>
      </c>
      <c r="U107" s="8">
        <f>IF(A107="","",IFERROR(B107/Q107,0))</f>
        <v/>
      </c>
      <c r="V107" s="9">
        <f>IF(A107="","",IF(OR(S107&lt;=0,Q107&lt;=0),"Drop",IF(P107&gt;=0.6,"Profit product",IF(P107&gt;=0.5,"Traffic product","Thin - rework"))))</f>
        <v/>
      </c>
    </row>
    <row r="108">
      <c r="B108" s="3" t="n"/>
      <c r="C108" s="3" t="n"/>
      <c r="D108" s="3" t="n"/>
      <c r="E108" s="3" t="n"/>
      <c r="F108" s="4" t="n"/>
      <c r="G108" s="3" t="n"/>
      <c r="H108" s="4" t="n"/>
      <c r="I108" s="4" t="n"/>
      <c r="J108" s="4" t="n"/>
      <c r="K108" s="5" t="n"/>
      <c r="L108" s="6">
        <f>IF(A108="","",B108*F108+G108)</f>
        <v/>
      </c>
      <c r="M108" s="7">
        <f>IF(A108="","",IFERROR((C108+D108+E108)/B108,0))</f>
        <v/>
      </c>
      <c r="N108" s="7">
        <f>IF(A108="","",IFERROR(L108/B108,0)+H108)</f>
        <v/>
      </c>
      <c r="O108" s="7">
        <f>IF(A108="","",M108+N108)</f>
        <v/>
      </c>
      <c r="P108" s="7">
        <f>IF(A108="","",IF(B108&gt;0,1-O108-I108,0))</f>
        <v/>
      </c>
      <c r="Q108" s="6">
        <f>IF(A108="","",B108*P108)</f>
        <v/>
      </c>
      <c r="R108" s="7">
        <f>IF(A108="","",IF(B108&gt;0,P108-J108,0))</f>
        <v/>
      </c>
      <c r="S108" s="6">
        <f>IF(A108="","",B108*R108)</f>
        <v/>
      </c>
      <c r="T108" s="8">
        <f>IF(A108="","",IF(K108&gt;0,S108*K108,""))</f>
        <v/>
      </c>
      <c r="U108" s="8">
        <f>IF(A108="","",IFERROR(B108/Q108,0))</f>
        <v/>
      </c>
      <c r="V108" s="9">
        <f>IF(A108="","",IF(OR(S108&lt;=0,Q108&lt;=0),"Drop",IF(P108&gt;=0.6,"Profit product",IF(P108&gt;=0.5,"Traffic product","Thin - rework"))))</f>
        <v/>
      </c>
    </row>
    <row r="109">
      <c r="B109" s="3" t="n"/>
      <c r="C109" s="3" t="n"/>
      <c r="D109" s="3" t="n"/>
      <c r="E109" s="3" t="n"/>
      <c r="F109" s="4" t="n"/>
      <c r="G109" s="3" t="n"/>
      <c r="H109" s="4" t="n"/>
      <c r="I109" s="4" t="n"/>
      <c r="J109" s="4" t="n"/>
      <c r="K109" s="5" t="n"/>
      <c r="L109" s="6">
        <f>IF(A109="","",B109*F109+G109)</f>
        <v/>
      </c>
      <c r="M109" s="7">
        <f>IF(A109="","",IFERROR((C109+D109+E109)/B109,0))</f>
        <v/>
      </c>
      <c r="N109" s="7">
        <f>IF(A109="","",IFERROR(L109/B109,0)+H109)</f>
        <v/>
      </c>
      <c r="O109" s="7">
        <f>IF(A109="","",M109+N109)</f>
        <v/>
      </c>
      <c r="P109" s="7">
        <f>IF(A109="","",IF(B109&gt;0,1-O109-I109,0))</f>
        <v/>
      </c>
      <c r="Q109" s="6">
        <f>IF(A109="","",B109*P109)</f>
        <v/>
      </c>
      <c r="R109" s="7">
        <f>IF(A109="","",IF(B109&gt;0,P109-J109,0))</f>
        <v/>
      </c>
      <c r="S109" s="6">
        <f>IF(A109="","",B109*R109)</f>
        <v/>
      </c>
      <c r="T109" s="8">
        <f>IF(A109="","",IF(K109&gt;0,S109*K109,""))</f>
        <v/>
      </c>
      <c r="U109" s="8">
        <f>IF(A109="","",IFERROR(B109/Q109,0))</f>
        <v/>
      </c>
      <c r="V109" s="9">
        <f>IF(A109="","",IF(OR(S109&lt;=0,Q109&lt;=0),"Drop",IF(P109&gt;=0.6,"Profit product",IF(P109&gt;=0.5,"Traffic product","Thin - rework"))))</f>
        <v/>
      </c>
    </row>
    <row r="110">
      <c r="B110" s="3" t="n"/>
      <c r="C110" s="3" t="n"/>
      <c r="D110" s="3" t="n"/>
      <c r="E110" s="3" t="n"/>
      <c r="F110" s="4" t="n"/>
      <c r="G110" s="3" t="n"/>
      <c r="H110" s="4" t="n"/>
      <c r="I110" s="4" t="n"/>
      <c r="J110" s="4" t="n"/>
      <c r="K110" s="5" t="n"/>
      <c r="L110" s="6">
        <f>IF(A110="","",B110*F110+G110)</f>
        <v/>
      </c>
      <c r="M110" s="7">
        <f>IF(A110="","",IFERROR((C110+D110+E110)/B110,0))</f>
        <v/>
      </c>
      <c r="N110" s="7">
        <f>IF(A110="","",IFERROR(L110/B110,0)+H110)</f>
        <v/>
      </c>
      <c r="O110" s="7">
        <f>IF(A110="","",M110+N110)</f>
        <v/>
      </c>
      <c r="P110" s="7">
        <f>IF(A110="","",IF(B110&gt;0,1-O110-I110,0))</f>
        <v/>
      </c>
      <c r="Q110" s="6">
        <f>IF(A110="","",B110*P110)</f>
        <v/>
      </c>
      <c r="R110" s="7">
        <f>IF(A110="","",IF(B110&gt;0,P110-J110,0))</f>
        <v/>
      </c>
      <c r="S110" s="6">
        <f>IF(A110="","",B110*R110)</f>
        <v/>
      </c>
      <c r="T110" s="8">
        <f>IF(A110="","",IF(K110&gt;0,S110*K110,""))</f>
        <v/>
      </c>
      <c r="U110" s="8">
        <f>IF(A110="","",IFERROR(B110/Q110,0))</f>
        <v/>
      </c>
      <c r="V110" s="9">
        <f>IF(A110="","",IF(OR(S110&lt;=0,Q110&lt;=0),"Drop",IF(P110&gt;=0.6,"Profit product",IF(P110&gt;=0.5,"Traffic product","Thin - rework"))))</f>
        <v/>
      </c>
    </row>
    <row r="111">
      <c r="B111" s="3" t="n"/>
      <c r="C111" s="3" t="n"/>
      <c r="D111" s="3" t="n"/>
      <c r="E111" s="3" t="n"/>
      <c r="F111" s="4" t="n"/>
      <c r="G111" s="3" t="n"/>
      <c r="H111" s="4" t="n"/>
      <c r="I111" s="4" t="n"/>
      <c r="J111" s="4" t="n"/>
      <c r="K111" s="5" t="n"/>
      <c r="L111" s="6">
        <f>IF(A111="","",B111*F111+G111)</f>
        <v/>
      </c>
      <c r="M111" s="7">
        <f>IF(A111="","",IFERROR((C111+D111+E111)/B111,0))</f>
        <v/>
      </c>
      <c r="N111" s="7">
        <f>IF(A111="","",IFERROR(L111/B111,0)+H111)</f>
        <v/>
      </c>
      <c r="O111" s="7">
        <f>IF(A111="","",M111+N111)</f>
        <v/>
      </c>
      <c r="P111" s="7">
        <f>IF(A111="","",IF(B111&gt;0,1-O111-I111,0))</f>
        <v/>
      </c>
      <c r="Q111" s="6">
        <f>IF(A111="","",B111*P111)</f>
        <v/>
      </c>
      <c r="R111" s="7">
        <f>IF(A111="","",IF(B111&gt;0,P111-J111,0))</f>
        <v/>
      </c>
      <c r="S111" s="6">
        <f>IF(A111="","",B111*R111)</f>
        <v/>
      </c>
      <c r="T111" s="8">
        <f>IF(A111="","",IF(K111&gt;0,S111*K111,""))</f>
        <v/>
      </c>
      <c r="U111" s="8">
        <f>IF(A111="","",IFERROR(B111/Q111,0))</f>
        <v/>
      </c>
      <c r="V111" s="9">
        <f>IF(A111="","",IF(OR(S111&lt;=0,Q111&lt;=0),"Drop",IF(P111&gt;=0.6,"Profit product",IF(P111&gt;=0.5,"Traffic product","Thin - rework"))))</f>
        <v/>
      </c>
    </row>
    <row r="112">
      <c r="B112" s="3" t="n"/>
      <c r="C112" s="3" t="n"/>
      <c r="D112" s="3" t="n"/>
      <c r="E112" s="3" t="n"/>
      <c r="F112" s="4" t="n"/>
      <c r="G112" s="3" t="n"/>
      <c r="H112" s="4" t="n"/>
      <c r="I112" s="4" t="n"/>
      <c r="J112" s="4" t="n"/>
      <c r="K112" s="5" t="n"/>
      <c r="L112" s="6">
        <f>IF(A112="","",B112*F112+G112)</f>
        <v/>
      </c>
      <c r="M112" s="7">
        <f>IF(A112="","",IFERROR((C112+D112+E112)/B112,0))</f>
        <v/>
      </c>
      <c r="N112" s="7">
        <f>IF(A112="","",IFERROR(L112/B112,0)+H112)</f>
        <v/>
      </c>
      <c r="O112" s="7">
        <f>IF(A112="","",M112+N112)</f>
        <v/>
      </c>
      <c r="P112" s="7">
        <f>IF(A112="","",IF(B112&gt;0,1-O112-I112,0))</f>
        <v/>
      </c>
      <c r="Q112" s="6">
        <f>IF(A112="","",B112*P112)</f>
        <v/>
      </c>
      <c r="R112" s="7">
        <f>IF(A112="","",IF(B112&gt;0,P112-J112,0))</f>
        <v/>
      </c>
      <c r="S112" s="6">
        <f>IF(A112="","",B112*R112)</f>
        <v/>
      </c>
      <c r="T112" s="8">
        <f>IF(A112="","",IF(K112&gt;0,S112*K112,""))</f>
        <v/>
      </c>
      <c r="U112" s="8">
        <f>IF(A112="","",IFERROR(B112/Q112,0))</f>
        <v/>
      </c>
      <c r="V112" s="9">
        <f>IF(A112="","",IF(OR(S112&lt;=0,Q112&lt;=0),"Drop",IF(P112&gt;=0.6,"Profit product",IF(P112&gt;=0.5,"Traffic product","Thin - rework"))))</f>
        <v/>
      </c>
    </row>
    <row r="113">
      <c r="B113" s="3" t="n"/>
      <c r="C113" s="3" t="n"/>
      <c r="D113" s="3" t="n"/>
      <c r="E113" s="3" t="n"/>
      <c r="F113" s="4" t="n"/>
      <c r="G113" s="3" t="n"/>
      <c r="H113" s="4" t="n"/>
      <c r="I113" s="4" t="n"/>
      <c r="J113" s="4" t="n"/>
      <c r="K113" s="5" t="n"/>
      <c r="L113" s="6">
        <f>IF(A113="","",B113*F113+G113)</f>
        <v/>
      </c>
      <c r="M113" s="7">
        <f>IF(A113="","",IFERROR((C113+D113+E113)/B113,0))</f>
        <v/>
      </c>
      <c r="N113" s="7">
        <f>IF(A113="","",IFERROR(L113/B113,0)+H113)</f>
        <v/>
      </c>
      <c r="O113" s="7">
        <f>IF(A113="","",M113+N113)</f>
        <v/>
      </c>
      <c r="P113" s="7">
        <f>IF(A113="","",IF(B113&gt;0,1-O113-I113,0))</f>
        <v/>
      </c>
      <c r="Q113" s="6">
        <f>IF(A113="","",B113*P113)</f>
        <v/>
      </c>
      <c r="R113" s="7">
        <f>IF(A113="","",IF(B113&gt;0,P113-J113,0))</f>
        <v/>
      </c>
      <c r="S113" s="6">
        <f>IF(A113="","",B113*R113)</f>
        <v/>
      </c>
      <c r="T113" s="8">
        <f>IF(A113="","",IF(K113&gt;0,S113*K113,""))</f>
        <v/>
      </c>
      <c r="U113" s="8">
        <f>IF(A113="","",IFERROR(B113/Q113,0))</f>
        <v/>
      </c>
      <c r="V113" s="9">
        <f>IF(A113="","",IF(OR(S113&lt;=0,Q113&lt;=0),"Drop",IF(P113&gt;=0.6,"Profit product",IF(P113&gt;=0.5,"Traffic product","Thin - rework"))))</f>
        <v/>
      </c>
    </row>
    <row r="114">
      <c r="B114" s="3" t="n"/>
      <c r="C114" s="3" t="n"/>
      <c r="D114" s="3" t="n"/>
      <c r="E114" s="3" t="n"/>
      <c r="F114" s="4" t="n"/>
      <c r="G114" s="3" t="n"/>
      <c r="H114" s="4" t="n"/>
      <c r="I114" s="4" t="n"/>
      <c r="J114" s="4" t="n"/>
      <c r="K114" s="5" t="n"/>
      <c r="L114" s="6">
        <f>IF(A114="","",B114*F114+G114)</f>
        <v/>
      </c>
      <c r="M114" s="7">
        <f>IF(A114="","",IFERROR((C114+D114+E114)/B114,0))</f>
        <v/>
      </c>
      <c r="N114" s="7">
        <f>IF(A114="","",IFERROR(L114/B114,0)+H114)</f>
        <v/>
      </c>
      <c r="O114" s="7">
        <f>IF(A114="","",M114+N114)</f>
        <v/>
      </c>
      <c r="P114" s="7">
        <f>IF(A114="","",IF(B114&gt;0,1-O114-I114,0))</f>
        <v/>
      </c>
      <c r="Q114" s="6">
        <f>IF(A114="","",B114*P114)</f>
        <v/>
      </c>
      <c r="R114" s="7">
        <f>IF(A114="","",IF(B114&gt;0,P114-J114,0))</f>
        <v/>
      </c>
      <c r="S114" s="6">
        <f>IF(A114="","",B114*R114)</f>
        <v/>
      </c>
      <c r="T114" s="8">
        <f>IF(A114="","",IF(K114&gt;0,S114*K114,""))</f>
        <v/>
      </c>
      <c r="U114" s="8">
        <f>IF(A114="","",IFERROR(B114/Q114,0))</f>
        <v/>
      </c>
      <c r="V114" s="9">
        <f>IF(A114="","",IF(OR(S114&lt;=0,Q114&lt;=0),"Drop",IF(P114&gt;=0.6,"Profit product",IF(P114&gt;=0.5,"Traffic product","Thin - rework"))))</f>
        <v/>
      </c>
    </row>
    <row r="115">
      <c r="B115" s="3" t="n"/>
      <c r="C115" s="3" t="n"/>
      <c r="D115" s="3" t="n"/>
      <c r="E115" s="3" t="n"/>
      <c r="F115" s="4" t="n"/>
      <c r="G115" s="3" t="n"/>
      <c r="H115" s="4" t="n"/>
      <c r="I115" s="4" t="n"/>
      <c r="J115" s="4" t="n"/>
      <c r="K115" s="5" t="n"/>
      <c r="L115" s="6">
        <f>IF(A115="","",B115*F115+G115)</f>
        <v/>
      </c>
      <c r="M115" s="7">
        <f>IF(A115="","",IFERROR((C115+D115+E115)/B115,0))</f>
        <v/>
      </c>
      <c r="N115" s="7">
        <f>IF(A115="","",IFERROR(L115/B115,0)+H115)</f>
        <v/>
      </c>
      <c r="O115" s="7">
        <f>IF(A115="","",M115+N115)</f>
        <v/>
      </c>
      <c r="P115" s="7">
        <f>IF(A115="","",IF(B115&gt;0,1-O115-I115,0))</f>
        <v/>
      </c>
      <c r="Q115" s="6">
        <f>IF(A115="","",B115*P115)</f>
        <v/>
      </c>
      <c r="R115" s="7">
        <f>IF(A115="","",IF(B115&gt;0,P115-J115,0))</f>
        <v/>
      </c>
      <c r="S115" s="6">
        <f>IF(A115="","",B115*R115)</f>
        <v/>
      </c>
      <c r="T115" s="8">
        <f>IF(A115="","",IF(K115&gt;0,S115*K115,""))</f>
        <v/>
      </c>
      <c r="U115" s="8">
        <f>IF(A115="","",IFERROR(B115/Q115,0))</f>
        <v/>
      </c>
      <c r="V115" s="9">
        <f>IF(A115="","",IF(OR(S115&lt;=0,Q115&lt;=0),"Drop",IF(P115&gt;=0.6,"Profit product",IF(P115&gt;=0.5,"Traffic product","Thin - rework"))))</f>
        <v/>
      </c>
    </row>
    <row r="116">
      <c r="B116" s="3" t="n"/>
      <c r="C116" s="3" t="n"/>
      <c r="D116" s="3" t="n"/>
      <c r="E116" s="3" t="n"/>
      <c r="F116" s="4" t="n"/>
      <c r="G116" s="3" t="n"/>
      <c r="H116" s="4" t="n"/>
      <c r="I116" s="4" t="n"/>
      <c r="J116" s="4" t="n"/>
      <c r="K116" s="5" t="n"/>
      <c r="L116" s="6">
        <f>IF(A116="","",B116*F116+G116)</f>
        <v/>
      </c>
      <c r="M116" s="7">
        <f>IF(A116="","",IFERROR((C116+D116+E116)/B116,0))</f>
        <v/>
      </c>
      <c r="N116" s="7">
        <f>IF(A116="","",IFERROR(L116/B116,0)+H116)</f>
        <v/>
      </c>
      <c r="O116" s="7">
        <f>IF(A116="","",M116+N116)</f>
        <v/>
      </c>
      <c r="P116" s="7">
        <f>IF(A116="","",IF(B116&gt;0,1-O116-I116,0))</f>
        <v/>
      </c>
      <c r="Q116" s="6">
        <f>IF(A116="","",B116*P116)</f>
        <v/>
      </c>
      <c r="R116" s="7">
        <f>IF(A116="","",IF(B116&gt;0,P116-J116,0))</f>
        <v/>
      </c>
      <c r="S116" s="6">
        <f>IF(A116="","",B116*R116)</f>
        <v/>
      </c>
      <c r="T116" s="8">
        <f>IF(A116="","",IF(K116&gt;0,S116*K116,""))</f>
        <v/>
      </c>
      <c r="U116" s="8">
        <f>IF(A116="","",IFERROR(B116/Q116,0))</f>
        <v/>
      </c>
      <c r="V116" s="9">
        <f>IF(A116="","",IF(OR(S116&lt;=0,Q116&lt;=0),"Drop",IF(P116&gt;=0.6,"Profit product",IF(P116&gt;=0.5,"Traffic product","Thin - rework"))))</f>
        <v/>
      </c>
    </row>
    <row r="117">
      <c r="B117" s="3" t="n"/>
      <c r="C117" s="3" t="n"/>
      <c r="D117" s="3" t="n"/>
      <c r="E117" s="3" t="n"/>
      <c r="F117" s="4" t="n"/>
      <c r="G117" s="3" t="n"/>
      <c r="H117" s="4" t="n"/>
      <c r="I117" s="4" t="n"/>
      <c r="J117" s="4" t="n"/>
      <c r="K117" s="5" t="n"/>
      <c r="L117" s="6">
        <f>IF(A117="","",B117*F117+G117)</f>
        <v/>
      </c>
      <c r="M117" s="7">
        <f>IF(A117="","",IFERROR((C117+D117+E117)/B117,0))</f>
        <v/>
      </c>
      <c r="N117" s="7">
        <f>IF(A117="","",IFERROR(L117/B117,0)+H117)</f>
        <v/>
      </c>
      <c r="O117" s="7">
        <f>IF(A117="","",M117+N117)</f>
        <v/>
      </c>
      <c r="P117" s="7">
        <f>IF(A117="","",IF(B117&gt;0,1-O117-I117,0))</f>
        <v/>
      </c>
      <c r="Q117" s="6">
        <f>IF(A117="","",B117*P117)</f>
        <v/>
      </c>
      <c r="R117" s="7">
        <f>IF(A117="","",IF(B117&gt;0,P117-J117,0))</f>
        <v/>
      </c>
      <c r="S117" s="6">
        <f>IF(A117="","",B117*R117)</f>
        <v/>
      </c>
      <c r="T117" s="8">
        <f>IF(A117="","",IF(K117&gt;0,S117*K117,""))</f>
        <v/>
      </c>
      <c r="U117" s="8">
        <f>IF(A117="","",IFERROR(B117/Q117,0))</f>
        <v/>
      </c>
      <c r="V117" s="9">
        <f>IF(A117="","",IF(OR(S117&lt;=0,Q117&lt;=0),"Drop",IF(P117&gt;=0.6,"Profit product",IF(P117&gt;=0.5,"Traffic product","Thin - rework"))))</f>
        <v/>
      </c>
    </row>
    <row r="118">
      <c r="B118" s="3" t="n"/>
      <c r="C118" s="3" t="n"/>
      <c r="D118" s="3" t="n"/>
      <c r="E118" s="3" t="n"/>
      <c r="F118" s="4" t="n"/>
      <c r="G118" s="3" t="n"/>
      <c r="H118" s="4" t="n"/>
      <c r="I118" s="4" t="n"/>
      <c r="J118" s="4" t="n"/>
      <c r="K118" s="5" t="n"/>
      <c r="L118" s="6">
        <f>IF(A118="","",B118*F118+G118)</f>
        <v/>
      </c>
      <c r="M118" s="7">
        <f>IF(A118="","",IFERROR((C118+D118+E118)/B118,0))</f>
        <v/>
      </c>
      <c r="N118" s="7">
        <f>IF(A118="","",IFERROR(L118/B118,0)+H118)</f>
        <v/>
      </c>
      <c r="O118" s="7">
        <f>IF(A118="","",M118+N118)</f>
        <v/>
      </c>
      <c r="P118" s="7">
        <f>IF(A118="","",IF(B118&gt;0,1-O118-I118,0))</f>
        <v/>
      </c>
      <c r="Q118" s="6">
        <f>IF(A118="","",B118*P118)</f>
        <v/>
      </c>
      <c r="R118" s="7">
        <f>IF(A118="","",IF(B118&gt;0,P118-J118,0))</f>
        <v/>
      </c>
      <c r="S118" s="6">
        <f>IF(A118="","",B118*R118)</f>
        <v/>
      </c>
      <c r="T118" s="8">
        <f>IF(A118="","",IF(K118&gt;0,S118*K118,""))</f>
        <v/>
      </c>
      <c r="U118" s="8">
        <f>IF(A118="","",IFERROR(B118/Q118,0))</f>
        <v/>
      </c>
      <c r="V118" s="9">
        <f>IF(A118="","",IF(OR(S118&lt;=0,Q118&lt;=0),"Drop",IF(P118&gt;=0.6,"Profit product",IF(P118&gt;=0.5,"Traffic product","Thin - rework"))))</f>
        <v/>
      </c>
    </row>
    <row r="119">
      <c r="B119" s="3" t="n"/>
      <c r="C119" s="3" t="n"/>
      <c r="D119" s="3" t="n"/>
      <c r="E119" s="3" t="n"/>
      <c r="F119" s="4" t="n"/>
      <c r="G119" s="3" t="n"/>
      <c r="H119" s="4" t="n"/>
      <c r="I119" s="4" t="n"/>
      <c r="J119" s="4" t="n"/>
      <c r="K119" s="5" t="n"/>
      <c r="L119" s="6">
        <f>IF(A119="","",B119*F119+G119)</f>
        <v/>
      </c>
      <c r="M119" s="7">
        <f>IF(A119="","",IFERROR((C119+D119+E119)/B119,0))</f>
        <v/>
      </c>
      <c r="N119" s="7">
        <f>IF(A119="","",IFERROR(L119/B119,0)+H119)</f>
        <v/>
      </c>
      <c r="O119" s="7">
        <f>IF(A119="","",M119+N119)</f>
        <v/>
      </c>
      <c r="P119" s="7">
        <f>IF(A119="","",IF(B119&gt;0,1-O119-I119,0))</f>
        <v/>
      </c>
      <c r="Q119" s="6">
        <f>IF(A119="","",B119*P119)</f>
        <v/>
      </c>
      <c r="R119" s="7">
        <f>IF(A119="","",IF(B119&gt;0,P119-J119,0))</f>
        <v/>
      </c>
      <c r="S119" s="6">
        <f>IF(A119="","",B119*R119)</f>
        <v/>
      </c>
      <c r="T119" s="8">
        <f>IF(A119="","",IF(K119&gt;0,S119*K119,""))</f>
        <v/>
      </c>
      <c r="U119" s="8">
        <f>IF(A119="","",IFERROR(B119/Q119,0))</f>
        <v/>
      </c>
      <c r="V119" s="9">
        <f>IF(A119="","",IF(OR(S119&lt;=0,Q119&lt;=0),"Drop",IF(P119&gt;=0.6,"Profit product",IF(P119&gt;=0.5,"Traffic product","Thin - rework"))))</f>
        <v/>
      </c>
    </row>
    <row r="120">
      <c r="B120" s="3" t="n"/>
      <c r="C120" s="3" t="n"/>
      <c r="D120" s="3" t="n"/>
      <c r="E120" s="3" t="n"/>
      <c r="F120" s="4" t="n"/>
      <c r="G120" s="3" t="n"/>
      <c r="H120" s="4" t="n"/>
      <c r="I120" s="4" t="n"/>
      <c r="J120" s="4" t="n"/>
      <c r="K120" s="5" t="n"/>
      <c r="L120" s="6">
        <f>IF(A120="","",B120*F120+G120)</f>
        <v/>
      </c>
      <c r="M120" s="7">
        <f>IF(A120="","",IFERROR((C120+D120+E120)/B120,0))</f>
        <v/>
      </c>
      <c r="N120" s="7">
        <f>IF(A120="","",IFERROR(L120/B120,0)+H120)</f>
        <v/>
      </c>
      <c r="O120" s="7">
        <f>IF(A120="","",M120+N120)</f>
        <v/>
      </c>
      <c r="P120" s="7">
        <f>IF(A120="","",IF(B120&gt;0,1-O120-I120,0))</f>
        <v/>
      </c>
      <c r="Q120" s="6">
        <f>IF(A120="","",B120*P120)</f>
        <v/>
      </c>
      <c r="R120" s="7">
        <f>IF(A120="","",IF(B120&gt;0,P120-J120,0))</f>
        <v/>
      </c>
      <c r="S120" s="6">
        <f>IF(A120="","",B120*R120)</f>
        <v/>
      </c>
      <c r="T120" s="8">
        <f>IF(A120="","",IF(K120&gt;0,S120*K120,""))</f>
        <v/>
      </c>
      <c r="U120" s="8">
        <f>IF(A120="","",IFERROR(B120/Q120,0))</f>
        <v/>
      </c>
      <c r="V120" s="9">
        <f>IF(A120="","",IF(OR(S120&lt;=0,Q120&lt;=0),"Drop",IF(P120&gt;=0.6,"Profit product",IF(P120&gt;=0.5,"Traffic product","Thin - rework"))))</f>
        <v/>
      </c>
    </row>
    <row r="121">
      <c r="B121" s="3" t="n"/>
      <c r="C121" s="3" t="n"/>
      <c r="D121" s="3" t="n"/>
      <c r="E121" s="3" t="n"/>
      <c r="F121" s="4" t="n"/>
      <c r="G121" s="3" t="n"/>
      <c r="H121" s="4" t="n"/>
      <c r="I121" s="4" t="n"/>
      <c r="J121" s="4" t="n"/>
      <c r="K121" s="5" t="n"/>
      <c r="L121" s="6">
        <f>IF(A121="","",B121*F121+G121)</f>
        <v/>
      </c>
      <c r="M121" s="7">
        <f>IF(A121="","",IFERROR((C121+D121+E121)/B121,0))</f>
        <v/>
      </c>
      <c r="N121" s="7">
        <f>IF(A121="","",IFERROR(L121/B121,0)+H121)</f>
        <v/>
      </c>
      <c r="O121" s="7">
        <f>IF(A121="","",M121+N121)</f>
        <v/>
      </c>
      <c r="P121" s="7">
        <f>IF(A121="","",IF(B121&gt;0,1-O121-I121,0))</f>
        <v/>
      </c>
      <c r="Q121" s="6">
        <f>IF(A121="","",B121*P121)</f>
        <v/>
      </c>
      <c r="R121" s="7">
        <f>IF(A121="","",IF(B121&gt;0,P121-J121,0))</f>
        <v/>
      </c>
      <c r="S121" s="6">
        <f>IF(A121="","",B121*R121)</f>
        <v/>
      </c>
      <c r="T121" s="8">
        <f>IF(A121="","",IF(K121&gt;0,S121*K121,""))</f>
        <v/>
      </c>
      <c r="U121" s="8">
        <f>IF(A121="","",IFERROR(B121/Q121,0))</f>
        <v/>
      </c>
      <c r="V121" s="9">
        <f>IF(A121="","",IF(OR(S121&lt;=0,Q121&lt;=0),"Drop",IF(P121&gt;=0.6,"Profit product",IF(P121&gt;=0.5,"Traffic product","Thin - rework"))))</f>
        <v/>
      </c>
    </row>
    <row r="122">
      <c r="B122" s="3" t="n"/>
      <c r="C122" s="3" t="n"/>
      <c r="D122" s="3" t="n"/>
      <c r="E122" s="3" t="n"/>
      <c r="F122" s="4" t="n"/>
      <c r="G122" s="3" t="n"/>
      <c r="H122" s="4" t="n"/>
      <c r="I122" s="4" t="n"/>
      <c r="J122" s="4" t="n"/>
      <c r="K122" s="5" t="n"/>
      <c r="L122" s="6">
        <f>IF(A122="","",B122*F122+G122)</f>
        <v/>
      </c>
      <c r="M122" s="7">
        <f>IF(A122="","",IFERROR((C122+D122+E122)/B122,0))</f>
        <v/>
      </c>
      <c r="N122" s="7">
        <f>IF(A122="","",IFERROR(L122/B122,0)+H122)</f>
        <v/>
      </c>
      <c r="O122" s="7">
        <f>IF(A122="","",M122+N122)</f>
        <v/>
      </c>
      <c r="P122" s="7">
        <f>IF(A122="","",IF(B122&gt;0,1-O122-I122,0))</f>
        <v/>
      </c>
      <c r="Q122" s="6">
        <f>IF(A122="","",B122*P122)</f>
        <v/>
      </c>
      <c r="R122" s="7">
        <f>IF(A122="","",IF(B122&gt;0,P122-J122,0))</f>
        <v/>
      </c>
      <c r="S122" s="6">
        <f>IF(A122="","",B122*R122)</f>
        <v/>
      </c>
      <c r="T122" s="8">
        <f>IF(A122="","",IF(K122&gt;0,S122*K122,""))</f>
        <v/>
      </c>
      <c r="U122" s="8">
        <f>IF(A122="","",IFERROR(B122/Q122,0))</f>
        <v/>
      </c>
      <c r="V122" s="9">
        <f>IF(A122="","",IF(OR(S122&lt;=0,Q122&lt;=0),"Drop",IF(P122&gt;=0.6,"Profit product",IF(P122&gt;=0.5,"Traffic product","Thin - rework"))))</f>
        <v/>
      </c>
    </row>
    <row r="123">
      <c r="B123" s="3" t="n"/>
      <c r="C123" s="3" t="n"/>
      <c r="D123" s="3" t="n"/>
      <c r="E123" s="3" t="n"/>
      <c r="F123" s="4" t="n"/>
      <c r="G123" s="3" t="n"/>
      <c r="H123" s="4" t="n"/>
      <c r="I123" s="4" t="n"/>
      <c r="J123" s="4" t="n"/>
      <c r="K123" s="5" t="n"/>
      <c r="L123" s="6">
        <f>IF(A123="","",B123*F123+G123)</f>
        <v/>
      </c>
      <c r="M123" s="7">
        <f>IF(A123="","",IFERROR((C123+D123+E123)/B123,0))</f>
        <v/>
      </c>
      <c r="N123" s="7">
        <f>IF(A123="","",IFERROR(L123/B123,0)+H123)</f>
        <v/>
      </c>
      <c r="O123" s="7">
        <f>IF(A123="","",M123+N123)</f>
        <v/>
      </c>
      <c r="P123" s="7">
        <f>IF(A123="","",IF(B123&gt;0,1-O123-I123,0))</f>
        <v/>
      </c>
      <c r="Q123" s="6">
        <f>IF(A123="","",B123*P123)</f>
        <v/>
      </c>
      <c r="R123" s="7">
        <f>IF(A123="","",IF(B123&gt;0,P123-J123,0))</f>
        <v/>
      </c>
      <c r="S123" s="6">
        <f>IF(A123="","",B123*R123)</f>
        <v/>
      </c>
      <c r="T123" s="8">
        <f>IF(A123="","",IF(K123&gt;0,S123*K123,""))</f>
        <v/>
      </c>
      <c r="U123" s="8">
        <f>IF(A123="","",IFERROR(B123/Q123,0))</f>
        <v/>
      </c>
      <c r="V123" s="9">
        <f>IF(A123="","",IF(OR(S123&lt;=0,Q123&lt;=0),"Drop",IF(P123&gt;=0.6,"Profit product",IF(P123&gt;=0.5,"Traffic product","Thin - rework"))))</f>
        <v/>
      </c>
    </row>
    <row r="124">
      <c r="B124" s="3" t="n"/>
      <c r="C124" s="3" t="n"/>
      <c r="D124" s="3" t="n"/>
      <c r="E124" s="3" t="n"/>
      <c r="F124" s="4" t="n"/>
      <c r="G124" s="3" t="n"/>
      <c r="H124" s="4" t="n"/>
      <c r="I124" s="4" t="n"/>
      <c r="J124" s="4" t="n"/>
      <c r="K124" s="5" t="n"/>
      <c r="L124" s="6">
        <f>IF(A124="","",B124*F124+G124)</f>
        <v/>
      </c>
      <c r="M124" s="7">
        <f>IF(A124="","",IFERROR((C124+D124+E124)/B124,0))</f>
        <v/>
      </c>
      <c r="N124" s="7">
        <f>IF(A124="","",IFERROR(L124/B124,0)+H124)</f>
        <v/>
      </c>
      <c r="O124" s="7">
        <f>IF(A124="","",M124+N124)</f>
        <v/>
      </c>
      <c r="P124" s="7">
        <f>IF(A124="","",IF(B124&gt;0,1-O124-I124,0))</f>
        <v/>
      </c>
      <c r="Q124" s="6">
        <f>IF(A124="","",B124*P124)</f>
        <v/>
      </c>
      <c r="R124" s="7">
        <f>IF(A124="","",IF(B124&gt;0,P124-J124,0))</f>
        <v/>
      </c>
      <c r="S124" s="6">
        <f>IF(A124="","",B124*R124)</f>
        <v/>
      </c>
      <c r="T124" s="8">
        <f>IF(A124="","",IF(K124&gt;0,S124*K124,""))</f>
        <v/>
      </c>
      <c r="U124" s="8">
        <f>IF(A124="","",IFERROR(B124/Q124,0))</f>
        <v/>
      </c>
      <c r="V124" s="9">
        <f>IF(A124="","",IF(OR(S124&lt;=0,Q124&lt;=0),"Drop",IF(P124&gt;=0.6,"Profit product",IF(P124&gt;=0.5,"Traffic product","Thin - rework"))))</f>
        <v/>
      </c>
    </row>
    <row r="125">
      <c r="B125" s="3" t="n"/>
      <c r="C125" s="3" t="n"/>
      <c r="D125" s="3" t="n"/>
      <c r="E125" s="3" t="n"/>
      <c r="F125" s="4" t="n"/>
      <c r="G125" s="3" t="n"/>
      <c r="H125" s="4" t="n"/>
      <c r="I125" s="4" t="n"/>
      <c r="J125" s="4" t="n"/>
      <c r="K125" s="5" t="n"/>
      <c r="L125" s="6">
        <f>IF(A125="","",B125*F125+G125)</f>
        <v/>
      </c>
      <c r="M125" s="7">
        <f>IF(A125="","",IFERROR((C125+D125+E125)/B125,0))</f>
        <v/>
      </c>
      <c r="N125" s="7">
        <f>IF(A125="","",IFERROR(L125/B125,0)+H125)</f>
        <v/>
      </c>
      <c r="O125" s="7">
        <f>IF(A125="","",M125+N125)</f>
        <v/>
      </c>
      <c r="P125" s="7">
        <f>IF(A125="","",IF(B125&gt;0,1-O125-I125,0))</f>
        <v/>
      </c>
      <c r="Q125" s="6">
        <f>IF(A125="","",B125*P125)</f>
        <v/>
      </c>
      <c r="R125" s="7">
        <f>IF(A125="","",IF(B125&gt;0,P125-J125,0))</f>
        <v/>
      </c>
      <c r="S125" s="6">
        <f>IF(A125="","",B125*R125)</f>
        <v/>
      </c>
      <c r="T125" s="8">
        <f>IF(A125="","",IF(K125&gt;0,S125*K125,""))</f>
        <v/>
      </c>
      <c r="U125" s="8">
        <f>IF(A125="","",IFERROR(B125/Q125,0))</f>
        <v/>
      </c>
      <c r="V125" s="9">
        <f>IF(A125="","",IF(OR(S125&lt;=0,Q125&lt;=0),"Drop",IF(P125&gt;=0.6,"Profit product",IF(P125&gt;=0.5,"Traffic product","Thin - rework"))))</f>
        <v/>
      </c>
    </row>
    <row r="126">
      <c r="B126" s="3" t="n"/>
      <c r="C126" s="3" t="n"/>
      <c r="D126" s="3" t="n"/>
      <c r="E126" s="3" t="n"/>
      <c r="F126" s="4" t="n"/>
      <c r="G126" s="3" t="n"/>
      <c r="H126" s="4" t="n"/>
      <c r="I126" s="4" t="n"/>
      <c r="J126" s="4" t="n"/>
      <c r="K126" s="5" t="n"/>
      <c r="L126" s="6">
        <f>IF(A126="","",B126*F126+G126)</f>
        <v/>
      </c>
      <c r="M126" s="7">
        <f>IF(A126="","",IFERROR((C126+D126+E126)/B126,0))</f>
        <v/>
      </c>
      <c r="N126" s="7">
        <f>IF(A126="","",IFERROR(L126/B126,0)+H126)</f>
        <v/>
      </c>
      <c r="O126" s="7">
        <f>IF(A126="","",M126+N126)</f>
        <v/>
      </c>
      <c r="P126" s="7">
        <f>IF(A126="","",IF(B126&gt;0,1-O126-I126,0))</f>
        <v/>
      </c>
      <c r="Q126" s="6">
        <f>IF(A126="","",B126*P126)</f>
        <v/>
      </c>
      <c r="R126" s="7">
        <f>IF(A126="","",IF(B126&gt;0,P126-J126,0))</f>
        <v/>
      </c>
      <c r="S126" s="6">
        <f>IF(A126="","",B126*R126)</f>
        <v/>
      </c>
      <c r="T126" s="8">
        <f>IF(A126="","",IF(K126&gt;0,S126*K126,""))</f>
        <v/>
      </c>
      <c r="U126" s="8">
        <f>IF(A126="","",IFERROR(B126/Q126,0))</f>
        <v/>
      </c>
      <c r="V126" s="9">
        <f>IF(A126="","",IF(OR(S126&lt;=0,Q126&lt;=0),"Drop",IF(P126&gt;=0.6,"Profit product",IF(P126&gt;=0.5,"Traffic product","Thin - rework"))))</f>
        <v/>
      </c>
    </row>
    <row r="127">
      <c r="B127" s="3" t="n"/>
      <c r="C127" s="3" t="n"/>
      <c r="D127" s="3" t="n"/>
      <c r="E127" s="3" t="n"/>
      <c r="F127" s="4" t="n"/>
      <c r="G127" s="3" t="n"/>
      <c r="H127" s="4" t="n"/>
      <c r="I127" s="4" t="n"/>
      <c r="J127" s="4" t="n"/>
      <c r="K127" s="5" t="n"/>
      <c r="L127" s="6">
        <f>IF(A127="","",B127*F127+G127)</f>
        <v/>
      </c>
      <c r="M127" s="7">
        <f>IF(A127="","",IFERROR((C127+D127+E127)/B127,0))</f>
        <v/>
      </c>
      <c r="N127" s="7">
        <f>IF(A127="","",IFERROR(L127/B127,0)+H127)</f>
        <v/>
      </c>
      <c r="O127" s="7">
        <f>IF(A127="","",M127+N127)</f>
        <v/>
      </c>
      <c r="P127" s="7">
        <f>IF(A127="","",IF(B127&gt;0,1-O127-I127,0))</f>
        <v/>
      </c>
      <c r="Q127" s="6">
        <f>IF(A127="","",B127*P127)</f>
        <v/>
      </c>
      <c r="R127" s="7">
        <f>IF(A127="","",IF(B127&gt;0,P127-J127,0))</f>
        <v/>
      </c>
      <c r="S127" s="6">
        <f>IF(A127="","",B127*R127)</f>
        <v/>
      </c>
      <c r="T127" s="8">
        <f>IF(A127="","",IF(K127&gt;0,S127*K127,""))</f>
        <v/>
      </c>
      <c r="U127" s="8">
        <f>IF(A127="","",IFERROR(B127/Q127,0))</f>
        <v/>
      </c>
      <c r="V127" s="9">
        <f>IF(A127="","",IF(OR(S127&lt;=0,Q127&lt;=0),"Drop",IF(P127&gt;=0.6,"Profit product",IF(P127&gt;=0.5,"Traffic product","Thin - rework"))))</f>
        <v/>
      </c>
    </row>
    <row r="128">
      <c r="B128" s="3" t="n"/>
      <c r="C128" s="3" t="n"/>
      <c r="D128" s="3" t="n"/>
      <c r="E128" s="3" t="n"/>
      <c r="F128" s="4" t="n"/>
      <c r="G128" s="3" t="n"/>
      <c r="H128" s="4" t="n"/>
      <c r="I128" s="4" t="n"/>
      <c r="J128" s="4" t="n"/>
      <c r="K128" s="5" t="n"/>
      <c r="L128" s="6">
        <f>IF(A128="","",B128*F128+G128)</f>
        <v/>
      </c>
      <c r="M128" s="7">
        <f>IF(A128="","",IFERROR((C128+D128+E128)/B128,0))</f>
        <v/>
      </c>
      <c r="N128" s="7">
        <f>IF(A128="","",IFERROR(L128/B128,0)+H128)</f>
        <v/>
      </c>
      <c r="O128" s="7">
        <f>IF(A128="","",M128+N128)</f>
        <v/>
      </c>
      <c r="P128" s="7">
        <f>IF(A128="","",IF(B128&gt;0,1-O128-I128,0))</f>
        <v/>
      </c>
      <c r="Q128" s="6">
        <f>IF(A128="","",B128*P128)</f>
        <v/>
      </c>
      <c r="R128" s="7">
        <f>IF(A128="","",IF(B128&gt;0,P128-J128,0))</f>
        <v/>
      </c>
      <c r="S128" s="6">
        <f>IF(A128="","",B128*R128)</f>
        <v/>
      </c>
      <c r="T128" s="8">
        <f>IF(A128="","",IF(K128&gt;0,S128*K128,""))</f>
        <v/>
      </c>
      <c r="U128" s="8">
        <f>IF(A128="","",IFERROR(B128/Q128,0))</f>
        <v/>
      </c>
      <c r="V128" s="9">
        <f>IF(A128="","",IF(OR(S128&lt;=0,Q128&lt;=0),"Drop",IF(P128&gt;=0.6,"Profit product",IF(P128&gt;=0.5,"Traffic product","Thin - rework"))))</f>
        <v/>
      </c>
    </row>
    <row r="129">
      <c r="B129" s="3" t="n"/>
      <c r="C129" s="3" t="n"/>
      <c r="D129" s="3" t="n"/>
      <c r="E129" s="3" t="n"/>
      <c r="F129" s="4" t="n"/>
      <c r="G129" s="3" t="n"/>
      <c r="H129" s="4" t="n"/>
      <c r="I129" s="4" t="n"/>
      <c r="J129" s="4" t="n"/>
      <c r="K129" s="5" t="n"/>
      <c r="L129" s="6">
        <f>IF(A129="","",B129*F129+G129)</f>
        <v/>
      </c>
      <c r="M129" s="7">
        <f>IF(A129="","",IFERROR((C129+D129+E129)/B129,0))</f>
        <v/>
      </c>
      <c r="N129" s="7">
        <f>IF(A129="","",IFERROR(L129/B129,0)+H129)</f>
        <v/>
      </c>
      <c r="O129" s="7">
        <f>IF(A129="","",M129+N129)</f>
        <v/>
      </c>
      <c r="P129" s="7">
        <f>IF(A129="","",IF(B129&gt;0,1-O129-I129,0))</f>
        <v/>
      </c>
      <c r="Q129" s="6">
        <f>IF(A129="","",B129*P129)</f>
        <v/>
      </c>
      <c r="R129" s="7">
        <f>IF(A129="","",IF(B129&gt;0,P129-J129,0))</f>
        <v/>
      </c>
      <c r="S129" s="6">
        <f>IF(A129="","",B129*R129)</f>
        <v/>
      </c>
      <c r="T129" s="8">
        <f>IF(A129="","",IF(K129&gt;0,S129*K129,""))</f>
        <v/>
      </c>
      <c r="U129" s="8">
        <f>IF(A129="","",IFERROR(B129/Q129,0))</f>
        <v/>
      </c>
      <c r="V129" s="9">
        <f>IF(A129="","",IF(OR(S129&lt;=0,Q129&lt;=0),"Drop",IF(P129&gt;=0.6,"Profit product",IF(P129&gt;=0.5,"Traffic product","Thin - rework"))))</f>
        <v/>
      </c>
    </row>
    <row r="130">
      <c r="B130" s="3" t="n"/>
      <c r="C130" s="3" t="n"/>
      <c r="D130" s="3" t="n"/>
      <c r="E130" s="3" t="n"/>
      <c r="F130" s="4" t="n"/>
      <c r="G130" s="3" t="n"/>
      <c r="H130" s="4" t="n"/>
      <c r="I130" s="4" t="n"/>
      <c r="J130" s="4" t="n"/>
      <c r="K130" s="5" t="n"/>
      <c r="L130" s="6">
        <f>IF(A130="","",B130*F130+G130)</f>
        <v/>
      </c>
      <c r="M130" s="7">
        <f>IF(A130="","",IFERROR((C130+D130+E130)/B130,0))</f>
        <v/>
      </c>
      <c r="N130" s="7">
        <f>IF(A130="","",IFERROR(L130/B130,0)+H130)</f>
        <v/>
      </c>
      <c r="O130" s="7">
        <f>IF(A130="","",M130+N130)</f>
        <v/>
      </c>
      <c r="P130" s="7">
        <f>IF(A130="","",IF(B130&gt;0,1-O130-I130,0))</f>
        <v/>
      </c>
      <c r="Q130" s="6">
        <f>IF(A130="","",B130*P130)</f>
        <v/>
      </c>
      <c r="R130" s="7">
        <f>IF(A130="","",IF(B130&gt;0,P130-J130,0))</f>
        <v/>
      </c>
      <c r="S130" s="6">
        <f>IF(A130="","",B130*R130)</f>
        <v/>
      </c>
      <c r="T130" s="8">
        <f>IF(A130="","",IF(K130&gt;0,S130*K130,""))</f>
        <v/>
      </c>
      <c r="U130" s="8">
        <f>IF(A130="","",IFERROR(B130/Q130,0))</f>
        <v/>
      </c>
      <c r="V130" s="9">
        <f>IF(A130="","",IF(OR(S130&lt;=0,Q130&lt;=0),"Drop",IF(P130&gt;=0.6,"Profit product",IF(P130&gt;=0.5,"Traffic product","Thin - rework"))))</f>
        <v/>
      </c>
    </row>
    <row r="131">
      <c r="B131" s="3" t="n"/>
      <c r="C131" s="3" t="n"/>
      <c r="D131" s="3" t="n"/>
      <c r="E131" s="3" t="n"/>
      <c r="F131" s="4" t="n"/>
      <c r="G131" s="3" t="n"/>
      <c r="H131" s="4" t="n"/>
      <c r="I131" s="4" t="n"/>
      <c r="J131" s="4" t="n"/>
      <c r="K131" s="5" t="n"/>
      <c r="L131" s="6">
        <f>IF(A131="","",B131*F131+G131)</f>
        <v/>
      </c>
      <c r="M131" s="7">
        <f>IF(A131="","",IFERROR((C131+D131+E131)/B131,0))</f>
        <v/>
      </c>
      <c r="N131" s="7">
        <f>IF(A131="","",IFERROR(L131/B131,0)+H131)</f>
        <v/>
      </c>
      <c r="O131" s="7">
        <f>IF(A131="","",M131+N131)</f>
        <v/>
      </c>
      <c r="P131" s="7">
        <f>IF(A131="","",IF(B131&gt;0,1-O131-I131,0))</f>
        <v/>
      </c>
      <c r="Q131" s="6">
        <f>IF(A131="","",B131*P131)</f>
        <v/>
      </c>
      <c r="R131" s="7">
        <f>IF(A131="","",IF(B131&gt;0,P131-J131,0))</f>
        <v/>
      </c>
      <c r="S131" s="6">
        <f>IF(A131="","",B131*R131)</f>
        <v/>
      </c>
      <c r="T131" s="8">
        <f>IF(A131="","",IF(K131&gt;0,S131*K131,""))</f>
        <v/>
      </c>
      <c r="U131" s="8">
        <f>IF(A131="","",IFERROR(B131/Q131,0))</f>
        <v/>
      </c>
      <c r="V131" s="9">
        <f>IF(A131="","",IF(OR(S131&lt;=0,Q131&lt;=0),"Drop",IF(P131&gt;=0.6,"Profit product",IF(P131&gt;=0.5,"Traffic product","Thin - rework"))))</f>
        <v/>
      </c>
    </row>
    <row r="132">
      <c r="B132" s="3" t="n"/>
      <c r="C132" s="3" t="n"/>
      <c r="D132" s="3" t="n"/>
      <c r="E132" s="3" t="n"/>
      <c r="F132" s="4" t="n"/>
      <c r="G132" s="3" t="n"/>
      <c r="H132" s="4" t="n"/>
      <c r="I132" s="4" t="n"/>
      <c r="J132" s="4" t="n"/>
      <c r="K132" s="5" t="n"/>
      <c r="L132" s="6">
        <f>IF(A132="","",B132*F132+G132)</f>
        <v/>
      </c>
      <c r="M132" s="7">
        <f>IF(A132="","",IFERROR((C132+D132+E132)/B132,0))</f>
        <v/>
      </c>
      <c r="N132" s="7">
        <f>IF(A132="","",IFERROR(L132/B132,0)+H132)</f>
        <v/>
      </c>
      <c r="O132" s="7">
        <f>IF(A132="","",M132+N132)</f>
        <v/>
      </c>
      <c r="P132" s="7">
        <f>IF(A132="","",IF(B132&gt;0,1-O132-I132,0))</f>
        <v/>
      </c>
      <c r="Q132" s="6">
        <f>IF(A132="","",B132*P132)</f>
        <v/>
      </c>
      <c r="R132" s="7">
        <f>IF(A132="","",IF(B132&gt;0,P132-J132,0))</f>
        <v/>
      </c>
      <c r="S132" s="6">
        <f>IF(A132="","",B132*R132)</f>
        <v/>
      </c>
      <c r="T132" s="8">
        <f>IF(A132="","",IF(K132&gt;0,S132*K132,""))</f>
        <v/>
      </c>
      <c r="U132" s="8">
        <f>IF(A132="","",IFERROR(B132/Q132,0))</f>
        <v/>
      </c>
      <c r="V132" s="9">
        <f>IF(A132="","",IF(OR(S132&lt;=0,Q132&lt;=0),"Drop",IF(P132&gt;=0.6,"Profit product",IF(P132&gt;=0.5,"Traffic product","Thin - rework"))))</f>
        <v/>
      </c>
    </row>
    <row r="133">
      <c r="B133" s="3" t="n"/>
      <c r="C133" s="3" t="n"/>
      <c r="D133" s="3" t="n"/>
      <c r="E133" s="3" t="n"/>
      <c r="F133" s="4" t="n"/>
      <c r="G133" s="3" t="n"/>
      <c r="H133" s="4" t="n"/>
      <c r="I133" s="4" t="n"/>
      <c r="J133" s="4" t="n"/>
      <c r="K133" s="5" t="n"/>
      <c r="L133" s="6">
        <f>IF(A133="","",B133*F133+G133)</f>
        <v/>
      </c>
      <c r="M133" s="7">
        <f>IF(A133="","",IFERROR((C133+D133+E133)/B133,0))</f>
        <v/>
      </c>
      <c r="N133" s="7">
        <f>IF(A133="","",IFERROR(L133/B133,0)+H133)</f>
        <v/>
      </c>
      <c r="O133" s="7">
        <f>IF(A133="","",M133+N133)</f>
        <v/>
      </c>
      <c r="P133" s="7">
        <f>IF(A133="","",IF(B133&gt;0,1-O133-I133,0))</f>
        <v/>
      </c>
      <c r="Q133" s="6">
        <f>IF(A133="","",B133*P133)</f>
        <v/>
      </c>
      <c r="R133" s="7">
        <f>IF(A133="","",IF(B133&gt;0,P133-J133,0))</f>
        <v/>
      </c>
      <c r="S133" s="6">
        <f>IF(A133="","",B133*R133)</f>
        <v/>
      </c>
      <c r="T133" s="8">
        <f>IF(A133="","",IF(K133&gt;0,S133*K133,""))</f>
        <v/>
      </c>
      <c r="U133" s="8">
        <f>IF(A133="","",IFERROR(B133/Q133,0))</f>
        <v/>
      </c>
      <c r="V133" s="9">
        <f>IF(A133="","",IF(OR(S133&lt;=0,Q133&lt;=0),"Drop",IF(P133&gt;=0.6,"Profit product",IF(P133&gt;=0.5,"Traffic product","Thin - rework"))))</f>
        <v/>
      </c>
    </row>
    <row r="134">
      <c r="B134" s="3" t="n"/>
      <c r="C134" s="3" t="n"/>
      <c r="D134" s="3" t="n"/>
      <c r="E134" s="3" t="n"/>
      <c r="F134" s="4" t="n"/>
      <c r="G134" s="3" t="n"/>
      <c r="H134" s="4" t="n"/>
      <c r="I134" s="4" t="n"/>
      <c r="J134" s="4" t="n"/>
      <c r="K134" s="5" t="n"/>
      <c r="L134" s="6">
        <f>IF(A134="","",B134*F134+G134)</f>
        <v/>
      </c>
      <c r="M134" s="7">
        <f>IF(A134="","",IFERROR((C134+D134+E134)/B134,0))</f>
        <v/>
      </c>
      <c r="N134" s="7">
        <f>IF(A134="","",IFERROR(L134/B134,0)+H134)</f>
        <v/>
      </c>
      <c r="O134" s="7">
        <f>IF(A134="","",M134+N134)</f>
        <v/>
      </c>
      <c r="P134" s="7">
        <f>IF(A134="","",IF(B134&gt;0,1-O134-I134,0))</f>
        <v/>
      </c>
      <c r="Q134" s="6">
        <f>IF(A134="","",B134*P134)</f>
        <v/>
      </c>
      <c r="R134" s="7">
        <f>IF(A134="","",IF(B134&gt;0,P134-J134,0))</f>
        <v/>
      </c>
      <c r="S134" s="6">
        <f>IF(A134="","",B134*R134)</f>
        <v/>
      </c>
      <c r="T134" s="8">
        <f>IF(A134="","",IF(K134&gt;0,S134*K134,""))</f>
        <v/>
      </c>
      <c r="U134" s="8">
        <f>IF(A134="","",IFERROR(B134/Q134,0))</f>
        <v/>
      </c>
      <c r="V134" s="9">
        <f>IF(A134="","",IF(OR(S134&lt;=0,Q134&lt;=0),"Drop",IF(P134&gt;=0.6,"Profit product",IF(P134&gt;=0.5,"Traffic product","Thin - rework"))))</f>
        <v/>
      </c>
    </row>
    <row r="135">
      <c r="B135" s="3" t="n"/>
      <c r="C135" s="3" t="n"/>
      <c r="D135" s="3" t="n"/>
      <c r="E135" s="3" t="n"/>
      <c r="F135" s="4" t="n"/>
      <c r="G135" s="3" t="n"/>
      <c r="H135" s="4" t="n"/>
      <c r="I135" s="4" t="n"/>
      <c r="J135" s="4" t="n"/>
      <c r="K135" s="5" t="n"/>
      <c r="L135" s="6">
        <f>IF(A135="","",B135*F135+G135)</f>
        <v/>
      </c>
      <c r="M135" s="7">
        <f>IF(A135="","",IFERROR((C135+D135+E135)/B135,0))</f>
        <v/>
      </c>
      <c r="N135" s="7">
        <f>IF(A135="","",IFERROR(L135/B135,0)+H135)</f>
        <v/>
      </c>
      <c r="O135" s="7">
        <f>IF(A135="","",M135+N135)</f>
        <v/>
      </c>
      <c r="P135" s="7">
        <f>IF(A135="","",IF(B135&gt;0,1-O135-I135,0))</f>
        <v/>
      </c>
      <c r="Q135" s="6">
        <f>IF(A135="","",B135*P135)</f>
        <v/>
      </c>
      <c r="R135" s="7">
        <f>IF(A135="","",IF(B135&gt;0,P135-J135,0))</f>
        <v/>
      </c>
      <c r="S135" s="6">
        <f>IF(A135="","",B135*R135)</f>
        <v/>
      </c>
      <c r="T135" s="8">
        <f>IF(A135="","",IF(K135&gt;0,S135*K135,""))</f>
        <v/>
      </c>
      <c r="U135" s="8">
        <f>IF(A135="","",IFERROR(B135/Q135,0))</f>
        <v/>
      </c>
      <c r="V135" s="9">
        <f>IF(A135="","",IF(OR(S135&lt;=0,Q135&lt;=0),"Drop",IF(P135&gt;=0.6,"Profit product",IF(P135&gt;=0.5,"Traffic product","Thin - rework"))))</f>
        <v/>
      </c>
    </row>
    <row r="136">
      <c r="B136" s="3" t="n"/>
      <c r="C136" s="3" t="n"/>
      <c r="D136" s="3" t="n"/>
      <c r="E136" s="3" t="n"/>
      <c r="F136" s="4" t="n"/>
      <c r="G136" s="3" t="n"/>
      <c r="H136" s="4" t="n"/>
      <c r="I136" s="4" t="n"/>
      <c r="J136" s="4" t="n"/>
      <c r="K136" s="5" t="n"/>
      <c r="L136" s="6">
        <f>IF(A136="","",B136*F136+G136)</f>
        <v/>
      </c>
      <c r="M136" s="7">
        <f>IF(A136="","",IFERROR((C136+D136+E136)/B136,0))</f>
        <v/>
      </c>
      <c r="N136" s="7">
        <f>IF(A136="","",IFERROR(L136/B136,0)+H136)</f>
        <v/>
      </c>
      <c r="O136" s="7">
        <f>IF(A136="","",M136+N136)</f>
        <v/>
      </c>
      <c r="P136" s="7">
        <f>IF(A136="","",IF(B136&gt;0,1-O136-I136,0))</f>
        <v/>
      </c>
      <c r="Q136" s="6">
        <f>IF(A136="","",B136*P136)</f>
        <v/>
      </c>
      <c r="R136" s="7">
        <f>IF(A136="","",IF(B136&gt;0,P136-J136,0))</f>
        <v/>
      </c>
      <c r="S136" s="6">
        <f>IF(A136="","",B136*R136)</f>
        <v/>
      </c>
      <c r="T136" s="8">
        <f>IF(A136="","",IF(K136&gt;0,S136*K136,""))</f>
        <v/>
      </c>
      <c r="U136" s="8">
        <f>IF(A136="","",IFERROR(B136/Q136,0))</f>
        <v/>
      </c>
      <c r="V136" s="9">
        <f>IF(A136="","",IF(OR(S136&lt;=0,Q136&lt;=0),"Drop",IF(P136&gt;=0.6,"Profit product",IF(P136&gt;=0.5,"Traffic product","Thin - rework"))))</f>
        <v/>
      </c>
    </row>
    <row r="137">
      <c r="B137" s="3" t="n"/>
      <c r="C137" s="3" t="n"/>
      <c r="D137" s="3" t="n"/>
      <c r="E137" s="3" t="n"/>
      <c r="F137" s="4" t="n"/>
      <c r="G137" s="3" t="n"/>
      <c r="H137" s="4" t="n"/>
      <c r="I137" s="4" t="n"/>
      <c r="J137" s="4" t="n"/>
      <c r="K137" s="5" t="n"/>
      <c r="L137" s="6">
        <f>IF(A137="","",B137*F137+G137)</f>
        <v/>
      </c>
      <c r="M137" s="7">
        <f>IF(A137="","",IFERROR((C137+D137+E137)/B137,0))</f>
        <v/>
      </c>
      <c r="N137" s="7">
        <f>IF(A137="","",IFERROR(L137/B137,0)+H137)</f>
        <v/>
      </c>
      <c r="O137" s="7">
        <f>IF(A137="","",M137+N137)</f>
        <v/>
      </c>
      <c r="P137" s="7">
        <f>IF(A137="","",IF(B137&gt;0,1-O137-I137,0))</f>
        <v/>
      </c>
      <c r="Q137" s="6">
        <f>IF(A137="","",B137*P137)</f>
        <v/>
      </c>
      <c r="R137" s="7">
        <f>IF(A137="","",IF(B137&gt;0,P137-J137,0))</f>
        <v/>
      </c>
      <c r="S137" s="6">
        <f>IF(A137="","",B137*R137)</f>
        <v/>
      </c>
      <c r="T137" s="8">
        <f>IF(A137="","",IF(K137&gt;0,S137*K137,""))</f>
        <v/>
      </c>
      <c r="U137" s="8">
        <f>IF(A137="","",IFERROR(B137/Q137,0))</f>
        <v/>
      </c>
      <c r="V137" s="9">
        <f>IF(A137="","",IF(OR(S137&lt;=0,Q137&lt;=0),"Drop",IF(P137&gt;=0.6,"Profit product",IF(P137&gt;=0.5,"Traffic product","Thin - rework"))))</f>
        <v/>
      </c>
    </row>
    <row r="138">
      <c r="B138" s="3" t="n"/>
      <c r="C138" s="3" t="n"/>
      <c r="D138" s="3" t="n"/>
      <c r="E138" s="3" t="n"/>
      <c r="F138" s="4" t="n"/>
      <c r="G138" s="3" t="n"/>
      <c r="H138" s="4" t="n"/>
      <c r="I138" s="4" t="n"/>
      <c r="J138" s="4" t="n"/>
      <c r="K138" s="5" t="n"/>
      <c r="L138" s="6">
        <f>IF(A138="","",B138*F138+G138)</f>
        <v/>
      </c>
      <c r="M138" s="7">
        <f>IF(A138="","",IFERROR((C138+D138+E138)/B138,0))</f>
        <v/>
      </c>
      <c r="N138" s="7">
        <f>IF(A138="","",IFERROR(L138/B138,0)+H138)</f>
        <v/>
      </c>
      <c r="O138" s="7">
        <f>IF(A138="","",M138+N138)</f>
        <v/>
      </c>
      <c r="P138" s="7">
        <f>IF(A138="","",IF(B138&gt;0,1-O138-I138,0))</f>
        <v/>
      </c>
      <c r="Q138" s="6">
        <f>IF(A138="","",B138*P138)</f>
        <v/>
      </c>
      <c r="R138" s="7">
        <f>IF(A138="","",IF(B138&gt;0,P138-J138,0))</f>
        <v/>
      </c>
      <c r="S138" s="6">
        <f>IF(A138="","",B138*R138)</f>
        <v/>
      </c>
      <c r="T138" s="8">
        <f>IF(A138="","",IF(K138&gt;0,S138*K138,""))</f>
        <v/>
      </c>
      <c r="U138" s="8">
        <f>IF(A138="","",IFERROR(B138/Q138,0))</f>
        <v/>
      </c>
      <c r="V138" s="9">
        <f>IF(A138="","",IF(OR(S138&lt;=0,Q138&lt;=0),"Drop",IF(P138&gt;=0.6,"Profit product",IF(P138&gt;=0.5,"Traffic product","Thin - rework"))))</f>
        <v/>
      </c>
    </row>
    <row r="139">
      <c r="B139" s="3" t="n"/>
      <c r="C139" s="3" t="n"/>
      <c r="D139" s="3" t="n"/>
      <c r="E139" s="3" t="n"/>
      <c r="F139" s="4" t="n"/>
      <c r="G139" s="3" t="n"/>
      <c r="H139" s="4" t="n"/>
      <c r="I139" s="4" t="n"/>
      <c r="J139" s="4" t="n"/>
      <c r="K139" s="5" t="n"/>
      <c r="L139" s="6">
        <f>IF(A139="","",B139*F139+G139)</f>
        <v/>
      </c>
      <c r="M139" s="7">
        <f>IF(A139="","",IFERROR((C139+D139+E139)/B139,0))</f>
        <v/>
      </c>
      <c r="N139" s="7">
        <f>IF(A139="","",IFERROR(L139/B139,0)+H139)</f>
        <v/>
      </c>
      <c r="O139" s="7">
        <f>IF(A139="","",M139+N139)</f>
        <v/>
      </c>
      <c r="P139" s="7">
        <f>IF(A139="","",IF(B139&gt;0,1-O139-I139,0))</f>
        <v/>
      </c>
      <c r="Q139" s="6">
        <f>IF(A139="","",B139*P139)</f>
        <v/>
      </c>
      <c r="R139" s="7">
        <f>IF(A139="","",IF(B139&gt;0,P139-J139,0))</f>
        <v/>
      </c>
      <c r="S139" s="6">
        <f>IF(A139="","",B139*R139)</f>
        <v/>
      </c>
      <c r="T139" s="8">
        <f>IF(A139="","",IF(K139&gt;0,S139*K139,""))</f>
        <v/>
      </c>
      <c r="U139" s="8">
        <f>IF(A139="","",IFERROR(B139/Q139,0))</f>
        <v/>
      </c>
      <c r="V139" s="9">
        <f>IF(A139="","",IF(OR(S139&lt;=0,Q139&lt;=0),"Drop",IF(P139&gt;=0.6,"Profit product",IF(P139&gt;=0.5,"Traffic product","Thin - rework"))))</f>
        <v/>
      </c>
    </row>
    <row r="140">
      <c r="B140" s="3" t="n"/>
      <c r="C140" s="3" t="n"/>
      <c r="D140" s="3" t="n"/>
      <c r="E140" s="3" t="n"/>
      <c r="F140" s="4" t="n"/>
      <c r="G140" s="3" t="n"/>
      <c r="H140" s="4" t="n"/>
      <c r="I140" s="4" t="n"/>
      <c r="J140" s="4" t="n"/>
      <c r="K140" s="5" t="n"/>
      <c r="L140" s="6">
        <f>IF(A140="","",B140*F140+G140)</f>
        <v/>
      </c>
      <c r="M140" s="7">
        <f>IF(A140="","",IFERROR((C140+D140+E140)/B140,0))</f>
        <v/>
      </c>
      <c r="N140" s="7">
        <f>IF(A140="","",IFERROR(L140/B140,0)+H140)</f>
        <v/>
      </c>
      <c r="O140" s="7">
        <f>IF(A140="","",M140+N140)</f>
        <v/>
      </c>
      <c r="P140" s="7">
        <f>IF(A140="","",IF(B140&gt;0,1-O140-I140,0))</f>
        <v/>
      </c>
      <c r="Q140" s="6">
        <f>IF(A140="","",B140*P140)</f>
        <v/>
      </c>
      <c r="R140" s="7">
        <f>IF(A140="","",IF(B140&gt;0,P140-J140,0))</f>
        <v/>
      </c>
      <c r="S140" s="6">
        <f>IF(A140="","",B140*R140)</f>
        <v/>
      </c>
      <c r="T140" s="8">
        <f>IF(A140="","",IF(K140&gt;0,S140*K140,""))</f>
        <v/>
      </c>
      <c r="U140" s="8">
        <f>IF(A140="","",IFERROR(B140/Q140,0))</f>
        <v/>
      </c>
      <c r="V140" s="9">
        <f>IF(A140="","",IF(OR(S140&lt;=0,Q140&lt;=0),"Drop",IF(P140&gt;=0.6,"Profit product",IF(P140&gt;=0.5,"Traffic product","Thin - rework"))))</f>
        <v/>
      </c>
    </row>
    <row r="141">
      <c r="B141" s="3" t="n"/>
      <c r="C141" s="3" t="n"/>
      <c r="D141" s="3" t="n"/>
      <c r="E141" s="3" t="n"/>
      <c r="F141" s="4" t="n"/>
      <c r="G141" s="3" t="n"/>
      <c r="H141" s="4" t="n"/>
      <c r="I141" s="4" t="n"/>
      <c r="J141" s="4" t="n"/>
      <c r="K141" s="5" t="n"/>
      <c r="L141" s="6">
        <f>IF(A141="","",B141*F141+G141)</f>
        <v/>
      </c>
      <c r="M141" s="7">
        <f>IF(A141="","",IFERROR((C141+D141+E141)/B141,0))</f>
        <v/>
      </c>
      <c r="N141" s="7">
        <f>IF(A141="","",IFERROR(L141/B141,0)+H141)</f>
        <v/>
      </c>
      <c r="O141" s="7">
        <f>IF(A141="","",M141+N141)</f>
        <v/>
      </c>
      <c r="P141" s="7">
        <f>IF(A141="","",IF(B141&gt;0,1-O141-I141,0))</f>
        <v/>
      </c>
      <c r="Q141" s="6">
        <f>IF(A141="","",B141*P141)</f>
        <v/>
      </c>
      <c r="R141" s="7">
        <f>IF(A141="","",IF(B141&gt;0,P141-J141,0))</f>
        <v/>
      </c>
      <c r="S141" s="6">
        <f>IF(A141="","",B141*R141)</f>
        <v/>
      </c>
      <c r="T141" s="8">
        <f>IF(A141="","",IF(K141&gt;0,S141*K141,""))</f>
        <v/>
      </c>
      <c r="U141" s="8">
        <f>IF(A141="","",IFERROR(B141/Q141,0))</f>
        <v/>
      </c>
      <c r="V141" s="9">
        <f>IF(A141="","",IF(OR(S141&lt;=0,Q141&lt;=0),"Drop",IF(P141&gt;=0.6,"Profit product",IF(P141&gt;=0.5,"Traffic product","Thin - rework"))))</f>
        <v/>
      </c>
    </row>
    <row r="142">
      <c r="B142" s="3" t="n"/>
      <c r="C142" s="3" t="n"/>
      <c r="D142" s="3" t="n"/>
      <c r="E142" s="3" t="n"/>
      <c r="F142" s="4" t="n"/>
      <c r="G142" s="3" t="n"/>
      <c r="H142" s="4" t="n"/>
      <c r="I142" s="4" t="n"/>
      <c r="J142" s="4" t="n"/>
      <c r="K142" s="5" t="n"/>
      <c r="L142" s="6">
        <f>IF(A142="","",B142*F142+G142)</f>
        <v/>
      </c>
      <c r="M142" s="7">
        <f>IF(A142="","",IFERROR((C142+D142+E142)/B142,0))</f>
        <v/>
      </c>
      <c r="N142" s="7">
        <f>IF(A142="","",IFERROR(L142/B142,0)+H142)</f>
        <v/>
      </c>
      <c r="O142" s="7">
        <f>IF(A142="","",M142+N142)</f>
        <v/>
      </c>
      <c r="P142" s="7">
        <f>IF(A142="","",IF(B142&gt;0,1-O142-I142,0))</f>
        <v/>
      </c>
      <c r="Q142" s="6">
        <f>IF(A142="","",B142*P142)</f>
        <v/>
      </c>
      <c r="R142" s="7">
        <f>IF(A142="","",IF(B142&gt;0,P142-J142,0))</f>
        <v/>
      </c>
      <c r="S142" s="6">
        <f>IF(A142="","",B142*R142)</f>
        <v/>
      </c>
      <c r="T142" s="8">
        <f>IF(A142="","",IF(K142&gt;0,S142*K142,""))</f>
        <v/>
      </c>
      <c r="U142" s="8">
        <f>IF(A142="","",IFERROR(B142/Q142,0))</f>
        <v/>
      </c>
      <c r="V142" s="9">
        <f>IF(A142="","",IF(OR(S142&lt;=0,Q142&lt;=0),"Drop",IF(P142&gt;=0.6,"Profit product",IF(P142&gt;=0.5,"Traffic product","Thin - rework"))))</f>
        <v/>
      </c>
    </row>
    <row r="143">
      <c r="B143" s="3" t="n"/>
      <c r="C143" s="3" t="n"/>
      <c r="D143" s="3" t="n"/>
      <c r="E143" s="3" t="n"/>
      <c r="F143" s="4" t="n"/>
      <c r="G143" s="3" t="n"/>
      <c r="H143" s="4" t="n"/>
      <c r="I143" s="4" t="n"/>
      <c r="J143" s="4" t="n"/>
      <c r="K143" s="5" t="n"/>
      <c r="L143" s="6">
        <f>IF(A143="","",B143*F143+G143)</f>
        <v/>
      </c>
      <c r="M143" s="7">
        <f>IF(A143="","",IFERROR((C143+D143+E143)/B143,0))</f>
        <v/>
      </c>
      <c r="N143" s="7">
        <f>IF(A143="","",IFERROR(L143/B143,0)+H143)</f>
        <v/>
      </c>
      <c r="O143" s="7">
        <f>IF(A143="","",M143+N143)</f>
        <v/>
      </c>
      <c r="P143" s="7">
        <f>IF(A143="","",IF(B143&gt;0,1-O143-I143,0))</f>
        <v/>
      </c>
      <c r="Q143" s="6">
        <f>IF(A143="","",B143*P143)</f>
        <v/>
      </c>
      <c r="R143" s="7">
        <f>IF(A143="","",IF(B143&gt;0,P143-J143,0))</f>
        <v/>
      </c>
      <c r="S143" s="6">
        <f>IF(A143="","",B143*R143)</f>
        <v/>
      </c>
      <c r="T143" s="8">
        <f>IF(A143="","",IF(K143&gt;0,S143*K143,""))</f>
        <v/>
      </c>
      <c r="U143" s="8">
        <f>IF(A143="","",IFERROR(B143/Q143,0))</f>
        <v/>
      </c>
      <c r="V143" s="9">
        <f>IF(A143="","",IF(OR(S143&lt;=0,Q143&lt;=0),"Drop",IF(P143&gt;=0.6,"Profit product",IF(P143&gt;=0.5,"Traffic product","Thin - rework"))))</f>
        <v/>
      </c>
    </row>
    <row r="144">
      <c r="B144" s="3" t="n"/>
      <c r="C144" s="3" t="n"/>
      <c r="D144" s="3" t="n"/>
      <c r="E144" s="3" t="n"/>
      <c r="F144" s="4" t="n"/>
      <c r="G144" s="3" t="n"/>
      <c r="H144" s="4" t="n"/>
      <c r="I144" s="4" t="n"/>
      <c r="J144" s="4" t="n"/>
      <c r="K144" s="5" t="n"/>
      <c r="L144" s="6">
        <f>IF(A144="","",B144*F144+G144)</f>
        <v/>
      </c>
      <c r="M144" s="7">
        <f>IF(A144="","",IFERROR((C144+D144+E144)/B144,0))</f>
        <v/>
      </c>
      <c r="N144" s="7">
        <f>IF(A144="","",IFERROR(L144/B144,0)+H144)</f>
        <v/>
      </c>
      <c r="O144" s="7">
        <f>IF(A144="","",M144+N144)</f>
        <v/>
      </c>
      <c r="P144" s="7">
        <f>IF(A144="","",IF(B144&gt;0,1-O144-I144,0))</f>
        <v/>
      </c>
      <c r="Q144" s="6">
        <f>IF(A144="","",B144*P144)</f>
        <v/>
      </c>
      <c r="R144" s="7">
        <f>IF(A144="","",IF(B144&gt;0,P144-J144,0))</f>
        <v/>
      </c>
      <c r="S144" s="6">
        <f>IF(A144="","",B144*R144)</f>
        <v/>
      </c>
      <c r="T144" s="8">
        <f>IF(A144="","",IF(K144&gt;0,S144*K144,""))</f>
        <v/>
      </c>
      <c r="U144" s="8">
        <f>IF(A144="","",IFERROR(B144/Q144,0))</f>
        <v/>
      </c>
      <c r="V144" s="9">
        <f>IF(A144="","",IF(OR(S144&lt;=0,Q144&lt;=0),"Drop",IF(P144&gt;=0.6,"Profit product",IF(P144&gt;=0.5,"Traffic product","Thin - rework"))))</f>
        <v/>
      </c>
    </row>
    <row r="145">
      <c r="B145" s="3" t="n"/>
      <c r="C145" s="3" t="n"/>
      <c r="D145" s="3" t="n"/>
      <c r="E145" s="3" t="n"/>
      <c r="F145" s="4" t="n"/>
      <c r="G145" s="3" t="n"/>
      <c r="H145" s="4" t="n"/>
      <c r="I145" s="4" t="n"/>
      <c r="J145" s="4" t="n"/>
      <c r="K145" s="5" t="n"/>
      <c r="L145" s="6">
        <f>IF(A145="","",B145*F145+G145)</f>
        <v/>
      </c>
      <c r="M145" s="7">
        <f>IF(A145="","",IFERROR((C145+D145+E145)/B145,0))</f>
        <v/>
      </c>
      <c r="N145" s="7">
        <f>IF(A145="","",IFERROR(L145/B145,0)+H145)</f>
        <v/>
      </c>
      <c r="O145" s="7">
        <f>IF(A145="","",M145+N145)</f>
        <v/>
      </c>
      <c r="P145" s="7">
        <f>IF(A145="","",IF(B145&gt;0,1-O145-I145,0))</f>
        <v/>
      </c>
      <c r="Q145" s="6">
        <f>IF(A145="","",B145*P145)</f>
        <v/>
      </c>
      <c r="R145" s="7">
        <f>IF(A145="","",IF(B145&gt;0,P145-J145,0))</f>
        <v/>
      </c>
      <c r="S145" s="6">
        <f>IF(A145="","",B145*R145)</f>
        <v/>
      </c>
      <c r="T145" s="8">
        <f>IF(A145="","",IF(K145&gt;0,S145*K145,""))</f>
        <v/>
      </c>
      <c r="U145" s="8">
        <f>IF(A145="","",IFERROR(B145/Q145,0))</f>
        <v/>
      </c>
      <c r="V145" s="9">
        <f>IF(A145="","",IF(OR(S145&lt;=0,Q145&lt;=0),"Drop",IF(P145&gt;=0.6,"Profit product",IF(P145&gt;=0.5,"Traffic product","Thin - rework"))))</f>
        <v/>
      </c>
    </row>
    <row r="146">
      <c r="B146" s="3" t="n"/>
      <c r="C146" s="3" t="n"/>
      <c r="D146" s="3" t="n"/>
      <c r="E146" s="3" t="n"/>
      <c r="F146" s="4" t="n"/>
      <c r="G146" s="3" t="n"/>
      <c r="H146" s="4" t="n"/>
      <c r="I146" s="4" t="n"/>
      <c r="J146" s="4" t="n"/>
      <c r="K146" s="5" t="n"/>
      <c r="L146" s="6">
        <f>IF(A146="","",B146*F146+G146)</f>
        <v/>
      </c>
      <c r="M146" s="7">
        <f>IF(A146="","",IFERROR((C146+D146+E146)/B146,0))</f>
        <v/>
      </c>
      <c r="N146" s="7">
        <f>IF(A146="","",IFERROR(L146/B146,0)+H146)</f>
        <v/>
      </c>
      <c r="O146" s="7">
        <f>IF(A146="","",M146+N146)</f>
        <v/>
      </c>
      <c r="P146" s="7">
        <f>IF(A146="","",IF(B146&gt;0,1-O146-I146,0))</f>
        <v/>
      </c>
      <c r="Q146" s="6">
        <f>IF(A146="","",B146*P146)</f>
        <v/>
      </c>
      <c r="R146" s="7">
        <f>IF(A146="","",IF(B146&gt;0,P146-J146,0))</f>
        <v/>
      </c>
      <c r="S146" s="6">
        <f>IF(A146="","",B146*R146)</f>
        <v/>
      </c>
      <c r="T146" s="8">
        <f>IF(A146="","",IF(K146&gt;0,S146*K146,""))</f>
        <v/>
      </c>
      <c r="U146" s="8">
        <f>IF(A146="","",IFERROR(B146/Q146,0))</f>
        <v/>
      </c>
      <c r="V146" s="9">
        <f>IF(A146="","",IF(OR(S146&lt;=0,Q146&lt;=0),"Drop",IF(P146&gt;=0.6,"Profit product",IF(P146&gt;=0.5,"Traffic product","Thin - rework"))))</f>
        <v/>
      </c>
    </row>
    <row r="147">
      <c r="B147" s="3" t="n"/>
      <c r="C147" s="3" t="n"/>
      <c r="D147" s="3" t="n"/>
      <c r="E147" s="3" t="n"/>
      <c r="F147" s="4" t="n"/>
      <c r="G147" s="3" t="n"/>
      <c r="H147" s="4" t="n"/>
      <c r="I147" s="4" t="n"/>
      <c r="J147" s="4" t="n"/>
      <c r="K147" s="5" t="n"/>
      <c r="L147" s="6">
        <f>IF(A147="","",B147*F147+G147)</f>
        <v/>
      </c>
      <c r="M147" s="7">
        <f>IF(A147="","",IFERROR((C147+D147+E147)/B147,0))</f>
        <v/>
      </c>
      <c r="N147" s="7">
        <f>IF(A147="","",IFERROR(L147/B147,0)+H147)</f>
        <v/>
      </c>
      <c r="O147" s="7">
        <f>IF(A147="","",M147+N147)</f>
        <v/>
      </c>
      <c r="P147" s="7">
        <f>IF(A147="","",IF(B147&gt;0,1-O147-I147,0))</f>
        <v/>
      </c>
      <c r="Q147" s="6">
        <f>IF(A147="","",B147*P147)</f>
        <v/>
      </c>
      <c r="R147" s="7">
        <f>IF(A147="","",IF(B147&gt;0,P147-J147,0))</f>
        <v/>
      </c>
      <c r="S147" s="6">
        <f>IF(A147="","",B147*R147)</f>
        <v/>
      </c>
      <c r="T147" s="8">
        <f>IF(A147="","",IF(K147&gt;0,S147*K147,""))</f>
        <v/>
      </c>
      <c r="U147" s="8">
        <f>IF(A147="","",IFERROR(B147/Q147,0))</f>
        <v/>
      </c>
      <c r="V147" s="9">
        <f>IF(A147="","",IF(OR(S147&lt;=0,Q147&lt;=0),"Drop",IF(P147&gt;=0.6,"Profit product",IF(P147&gt;=0.5,"Traffic product","Thin - rework"))))</f>
        <v/>
      </c>
    </row>
    <row r="148">
      <c r="B148" s="3" t="n"/>
      <c r="C148" s="3" t="n"/>
      <c r="D148" s="3" t="n"/>
      <c r="E148" s="3" t="n"/>
      <c r="F148" s="4" t="n"/>
      <c r="G148" s="3" t="n"/>
      <c r="H148" s="4" t="n"/>
      <c r="I148" s="4" t="n"/>
      <c r="J148" s="4" t="n"/>
      <c r="K148" s="5" t="n"/>
      <c r="L148" s="6">
        <f>IF(A148="","",B148*F148+G148)</f>
        <v/>
      </c>
      <c r="M148" s="7">
        <f>IF(A148="","",IFERROR((C148+D148+E148)/B148,0))</f>
        <v/>
      </c>
      <c r="N148" s="7">
        <f>IF(A148="","",IFERROR(L148/B148,0)+H148)</f>
        <v/>
      </c>
      <c r="O148" s="7">
        <f>IF(A148="","",M148+N148)</f>
        <v/>
      </c>
      <c r="P148" s="7">
        <f>IF(A148="","",IF(B148&gt;0,1-O148-I148,0))</f>
        <v/>
      </c>
      <c r="Q148" s="6">
        <f>IF(A148="","",B148*P148)</f>
        <v/>
      </c>
      <c r="R148" s="7">
        <f>IF(A148="","",IF(B148&gt;0,P148-J148,0))</f>
        <v/>
      </c>
      <c r="S148" s="6">
        <f>IF(A148="","",B148*R148)</f>
        <v/>
      </c>
      <c r="T148" s="8">
        <f>IF(A148="","",IF(K148&gt;0,S148*K148,""))</f>
        <v/>
      </c>
      <c r="U148" s="8">
        <f>IF(A148="","",IFERROR(B148/Q148,0))</f>
        <v/>
      </c>
      <c r="V148" s="9">
        <f>IF(A148="","",IF(OR(S148&lt;=0,Q148&lt;=0),"Drop",IF(P148&gt;=0.6,"Profit product",IF(P148&gt;=0.5,"Traffic product","Thin - rework"))))</f>
        <v/>
      </c>
    </row>
    <row r="149">
      <c r="B149" s="3" t="n"/>
      <c r="C149" s="3" t="n"/>
      <c r="D149" s="3" t="n"/>
      <c r="E149" s="3" t="n"/>
      <c r="F149" s="4" t="n"/>
      <c r="G149" s="3" t="n"/>
      <c r="H149" s="4" t="n"/>
      <c r="I149" s="4" t="n"/>
      <c r="J149" s="4" t="n"/>
      <c r="K149" s="5" t="n"/>
      <c r="L149" s="6">
        <f>IF(A149="","",B149*F149+G149)</f>
        <v/>
      </c>
      <c r="M149" s="7">
        <f>IF(A149="","",IFERROR((C149+D149+E149)/B149,0))</f>
        <v/>
      </c>
      <c r="N149" s="7">
        <f>IF(A149="","",IFERROR(L149/B149,0)+H149)</f>
        <v/>
      </c>
      <c r="O149" s="7">
        <f>IF(A149="","",M149+N149)</f>
        <v/>
      </c>
      <c r="P149" s="7">
        <f>IF(A149="","",IF(B149&gt;0,1-O149-I149,0))</f>
        <v/>
      </c>
      <c r="Q149" s="6">
        <f>IF(A149="","",B149*P149)</f>
        <v/>
      </c>
      <c r="R149" s="7">
        <f>IF(A149="","",IF(B149&gt;0,P149-J149,0))</f>
        <v/>
      </c>
      <c r="S149" s="6">
        <f>IF(A149="","",B149*R149)</f>
        <v/>
      </c>
      <c r="T149" s="8">
        <f>IF(A149="","",IF(K149&gt;0,S149*K149,""))</f>
        <v/>
      </c>
      <c r="U149" s="8">
        <f>IF(A149="","",IFERROR(B149/Q149,0))</f>
        <v/>
      </c>
      <c r="V149" s="9">
        <f>IF(A149="","",IF(OR(S149&lt;=0,Q149&lt;=0),"Drop",IF(P149&gt;=0.6,"Profit product",IF(P149&gt;=0.5,"Traffic product","Thin - rework"))))</f>
        <v/>
      </c>
    </row>
    <row r="150">
      <c r="B150" s="3" t="n"/>
      <c r="C150" s="3" t="n"/>
      <c r="D150" s="3" t="n"/>
      <c r="E150" s="3" t="n"/>
      <c r="F150" s="4" t="n"/>
      <c r="G150" s="3" t="n"/>
      <c r="H150" s="4" t="n"/>
      <c r="I150" s="4" t="n"/>
      <c r="J150" s="4" t="n"/>
      <c r="K150" s="5" t="n"/>
      <c r="L150" s="6">
        <f>IF(A150="","",B150*F150+G150)</f>
        <v/>
      </c>
      <c r="M150" s="7">
        <f>IF(A150="","",IFERROR((C150+D150+E150)/B150,0))</f>
        <v/>
      </c>
      <c r="N150" s="7">
        <f>IF(A150="","",IFERROR(L150/B150,0)+H150)</f>
        <v/>
      </c>
      <c r="O150" s="7">
        <f>IF(A150="","",M150+N150)</f>
        <v/>
      </c>
      <c r="P150" s="7">
        <f>IF(A150="","",IF(B150&gt;0,1-O150-I150,0))</f>
        <v/>
      </c>
      <c r="Q150" s="6">
        <f>IF(A150="","",B150*P150)</f>
        <v/>
      </c>
      <c r="R150" s="7">
        <f>IF(A150="","",IF(B150&gt;0,P150-J150,0))</f>
        <v/>
      </c>
      <c r="S150" s="6">
        <f>IF(A150="","",B150*R150)</f>
        <v/>
      </c>
      <c r="T150" s="8">
        <f>IF(A150="","",IF(K150&gt;0,S150*K150,""))</f>
        <v/>
      </c>
      <c r="U150" s="8">
        <f>IF(A150="","",IFERROR(B150/Q150,0))</f>
        <v/>
      </c>
      <c r="V150" s="9">
        <f>IF(A150="","",IF(OR(S150&lt;=0,Q150&lt;=0),"Drop",IF(P150&gt;=0.6,"Profit product",IF(P150&gt;=0.5,"Traffic product","Thin - rework"))))</f>
        <v/>
      </c>
    </row>
    <row r="151">
      <c r="B151" s="3" t="n"/>
      <c r="C151" s="3" t="n"/>
      <c r="D151" s="3" t="n"/>
      <c r="E151" s="3" t="n"/>
      <c r="F151" s="4" t="n"/>
      <c r="G151" s="3" t="n"/>
      <c r="H151" s="4" t="n"/>
      <c r="I151" s="4" t="n"/>
      <c r="J151" s="4" t="n"/>
      <c r="K151" s="5" t="n"/>
      <c r="L151" s="6">
        <f>IF(A151="","",B151*F151+G151)</f>
        <v/>
      </c>
      <c r="M151" s="7">
        <f>IF(A151="","",IFERROR((C151+D151+E151)/B151,0))</f>
        <v/>
      </c>
      <c r="N151" s="7">
        <f>IF(A151="","",IFERROR(L151/B151,0)+H151)</f>
        <v/>
      </c>
      <c r="O151" s="7">
        <f>IF(A151="","",M151+N151)</f>
        <v/>
      </c>
      <c r="P151" s="7">
        <f>IF(A151="","",IF(B151&gt;0,1-O151-I151,0))</f>
        <v/>
      </c>
      <c r="Q151" s="6">
        <f>IF(A151="","",B151*P151)</f>
        <v/>
      </c>
      <c r="R151" s="7">
        <f>IF(A151="","",IF(B151&gt;0,P151-J151,0))</f>
        <v/>
      </c>
      <c r="S151" s="6">
        <f>IF(A151="","",B151*R151)</f>
        <v/>
      </c>
      <c r="T151" s="8">
        <f>IF(A151="","",IF(K151&gt;0,S151*K151,""))</f>
        <v/>
      </c>
      <c r="U151" s="8">
        <f>IF(A151="","",IFERROR(B151/Q151,0))</f>
        <v/>
      </c>
      <c r="V151" s="9">
        <f>IF(A151="","",IF(OR(S151&lt;=0,Q151&lt;=0),"Drop",IF(P151&gt;=0.6,"Profit product",IF(P151&gt;=0.5,"Traffic product","Thin - rework"))))</f>
        <v/>
      </c>
    </row>
    <row r="152">
      <c r="B152" s="3" t="n"/>
      <c r="C152" s="3" t="n"/>
      <c r="D152" s="3" t="n"/>
      <c r="E152" s="3" t="n"/>
      <c r="F152" s="4" t="n"/>
      <c r="G152" s="3" t="n"/>
      <c r="H152" s="4" t="n"/>
      <c r="I152" s="4" t="n"/>
      <c r="J152" s="4" t="n"/>
      <c r="K152" s="5" t="n"/>
      <c r="L152" s="6">
        <f>IF(A152="","",B152*F152+G152)</f>
        <v/>
      </c>
      <c r="M152" s="7">
        <f>IF(A152="","",IFERROR((C152+D152+E152)/B152,0))</f>
        <v/>
      </c>
      <c r="N152" s="7">
        <f>IF(A152="","",IFERROR(L152/B152,0)+H152)</f>
        <v/>
      </c>
      <c r="O152" s="7">
        <f>IF(A152="","",M152+N152)</f>
        <v/>
      </c>
      <c r="P152" s="7">
        <f>IF(A152="","",IF(B152&gt;0,1-O152-I152,0))</f>
        <v/>
      </c>
      <c r="Q152" s="6">
        <f>IF(A152="","",B152*P152)</f>
        <v/>
      </c>
      <c r="R152" s="7">
        <f>IF(A152="","",IF(B152&gt;0,P152-J152,0))</f>
        <v/>
      </c>
      <c r="S152" s="6">
        <f>IF(A152="","",B152*R152)</f>
        <v/>
      </c>
      <c r="T152" s="8">
        <f>IF(A152="","",IF(K152&gt;0,S152*K152,""))</f>
        <v/>
      </c>
      <c r="U152" s="8">
        <f>IF(A152="","",IFERROR(B152/Q152,0))</f>
        <v/>
      </c>
      <c r="V152" s="9">
        <f>IF(A152="","",IF(OR(S152&lt;=0,Q152&lt;=0),"Drop",IF(P152&gt;=0.6,"Profit product",IF(P152&gt;=0.5,"Traffic product","Thin - rework"))))</f>
        <v/>
      </c>
    </row>
    <row r="153">
      <c r="B153" s="3" t="n"/>
      <c r="C153" s="3" t="n"/>
      <c r="D153" s="3" t="n"/>
      <c r="E153" s="3" t="n"/>
      <c r="F153" s="4" t="n"/>
      <c r="G153" s="3" t="n"/>
      <c r="H153" s="4" t="n"/>
      <c r="I153" s="4" t="n"/>
      <c r="J153" s="4" t="n"/>
      <c r="K153" s="5" t="n"/>
      <c r="L153" s="6">
        <f>IF(A153="","",B153*F153+G153)</f>
        <v/>
      </c>
      <c r="M153" s="7">
        <f>IF(A153="","",IFERROR((C153+D153+E153)/B153,0))</f>
        <v/>
      </c>
      <c r="N153" s="7">
        <f>IF(A153="","",IFERROR(L153/B153,0)+H153)</f>
        <v/>
      </c>
      <c r="O153" s="7">
        <f>IF(A153="","",M153+N153)</f>
        <v/>
      </c>
      <c r="P153" s="7">
        <f>IF(A153="","",IF(B153&gt;0,1-O153-I153,0))</f>
        <v/>
      </c>
      <c r="Q153" s="6">
        <f>IF(A153="","",B153*P153)</f>
        <v/>
      </c>
      <c r="R153" s="7">
        <f>IF(A153="","",IF(B153&gt;0,P153-J153,0))</f>
        <v/>
      </c>
      <c r="S153" s="6">
        <f>IF(A153="","",B153*R153)</f>
        <v/>
      </c>
      <c r="T153" s="8">
        <f>IF(A153="","",IF(K153&gt;0,S153*K153,""))</f>
        <v/>
      </c>
      <c r="U153" s="8">
        <f>IF(A153="","",IFERROR(B153/Q153,0))</f>
        <v/>
      </c>
      <c r="V153" s="9">
        <f>IF(A153="","",IF(OR(S153&lt;=0,Q153&lt;=0),"Drop",IF(P153&gt;=0.6,"Profit product",IF(P153&gt;=0.5,"Traffic product","Thin - rework"))))</f>
        <v/>
      </c>
    </row>
    <row r="154">
      <c r="B154" s="3" t="n"/>
      <c r="C154" s="3" t="n"/>
      <c r="D154" s="3" t="n"/>
      <c r="E154" s="3" t="n"/>
      <c r="F154" s="4" t="n"/>
      <c r="G154" s="3" t="n"/>
      <c r="H154" s="4" t="n"/>
      <c r="I154" s="4" t="n"/>
      <c r="J154" s="4" t="n"/>
      <c r="K154" s="5" t="n"/>
      <c r="L154" s="6">
        <f>IF(A154="","",B154*F154+G154)</f>
        <v/>
      </c>
      <c r="M154" s="7">
        <f>IF(A154="","",IFERROR((C154+D154+E154)/B154,0))</f>
        <v/>
      </c>
      <c r="N154" s="7">
        <f>IF(A154="","",IFERROR(L154/B154,0)+H154)</f>
        <v/>
      </c>
      <c r="O154" s="7">
        <f>IF(A154="","",M154+N154)</f>
        <v/>
      </c>
      <c r="P154" s="7">
        <f>IF(A154="","",IF(B154&gt;0,1-O154-I154,0))</f>
        <v/>
      </c>
      <c r="Q154" s="6">
        <f>IF(A154="","",B154*P154)</f>
        <v/>
      </c>
      <c r="R154" s="7">
        <f>IF(A154="","",IF(B154&gt;0,P154-J154,0))</f>
        <v/>
      </c>
      <c r="S154" s="6">
        <f>IF(A154="","",B154*R154)</f>
        <v/>
      </c>
      <c r="T154" s="8">
        <f>IF(A154="","",IF(K154&gt;0,S154*K154,""))</f>
        <v/>
      </c>
      <c r="U154" s="8">
        <f>IF(A154="","",IFERROR(B154/Q154,0))</f>
        <v/>
      </c>
      <c r="V154" s="9">
        <f>IF(A154="","",IF(OR(S154&lt;=0,Q154&lt;=0),"Drop",IF(P154&gt;=0.6,"Profit product",IF(P154&gt;=0.5,"Traffic product","Thin - rework"))))</f>
        <v/>
      </c>
    </row>
    <row r="155">
      <c r="B155" s="3" t="n"/>
      <c r="C155" s="3" t="n"/>
      <c r="D155" s="3" t="n"/>
      <c r="E155" s="3" t="n"/>
      <c r="F155" s="4" t="n"/>
      <c r="G155" s="3" t="n"/>
      <c r="H155" s="4" t="n"/>
      <c r="I155" s="4" t="n"/>
      <c r="J155" s="4" t="n"/>
      <c r="K155" s="5" t="n"/>
      <c r="L155" s="6">
        <f>IF(A155="","",B155*F155+G155)</f>
        <v/>
      </c>
      <c r="M155" s="7">
        <f>IF(A155="","",IFERROR((C155+D155+E155)/B155,0))</f>
        <v/>
      </c>
      <c r="N155" s="7">
        <f>IF(A155="","",IFERROR(L155/B155,0)+H155)</f>
        <v/>
      </c>
      <c r="O155" s="7">
        <f>IF(A155="","",M155+N155)</f>
        <v/>
      </c>
      <c r="P155" s="7">
        <f>IF(A155="","",IF(B155&gt;0,1-O155-I155,0))</f>
        <v/>
      </c>
      <c r="Q155" s="6">
        <f>IF(A155="","",B155*P155)</f>
        <v/>
      </c>
      <c r="R155" s="7">
        <f>IF(A155="","",IF(B155&gt;0,P155-J155,0))</f>
        <v/>
      </c>
      <c r="S155" s="6">
        <f>IF(A155="","",B155*R155)</f>
        <v/>
      </c>
      <c r="T155" s="8">
        <f>IF(A155="","",IF(K155&gt;0,S155*K155,""))</f>
        <v/>
      </c>
      <c r="U155" s="8">
        <f>IF(A155="","",IFERROR(B155/Q155,0))</f>
        <v/>
      </c>
      <c r="V155" s="9">
        <f>IF(A155="","",IF(OR(S155&lt;=0,Q155&lt;=0),"Drop",IF(P155&gt;=0.6,"Profit product",IF(P155&gt;=0.5,"Traffic product","Thin - rework"))))</f>
        <v/>
      </c>
    </row>
    <row r="156">
      <c r="B156" s="3" t="n"/>
      <c r="C156" s="3" t="n"/>
      <c r="D156" s="3" t="n"/>
      <c r="E156" s="3" t="n"/>
      <c r="F156" s="4" t="n"/>
      <c r="G156" s="3" t="n"/>
      <c r="H156" s="4" t="n"/>
      <c r="I156" s="4" t="n"/>
      <c r="J156" s="4" t="n"/>
      <c r="K156" s="5" t="n"/>
      <c r="L156" s="6">
        <f>IF(A156="","",B156*F156+G156)</f>
        <v/>
      </c>
      <c r="M156" s="7">
        <f>IF(A156="","",IFERROR((C156+D156+E156)/B156,0))</f>
        <v/>
      </c>
      <c r="N156" s="7">
        <f>IF(A156="","",IFERROR(L156/B156,0)+H156)</f>
        <v/>
      </c>
      <c r="O156" s="7">
        <f>IF(A156="","",M156+N156)</f>
        <v/>
      </c>
      <c r="P156" s="7">
        <f>IF(A156="","",IF(B156&gt;0,1-O156-I156,0))</f>
        <v/>
      </c>
      <c r="Q156" s="6">
        <f>IF(A156="","",B156*P156)</f>
        <v/>
      </c>
      <c r="R156" s="7">
        <f>IF(A156="","",IF(B156&gt;0,P156-J156,0))</f>
        <v/>
      </c>
      <c r="S156" s="6">
        <f>IF(A156="","",B156*R156)</f>
        <v/>
      </c>
      <c r="T156" s="8">
        <f>IF(A156="","",IF(K156&gt;0,S156*K156,""))</f>
        <v/>
      </c>
      <c r="U156" s="8">
        <f>IF(A156="","",IFERROR(B156/Q156,0))</f>
        <v/>
      </c>
      <c r="V156" s="9">
        <f>IF(A156="","",IF(OR(S156&lt;=0,Q156&lt;=0),"Drop",IF(P156&gt;=0.6,"Profit product",IF(P156&gt;=0.5,"Traffic product","Thin - rework"))))</f>
        <v/>
      </c>
    </row>
    <row r="157">
      <c r="B157" s="3" t="n"/>
      <c r="C157" s="3" t="n"/>
      <c r="D157" s="3" t="n"/>
      <c r="E157" s="3" t="n"/>
      <c r="F157" s="4" t="n"/>
      <c r="G157" s="3" t="n"/>
      <c r="H157" s="4" t="n"/>
      <c r="I157" s="4" t="n"/>
      <c r="J157" s="4" t="n"/>
      <c r="K157" s="5" t="n"/>
      <c r="L157" s="6">
        <f>IF(A157="","",B157*F157+G157)</f>
        <v/>
      </c>
      <c r="M157" s="7">
        <f>IF(A157="","",IFERROR((C157+D157+E157)/B157,0))</f>
        <v/>
      </c>
      <c r="N157" s="7">
        <f>IF(A157="","",IFERROR(L157/B157,0)+H157)</f>
        <v/>
      </c>
      <c r="O157" s="7">
        <f>IF(A157="","",M157+N157)</f>
        <v/>
      </c>
      <c r="P157" s="7">
        <f>IF(A157="","",IF(B157&gt;0,1-O157-I157,0))</f>
        <v/>
      </c>
      <c r="Q157" s="6">
        <f>IF(A157="","",B157*P157)</f>
        <v/>
      </c>
      <c r="R157" s="7">
        <f>IF(A157="","",IF(B157&gt;0,P157-J157,0))</f>
        <v/>
      </c>
      <c r="S157" s="6">
        <f>IF(A157="","",B157*R157)</f>
        <v/>
      </c>
      <c r="T157" s="8">
        <f>IF(A157="","",IF(K157&gt;0,S157*K157,""))</f>
        <v/>
      </c>
      <c r="U157" s="8">
        <f>IF(A157="","",IFERROR(B157/Q157,0))</f>
        <v/>
      </c>
      <c r="V157" s="9">
        <f>IF(A157="","",IF(OR(S157&lt;=0,Q157&lt;=0),"Drop",IF(P157&gt;=0.6,"Profit product",IF(P157&gt;=0.5,"Traffic product","Thin - rework"))))</f>
        <v/>
      </c>
    </row>
    <row r="158">
      <c r="B158" s="3" t="n"/>
      <c r="C158" s="3" t="n"/>
      <c r="D158" s="3" t="n"/>
      <c r="E158" s="3" t="n"/>
      <c r="F158" s="4" t="n"/>
      <c r="G158" s="3" t="n"/>
      <c r="H158" s="4" t="n"/>
      <c r="I158" s="4" t="n"/>
      <c r="J158" s="4" t="n"/>
      <c r="K158" s="5" t="n"/>
      <c r="L158" s="6">
        <f>IF(A158="","",B158*F158+G158)</f>
        <v/>
      </c>
      <c r="M158" s="7">
        <f>IF(A158="","",IFERROR((C158+D158+E158)/B158,0))</f>
        <v/>
      </c>
      <c r="N158" s="7">
        <f>IF(A158="","",IFERROR(L158/B158,0)+H158)</f>
        <v/>
      </c>
      <c r="O158" s="7">
        <f>IF(A158="","",M158+N158)</f>
        <v/>
      </c>
      <c r="P158" s="7">
        <f>IF(A158="","",IF(B158&gt;0,1-O158-I158,0))</f>
        <v/>
      </c>
      <c r="Q158" s="6">
        <f>IF(A158="","",B158*P158)</f>
        <v/>
      </c>
      <c r="R158" s="7">
        <f>IF(A158="","",IF(B158&gt;0,P158-J158,0))</f>
        <v/>
      </c>
      <c r="S158" s="6">
        <f>IF(A158="","",B158*R158)</f>
        <v/>
      </c>
      <c r="T158" s="8">
        <f>IF(A158="","",IF(K158&gt;0,S158*K158,""))</f>
        <v/>
      </c>
      <c r="U158" s="8">
        <f>IF(A158="","",IFERROR(B158/Q158,0))</f>
        <v/>
      </c>
      <c r="V158" s="9">
        <f>IF(A158="","",IF(OR(S158&lt;=0,Q158&lt;=0),"Drop",IF(P158&gt;=0.6,"Profit product",IF(P158&gt;=0.5,"Traffic product","Thin - rework"))))</f>
        <v/>
      </c>
    </row>
    <row r="159">
      <c r="B159" s="3" t="n"/>
      <c r="C159" s="3" t="n"/>
      <c r="D159" s="3" t="n"/>
      <c r="E159" s="3" t="n"/>
      <c r="F159" s="4" t="n"/>
      <c r="G159" s="3" t="n"/>
      <c r="H159" s="4" t="n"/>
      <c r="I159" s="4" t="n"/>
      <c r="J159" s="4" t="n"/>
      <c r="K159" s="5" t="n"/>
      <c r="L159" s="6">
        <f>IF(A159="","",B159*F159+G159)</f>
        <v/>
      </c>
      <c r="M159" s="7">
        <f>IF(A159="","",IFERROR((C159+D159+E159)/B159,0))</f>
        <v/>
      </c>
      <c r="N159" s="7">
        <f>IF(A159="","",IFERROR(L159/B159,0)+H159)</f>
        <v/>
      </c>
      <c r="O159" s="7">
        <f>IF(A159="","",M159+N159)</f>
        <v/>
      </c>
      <c r="P159" s="7">
        <f>IF(A159="","",IF(B159&gt;0,1-O159-I159,0))</f>
        <v/>
      </c>
      <c r="Q159" s="6">
        <f>IF(A159="","",B159*P159)</f>
        <v/>
      </c>
      <c r="R159" s="7">
        <f>IF(A159="","",IF(B159&gt;0,P159-J159,0))</f>
        <v/>
      </c>
      <c r="S159" s="6">
        <f>IF(A159="","",B159*R159)</f>
        <v/>
      </c>
      <c r="T159" s="8">
        <f>IF(A159="","",IF(K159&gt;0,S159*K159,""))</f>
        <v/>
      </c>
      <c r="U159" s="8">
        <f>IF(A159="","",IFERROR(B159/Q159,0))</f>
        <v/>
      </c>
      <c r="V159" s="9">
        <f>IF(A159="","",IF(OR(S159&lt;=0,Q159&lt;=0),"Drop",IF(P159&gt;=0.6,"Profit product",IF(P159&gt;=0.5,"Traffic product","Thin - rework"))))</f>
        <v/>
      </c>
    </row>
    <row r="160">
      <c r="B160" s="3" t="n"/>
      <c r="C160" s="3" t="n"/>
      <c r="D160" s="3" t="n"/>
      <c r="E160" s="3" t="n"/>
      <c r="F160" s="4" t="n"/>
      <c r="G160" s="3" t="n"/>
      <c r="H160" s="4" t="n"/>
      <c r="I160" s="4" t="n"/>
      <c r="J160" s="4" t="n"/>
      <c r="K160" s="5" t="n"/>
      <c r="L160" s="6">
        <f>IF(A160="","",B160*F160+G160)</f>
        <v/>
      </c>
      <c r="M160" s="7">
        <f>IF(A160="","",IFERROR((C160+D160+E160)/B160,0))</f>
        <v/>
      </c>
      <c r="N160" s="7">
        <f>IF(A160="","",IFERROR(L160/B160,0)+H160)</f>
        <v/>
      </c>
      <c r="O160" s="7">
        <f>IF(A160="","",M160+N160)</f>
        <v/>
      </c>
      <c r="P160" s="7">
        <f>IF(A160="","",IF(B160&gt;0,1-O160-I160,0))</f>
        <v/>
      </c>
      <c r="Q160" s="6">
        <f>IF(A160="","",B160*P160)</f>
        <v/>
      </c>
      <c r="R160" s="7">
        <f>IF(A160="","",IF(B160&gt;0,P160-J160,0))</f>
        <v/>
      </c>
      <c r="S160" s="6">
        <f>IF(A160="","",B160*R160)</f>
        <v/>
      </c>
      <c r="T160" s="8">
        <f>IF(A160="","",IF(K160&gt;0,S160*K160,""))</f>
        <v/>
      </c>
      <c r="U160" s="8">
        <f>IF(A160="","",IFERROR(B160/Q160,0))</f>
        <v/>
      </c>
      <c r="V160" s="9">
        <f>IF(A160="","",IF(OR(S160&lt;=0,Q160&lt;=0),"Drop",IF(P160&gt;=0.6,"Profit product",IF(P160&gt;=0.5,"Traffic product","Thin - rework"))))</f>
        <v/>
      </c>
    </row>
    <row r="161">
      <c r="B161" s="3" t="n"/>
      <c r="C161" s="3" t="n"/>
      <c r="D161" s="3" t="n"/>
      <c r="E161" s="3" t="n"/>
      <c r="F161" s="4" t="n"/>
      <c r="G161" s="3" t="n"/>
      <c r="H161" s="4" t="n"/>
      <c r="I161" s="4" t="n"/>
      <c r="J161" s="4" t="n"/>
      <c r="K161" s="5" t="n"/>
      <c r="L161" s="6">
        <f>IF(A161="","",B161*F161+G161)</f>
        <v/>
      </c>
      <c r="M161" s="7">
        <f>IF(A161="","",IFERROR((C161+D161+E161)/B161,0))</f>
        <v/>
      </c>
      <c r="N161" s="7">
        <f>IF(A161="","",IFERROR(L161/B161,0)+H161)</f>
        <v/>
      </c>
      <c r="O161" s="7">
        <f>IF(A161="","",M161+N161)</f>
        <v/>
      </c>
      <c r="P161" s="7">
        <f>IF(A161="","",IF(B161&gt;0,1-O161-I161,0))</f>
        <v/>
      </c>
      <c r="Q161" s="6">
        <f>IF(A161="","",B161*P161)</f>
        <v/>
      </c>
      <c r="R161" s="7">
        <f>IF(A161="","",IF(B161&gt;0,P161-J161,0))</f>
        <v/>
      </c>
      <c r="S161" s="6">
        <f>IF(A161="","",B161*R161)</f>
        <v/>
      </c>
      <c r="T161" s="8">
        <f>IF(A161="","",IF(K161&gt;0,S161*K161,""))</f>
        <v/>
      </c>
      <c r="U161" s="8">
        <f>IF(A161="","",IFERROR(B161/Q161,0))</f>
        <v/>
      </c>
      <c r="V161" s="9">
        <f>IF(A161="","",IF(OR(S161&lt;=0,Q161&lt;=0),"Drop",IF(P161&gt;=0.6,"Profit product",IF(P161&gt;=0.5,"Traffic product","Thin - rework"))))</f>
        <v/>
      </c>
    </row>
    <row r="162">
      <c r="B162" s="3" t="n"/>
      <c r="C162" s="3" t="n"/>
      <c r="D162" s="3" t="n"/>
      <c r="E162" s="3" t="n"/>
      <c r="F162" s="4" t="n"/>
      <c r="G162" s="3" t="n"/>
      <c r="H162" s="4" t="n"/>
      <c r="I162" s="4" t="n"/>
      <c r="J162" s="4" t="n"/>
      <c r="K162" s="5" t="n"/>
      <c r="L162" s="6">
        <f>IF(A162="","",B162*F162+G162)</f>
        <v/>
      </c>
      <c r="M162" s="7">
        <f>IF(A162="","",IFERROR((C162+D162+E162)/B162,0))</f>
        <v/>
      </c>
      <c r="N162" s="7">
        <f>IF(A162="","",IFERROR(L162/B162,0)+H162)</f>
        <v/>
      </c>
      <c r="O162" s="7">
        <f>IF(A162="","",M162+N162)</f>
        <v/>
      </c>
      <c r="P162" s="7">
        <f>IF(A162="","",IF(B162&gt;0,1-O162-I162,0))</f>
        <v/>
      </c>
      <c r="Q162" s="6">
        <f>IF(A162="","",B162*P162)</f>
        <v/>
      </c>
      <c r="R162" s="7">
        <f>IF(A162="","",IF(B162&gt;0,P162-J162,0))</f>
        <v/>
      </c>
      <c r="S162" s="6">
        <f>IF(A162="","",B162*R162)</f>
        <v/>
      </c>
      <c r="T162" s="8">
        <f>IF(A162="","",IF(K162&gt;0,S162*K162,""))</f>
        <v/>
      </c>
      <c r="U162" s="8">
        <f>IF(A162="","",IFERROR(B162/Q162,0))</f>
        <v/>
      </c>
      <c r="V162" s="9">
        <f>IF(A162="","",IF(OR(S162&lt;=0,Q162&lt;=0),"Drop",IF(P162&gt;=0.6,"Profit product",IF(P162&gt;=0.5,"Traffic product","Thin - rework"))))</f>
        <v/>
      </c>
    </row>
    <row r="163">
      <c r="B163" s="3" t="n"/>
      <c r="C163" s="3" t="n"/>
      <c r="D163" s="3" t="n"/>
      <c r="E163" s="3" t="n"/>
      <c r="F163" s="4" t="n"/>
      <c r="G163" s="3" t="n"/>
      <c r="H163" s="4" t="n"/>
      <c r="I163" s="4" t="n"/>
      <c r="J163" s="4" t="n"/>
      <c r="K163" s="5" t="n"/>
      <c r="L163" s="6">
        <f>IF(A163="","",B163*F163+G163)</f>
        <v/>
      </c>
      <c r="M163" s="7">
        <f>IF(A163="","",IFERROR((C163+D163+E163)/B163,0))</f>
        <v/>
      </c>
      <c r="N163" s="7">
        <f>IF(A163="","",IFERROR(L163/B163,0)+H163)</f>
        <v/>
      </c>
      <c r="O163" s="7">
        <f>IF(A163="","",M163+N163)</f>
        <v/>
      </c>
      <c r="P163" s="7">
        <f>IF(A163="","",IF(B163&gt;0,1-O163-I163,0))</f>
        <v/>
      </c>
      <c r="Q163" s="6">
        <f>IF(A163="","",B163*P163)</f>
        <v/>
      </c>
      <c r="R163" s="7">
        <f>IF(A163="","",IF(B163&gt;0,P163-J163,0))</f>
        <v/>
      </c>
      <c r="S163" s="6">
        <f>IF(A163="","",B163*R163)</f>
        <v/>
      </c>
      <c r="T163" s="8">
        <f>IF(A163="","",IF(K163&gt;0,S163*K163,""))</f>
        <v/>
      </c>
      <c r="U163" s="8">
        <f>IF(A163="","",IFERROR(B163/Q163,0))</f>
        <v/>
      </c>
      <c r="V163" s="9">
        <f>IF(A163="","",IF(OR(S163&lt;=0,Q163&lt;=0),"Drop",IF(P163&gt;=0.6,"Profit product",IF(P163&gt;=0.5,"Traffic product","Thin - rework"))))</f>
        <v/>
      </c>
    </row>
    <row r="164">
      <c r="B164" s="3" t="n"/>
      <c r="C164" s="3" t="n"/>
      <c r="D164" s="3" t="n"/>
      <c r="E164" s="3" t="n"/>
      <c r="F164" s="4" t="n"/>
      <c r="G164" s="3" t="n"/>
      <c r="H164" s="4" t="n"/>
      <c r="I164" s="4" t="n"/>
      <c r="J164" s="4" t="n"/>
      <c r="K164" s="5" t="n"/>
      <c r="L164" s="6">
        <f>IF(A164="","",B164*F164+G164)</f>
        <v/>
      </c>
      <c r="M164" s="7">
        <f>IF(A164="","",IFERROR((C164+D164+E164)/B164,0))</f>
        <v/>
      </c>
      <c r="N164" s="7">
        <f>IF(A164="","",IFERROR(L164/B164,0)+H164)</f>
        <v/>
      </c>
      <c r="O164" s="7">
        <f>IF(A164="","",M164+N164)</f>
        <v/>
      </c>
      <c r="P164" s="7">
        <f>IF(A164="","",IF(B164&gt;0,1-O164-I164,0))</f>
        <v/>
      </c>
      <c r="Q164" s="6">
        <f>IF(A164="","",B164*P164)</f>
        <v/>
      </c>
      <c r="R164" s="7">
        <f>IF(A164="","",IF(B164&gt;0,P164-J164,0))</f>
        <v/>
      </c>
      <c r="S164" s="6">
        <f>IF(A164="","",B164*R164)</f>
        <v/>
      </c>
      <c r="T164" s="8">
        <f>IF(A164="","",IF(K164&gt;0,S164*K164,""))</f>
        <v/>
      </c>
      <c r="U164" s="8">
        <f>IF(A164="","",IFERROR(B164/Q164,0))</f>
        <v/>
      </c>
      <c r="V164" s="9">
        <f>IF(A164="","",IF(OR(S164&lt;=0,Q164&lt;=0),"Drop",IF(P164&gt;=0.6,"Profit product",IF(P164&gt;=0.5,"Traffic product","Thin - rework"))))</f>
        <v/>
      </c>
    </row>
    <row r="165">
      <c r="B165" s="3" t="n"/>
      <c r="C165" s="3" t="n"/>
      <c r="D165" s="3" t="n"/>
      <c r="E165" s="3" t="n"/>
      <c r="F165" s="4" t="n"/>
      <c r="G165" s="3" t="n"/>
      <c r="H165" s="4" t="n"/>
      <c r="I165" s="4" t="n"/>
      <c r="J165" s="4" t="n"/>
      <c r="K165" s="5" t="n"/>
      <c r="L165" s="6">
        <f>IF(A165="","",B165*F165+G165)</f>
        <v/>
      </c>
      <c r="M165" s="7">
        <f>IF(A165="","",IFERROR((C165+D165+E165)/B165,0))</f>
        <v/>
      </c>
      <c r="N165" s="7">
        <f>IF(A165="","",IFERROR(L165/B165,0)+H165)</f>
        <v/>
      </c>
      <c r="O165" s="7">
        <f>IF(A165="","",M165+N165)</f>
        <v/>
      </c>
      <c r="P165" s="7">
        <f>IF(A165="","",IF(B165&gt;0,1-O165-I165,0))</f>
        <v/>
      </c>
      <c r="Q165" s="6">
        <f>IF(A165="","",B165*P165)</f>
        <v/>
      </c>
      <c r="R165" s="7">
        <f>IF(A165="","",IF(B165&gt;0,P165-J165,0))</f>
        <v/>
      </c>
      <c r="S165" s="6">
        <f>IF(A165="","",B165*R165)</f>
        <v/>
      </c>
      <c r="T165" s="8">
        <f>IF(A165="","",IF(K165&gt;0,S165*K165,""))</f>
        <v/>
      </c>
      <c r="U165" s="8">
        <f>IF(A165="","",IFERROR(B165/Q165,0))</f>
        <v/>
      </c>
      <c r="V165" s="9">
        <f>IF(A165="","",IF(OR(S165&lt;=0,Q165&lt;=0),"Drop",IF(P165&gt;=0.6,"Profit product",IF(P165&gt;=0.5,"Traffic product","Thin - rework"))))</f>
        <v/>
      </c>
    </row>
    <row r="166">
      <c r="B166" s="3" t="n"/>
      <c r="C166" s="3" t="n"/>
      <c r="D166" s="3" t="n"/>
      <c r="E166" s="3" t="n"/>
      <c r="F166" s="4" t="n"/>
      <c r="G166" s="3" t="n"/>
      <c r="H166" s="4" t="n"/>
      <c r="I166" s="4" t="n"/>
      <c r="J166" s="4" t="n"/>
      <c r="K166" s="5" t="n"/>
      <c r="L166" s="6">
        <f>IF(A166="","",B166*F166+G166)</f>
        <v/>
      </c>
      <c r="M166" s="7">
        <f>IF(A166="","",IFERROR((C166+D166+E166)/B166,0))</f>
        <v/>
      </c>
      <c r="N166" s="7">
        <f>IF(A166="","",IFERROR(L166/B166,0)+H166)</f>
        <v/>
      </c>
      <c r="O166" s="7">
        <f>IF(A166="","",M166+N166)</f>
        <v/>
      </c>
      <c r="P166" s="7">
        <f>IF(A166="","",IF(B166&gt;0,1-O166-I166,0))</f>
        <v/>
      </c>
      <c r="Q166" s="6">
        <f>IF(A166="","",B166*P166)</f>
        <v/>
      </c>
      <c r="R166" s="7">
        <f>IF(A166="","",IF(B166&gt;0,P166-J166,0))</f>
        <v/>
      </c>
      <c r="S166" s="6">
        <f>IF(A166="","",B166*R166)</f>
        <v/>
      </c>
      <c r="T166" s="8">
        <f>IF(A166="","",IF(K166&gt;0,S166*K166,""))</f>
        <v/>
      </c>
      <c r="U166" s="8">
        <f>IF(A166="","",IFERROR(B166/Q166,0))</f>
        <v/>
      </c>
      <c r="V166" s="9">
        <f>IF(A166="","",IF(OR(S166&lt;=0,Q166&lt;=0),"Drop",IF(P166&gt;=0.6,"Profit product",IF(P166&gt;=0.5,"Traffic product","Thin - rework"))))</f>
        <v/>
      </c>
    </row>
    <row r="167">
      <c r="B167" s="3" t="n"/>
      <c r="C167" s="3" t="n"/>
      <c r="D167" s="3" t="n"/>
      <c r="E167" s="3" t="n"/>
      <c r="F167" s="4" t="n"/>
      <c r="G167" s="3" t="n"/>
      <c r="H167" s="4" t="n"/>
      <c r="I167" s="4" t="n"/>
      <c r="J167" s="4" t="n"/>
      <c r="K167" s="5" t="n"/>
      <c r="L167" s="6">
        <f>IF(A167="","",B167*F167+G167)</f>
        <v/>
      </c>
      <c r="M167" s="7">
        <f>IF(A167="","",IFERROR((C167+D167+E167)/B167,0))</f>
        <v/>
      </c>
      <c r="N167" s="7">
        <f>IF(A167="","",IFERROR(L167/B167,0)+H167)</f>
        <v/>
      </c>
      <c r="O167" s="7">
        <f>IF(A167="","",M167+N167)</f>
        <v/>
      </c>
      <c r="P167" s="7">
        <f>IF(A167="","",IF(B167&gt;0,1-O167-I167,0))</f>
        <v/>
      </c>
      <c r="Q167" s="6">
        <f>IF(A167="","",B167*P167)</f>
        <v/>
      </c>
      <c r="R167" s="7">
        <f>IF(A167="","",IF(B167&gt;0,P167-J167,0))</f>
        <v/>
      </c>
      <c r="S167" s="6">
        <f>IF(A167="","",B167*R167)</f>
        <v/>
      </c>
      <c r="T167" s="8">
        <f>IF(A167="","",IF(K167&gt;0,S167*K167,""))</f>
        <v/>
      </c>
      <c r="U167" s="8">
        <f>IF(A167="","",IFERROR(B167/Q167,0))</f>
        <v/>
      </c>
      <c r="V167" s="9">
        <f>IF(A167="","",IF(OR(S167&lt;=0,Q167&lt;=0),"Drop",IF(P167&gt;=0.6,"Profit product",IF(P167&gt;=0.5,"Traffic product","Thin - rework"))))</f>
        <v/>
      </c>
    </row>
    <row r="168">
      <c r="B168" s="3" t="n"/>
      <c r="C168" s="3" t="n"/>
      <c r="D168" s="3" t="n"/>
      <c r="E168" s="3" t="n"/>
      <c r="F168" s="4" t="n"/>
      <c r="G168" s="3" t="n"/>
      <c r="H168" s="4" t="n"/>
      <c r="I168" s="4" t="n"/>
      <c r="J168" s="4" t="n"/>
      <c r="K168" s="5" t="n"/>
      <c r="L168" s="6">
        <f>IF(A168="","",B168*F168+G168)</f>
        <v/>
      </c>
      <c r="M168" s="7">
        <f>IF(A168="","",IFERROR((C168+D168+E168)/B168,0))</f>
        <v/>
      </c>
      <c r="N168" s="7">
        <f>IF(A168="","",IFERROR(L168/B168,0)+H168)</f>
        <v/>
      </c>
      <c r="O168" s="7">
        <f>IF(A168="","",M168+N168)</f>
        <v/>
      </c>
      <c r="P168" s="7">
        <f>IF(A168="","",IF(B168&gt;0,1-O168-I168,0))</f>
        <v/>
      </c>
      <c r="Q168" s="6">
        <f>IF(A168="","",B168*P168)</f>
        <v/>
      </c>
      <c r="R168" s="7">
        <f>IF(A168="","",IF(B168&gt;0,P168-J168,0))</f>
        <v/>
      </c>
      <c r="S168" s="6">
        <f>IF(A168="","",B168*R168)</f>
        <v/>
      </c>
      <c r="T168" s="8">
        <f>IF(A168="","",IF(K168&gt;0,S168*K168,""))</f>
        <v/>
      </c>
      <c r="U168" s="8">
        <f>IF(A168="","",IFERROR(B168/Q168,0))</f>
        <v/>
      </c>
      <c r="V168" s="9">
        <f>IF(A168="","",IF(OR(S168&lt;=0,Q168&lt;=0),"Drop",IF(P168&gt;=0.6,"Profit product",IF(P168&gt;=0.5,"Traffic product","Thin - rework"))))</f>
        <v/>
      </c>
    </row>
    <row r="169">
      <c r="B169" s="3" t="n"/>
      <c r="C169" s="3" t="n"/>
      <c r="D169" s="3" t="n"/>
      <c r="E169" s="3" t="n"/>
      <c r="F169" s="4" t="n"/>
      <c r="G169" s="3" t="n"/>
      <c r="H169" s="4" t="n"/>
      <c r="I169" s="4" t="n"/>
      <c r="J169" s="4" t="n"/>
      <c r="K169" s="5" t="n"/>
      <c r="L169" s="6">
        <f>IF(A169="","",B169*F169+G169)</f>
        <v/>
      </c>
      <c r="M169" s="7">
        <f>IF(A169="","",IFERROR((C169+D169+E169)/B169,0))</f>
        <v/>
      </c>
      <c r="N169" s="7">
        <f>IF(A169="","",IFERROR(L169/B169,0)+H169)</f>
        <v/>
      </c>
      <c r="O169" s="7">
        <f>IF(A169="","",M169+N169)</f>
        <v/>
      </c>
      <c r="P169" s="7">
        <f>IF(A169="","",IF(B169&gt;0,1-O169-I169,0))</f>
        <v/>
      </c>
      <c r="Q169" s="6">
        <f>IF(A169="","",B169*P169)</f>
        <v/>
      </c>
      <c r="R169" s="7">
        <f>IF(A169="","",IF(B169&gt;0,P169-J169,0))</f>
        <v/>
      </c>
      <c r="S169" s="6">
        <f>IF(A169="","",B169*R169)</f>
        <v/>
      </c>
      <c r="T169" s="8">
        <f>IF(A169="","",IF(K169&gt;0,S169*K169,""))</f>
        <v/>
      </c>
      <c r="U169" s="8">
        <f>IF(A169="","",IFERROR(B169/Q169,0))</f>
        <v/>
      </c>
      <c r="V169" s="9">
        <f>IF(A169="","",IF(OR(S169&lt;=0,Q169&lt;=0),"Drop",IF(P169&gt;=0.6,"Profit product",IF(P169&gt;=0.5,"Traffic product","Thin - rework"))))</f>
        <v/>
      </c>
    </row>
    <row r="170">
      <c r="B170" s="3" t="n"/>
      <c r="C170" s="3" t="n"/>
      <c r="D170" s="3" t="n"/>
      <c r="E170" s="3" t="n"/>
      <c r="F170" s="4" t="n"/>
      <c r="G170" s="3" t="n"/>
      <c r="H170" s="4" t="n"/>
      <c r="I170" s="4" t="n"/>
      <c r="J170" s="4" t="n"/>
      <c r="K170" s="5" t="n"/>
      <c r="L170" s="6">
        <f>IF(A170="","",B170*F170+G170)</f>
        <v/>
      </c>
      <c r="M170" s="7">
        <f>IF(A170="","",IFERROR((C170+D170+E170)/B170,0))</f>
        <v/>
      </c>
      <c r="N170" s="7">
        <f>IF(A170="","",IFERROR(L170/B170,0)+H170)</f>
        <v/>
      </c>
      <c r="O170" s="7">
        <f>IF(A170="","",M170+N170)</f>
        <v/>
      </c>
      <c r="P170" s="7">
        <f>IF(A170="","",IF(B170&gt;0,1-O170-I170,0))</f>
        <v/>
      </c>
      <c r="Q170" s="6">
        <f>IF(A170="","",B170*P170)</f>
        <v/>
      </c>
      <c r="R170" s="7">
        <f>IF(A170="","",IF(B170&gt;0,P170-J170,0))</f>
        <v/>
      </c>
      <c r="S170" s="6">
        <f>IF(A170="","",B170*R170)</f>
        <v/>
      </c>
      <c r="T170" s="8">
        <f>IF(A170="","",IF(K170&gt;0,S170*K170,""))</f>
        <v/>
      </c>
      <c r="U170" s="8">
        <f>IF(A170="","",IFERROR(B170/Q170,0))</f>
        <v/>
      </c>
      <c r="V170" s="9">
        <f>IF(A170="","",IF(OR(S170&lt;=0,Q170&lt;=0),"Drop",IF(P170&gt;=0.6,"Profit product",IF(P170&gt;=0.5,"Traffic product","Thin - rework"))))</f>
        <v/>
      </c>
    </row>
    <row r="171">
      <c r="B171" s="3" t="n"/>
      <c r="C171" s="3" t="n"/>
      <c r="D171" s="3" t="n"/>
      <c r="E171" s="3" t="n"/>
      <c r="F171" s="4" t="n"/>
      <c r="G171" s="3" t="n"/>
      <c r="H171" s="4" t="n"/>
      <c r="I171" s="4" t="n"/>
      <c r="J171" s="4" t="n"/>
      <c r="K171" s="5" t="n"/>
      <c r="L171" s="6">
        <f>IF(A171="","",B171*F171+G171)</f>
        <v/>
      </c>
      <c r="M171" s="7">
        <f>IF(A171="","",IFERROR((C171+D171+E171)/B171,0))</f>
        <v/>
      </c>
      <c r="N171" s="7">
        <f>IF(A171="","",IFERROR(L171/B171,0)+H171)</f>
        <v/>
      </c>
      <c r="O171" s="7">
        <f>IF(A171="","",M171+N171)</f>
        <v/>
      </c>
      <c r="P171" s="7">
        <f>IF(A171="","",IF(B171&gt;0,1-O171-I171,0))</f>
        <v/>
      </c>
      <c r="Q171" s="6">
        <f>IF(A171="","",B171*P171)</f>
        <v/>
      </c>
      <c r="R171" s="7">
        <f>IF(A171="","",IF(B171&gt;0,P171-J171,0))</f>
        <v/>
      </c>
      <c r="S171" s="6">
        <f>IF(A171="","",B171*R171)</f>
        <v/>
      </c>
      <c r="T171" s="8">
        <f>IF(A171="","",IF(K171&gt;0,S171*K171,""))</f>
        <v/>
      </c>
      <c r="U171" s="8">
        <f>IF(A171="","",IFERROR(B171/Q171,0))</f>
        <v/>
      </c>
      <c r="V171" s="9">
        <f>IF(A171="","",IF(OR(S171&lt;=0,Q171&lt;=0),"Drop",IF(P171&gt;=0.6,"Profit product",IF(P171&gt;=0.5,"Traffic product","Thin - rework"))))</f>
        <v/>
      </c>
    </row>
    <row r="172">
      <c r="B172" s="3" t="n"/>
      <c r="C172" s="3" t="n"/>
      <c r="D172" s="3" t="n"/>
      <c r="E172" s="3" t="n"/>
      <c r="F172" s="4" t="n"/>
      <c r="G172" s="3" t="n"/>
      <c r="H172" s="4" t="n"/>
      <c r="I172" s="4" t="n"/>
      <c r="J172" s="4" t="n"/>
      <c r="K172" s="5" t="n"/>
      <c r="L172" s="6">
        <f>IF(A172="","",B172*F172+G172)</f>
        <v/>
      </c>
      <c r="M172" s="7">
        <f>IF(A172="","",IFERROR((C172+D172+E172)/B172,0))</f>
        <v/>
      </c>
      <c r="N172" s="7">
        <f>IF(A172="","",IFERROR(L172/B172,0)+H172)</f>
        <v/>
      </c>
      <c r="O172" s="7">
        <f>IF(A172="","",M172+N172)</f>
        <v/>
      </c>
      <c r="P172" s="7">
        <f>IF(A172="","",IF(B172&gt;0,1-O172-I172,0))</f>
        <v/>
      </c>
      <c r="Q172" s="6">
        <f>IF(A172="","",B172*P172)</f>
        <v/>
      </c>
      <c r="R172" s="7">
        <f>IF(A172="","",IF(B172&gt;0,P172-J172,0))</f>
        <v/>
      </c>
      <c r="S172" s="6">
        <f>IF(A172="","",B172*R172)</f>
        <v/>
      </c>
      <c r="T172" s="8">
        <f>IF(A172="","",IF(K172&gt;0,S172*K172,""))</f>
        <v/>
      </c>
      <c r="U172" s="8">
        <f>IF(A172="","",IFERROR(B172/Q172,0))</f>
        <v/>
      </c>
      <c r="V172" s="9">
        <f>IF(A172="","",IF(OR(S172&lt;=0,Q172&lt;=0),"Drop",IF(P172&gt;=0.6,"Profit product",IF(P172&gt;=0.5,"Traffic product","Thin - rework"))))</f>
        <v/>
      </c>
    </row>
    <row r="173">
      <c r="B173" s="3" t="n"/>
      <c r="C173" s="3" t="n"/>
      <c r="D173" s="3" t="n"/>
      <c r="E173" s="3" t="n"/>
      <c r="F173" s="4" t="n"/>
      <c r="G173" s="3" t="n"/>
      <c r="H173" s="4" t="n"/>
      <c r="I173" s="4" t="n"/>
      <c r="J173" s="4" t="n"/>
      <c r="K173" s="5" t="n"/>
      <c r="L173" s="6">
        <f>IF(A173="","",B173*F173+G173)</f>
        <v/>
      </c>
      <c r="M173" s="7">
        <f>IF(A173="","",IFERROR((C173+D173+E173)/B173,0))</f>
        <v/>
      </c>
      <c r="N173" s="7">
        <f>IF(A173="","",IFERROR(L173/B173,0)+H173)</f>
        <v/>
      </c>
      <c r="O173" s="7">
        <f>IF(A173="","",M173+N173)</f>
        <v/>
      </c>
      <c r="P173" s="7">
        <f>IF(A173="","",IF(B173&gt;0,1-O173-I173,0))</f>
        <v/>
      </c>
      <c r="Q173" s="6">
        <f>IF(A173="","",B173*P173)</f>
        <v/>
      </c>
      <c r="R173" s="7">
        <f>IF(A173="","",IF(B173&gt;0,P173-J173,0))</f>
        <v/>
      </c>
      <c r="S173" s="6">
        <f>IF(A173="","",B173*R173)</f>
        <v/>
      </c>
      <c r="T173" s="8">
        <f>IF(A173="","",IF(K173&gt;0,S173*K173,""))</f>
        <v/>
      </c>
      <c r="U173" s="8">
        <f>IF(A173="","",IFERROR(B173/Q173,0))</f>
        <v/>
      </c>
      <c r="V173" s="9">
        <f>IF(A173="","",IF(OR(S173&lt;=0,Q173&lt;=0),"Drop",IF(P173&gt;=0.6,"Profit product",IF(P173&gt;=0.5,"Traffic product","Thin - rework"))))</f>
        <v/>
      </c>
    </row>
    <row r="174">
      <c r="B174" s="3" t="n"/>
      <c r="C174" s="3" t="n"/>
      <c r="D174" s="3" t="n"/>
      <c r="E174" s="3" t="n"/>
      <c r="F174" s="4" t="n"/>
      <c r="G174" s="3" t="n"/>
      <c r="H174" s="4" t="n"/>
      <c r="I174" s="4" t="n"/>
      <c r="J174" s="4" t="n"/>
      <c r="K174" s="5" t="n"/>
      <c r="L174" s="6">
        <f>IF(A174="","",B174*F174+G174)</f>
        <v/>
      </c>
      <c r="M174" s="7">
        <f>IF(A174="","",IFERROR((C174+D174+E174)/B174,0))</f>
        <v/>
      </c>
      <c r="N174" s="7">
        <f>IF(A174="","",IFERROR(L174/B174,0)+H174)</f>
        <v/>
      </c>
      <c r="O174" s="7">
        <f>IF(A174="","",M174+N174)</f>
        <v/>
      </c>
      <c r="P174" s="7">
        <f>IF(A174="","",IF(B174&gt;0,1-O174-I174,0))</f>
        <v/>
      </c>
      <c r="Q174" s="6">
        <f>IF(A174="","",B174*P174)</f>
        <v/>
      </c>
      <c r="R174" s="7">
        <f>IF(A174="","",IF(B174&gt;0,P174-J174,0))</f>
        <v/>
      </c>
      <c r="S174" s="6">
        <f>IF(A174="","",B174*R174)</f>
        <v/>
      </c>
      <c r="T174" s="8">
        <f>IF(A174="","",IF(K174&gt;0,S174*K174,""))</f>
        <v/>
      </c>
      <c r="U174" s="8">
        <f>IF(A174="","",IFERROR(B174/Q174,0))</f>
        <v/>
      </c>
      <c r="V174" s="9">
        <f>IF(A174="","",IF(OR(S174&lt;=0,Q174&lt;=0),"Drop",IF(P174&gt;=0.6,"Profit product",IF(P174&gt;=0.5,"Traffic product","Thin - rework"))))</f>
        <v/>
      </c>
    </row>
    <row r="175">
      <c r="B175" s="3" t="n"/>
      <c r="C175" s="3" t="n"/>
      <c r="D175" s="3" t="n"/>
      <c r="E175" s="3" t="n"/>
      <c r="F175" s="4" t="n"/>
      <c r="G175" s="3" t="n"/>
      <c r="H175" s="4" t="n"/>
      <c r="I175" s="4" t="n"/>
      <c r="J175" s="4" t="n"/>
      <c r="K175" s="5" t="n"/>
      <c r="L175" s="6">
        <f>IF(A175="","",B175*F175+G175)</f>
        <v/>
      </c>
      <c r="M175" s="7">
        <f>IF(A175="","",IFERROR((C175+D175+E175)/B175,0))</f>
        <v/>
      </c>
      <c r="N175" s="7">
        <f>IF(A175="","",IFERROR(L175/B175,0)+H175)</f>
        <v/>
      </c>
      <c r="O175" s="7">
        <f>IF(A175="","",M175+N175)</f>
        <v/>
      </c>
      <c r="P175" s="7">
        <f>IF(A175="","",IF(B175&gt;0,1-O175-I175,0))</f>
        <v/>
      </c>
      <c r="Q175" s="6">
        <f>IF(A175="","",B175*P175)</f>
        <v/>
      </c>
      <c r="R175" s="7">
        <f>IF(A175="","",IF(B175&gt;0,P175-J175,0))</f>
        <v/>
      </c>
      <c r="S175" s="6">
        <f>IF(A175="","",B175*R175)</f>
        <v/>
      </c>
      <c r="T175" s="8">
        <f>IF(A175="","",IF(K175&gt;0,S175*K175,""))</f>
        <v/>
      </c>
      <c r="U175" s="8">
        <f>IF(A175="","",IFERROR(B175/Q175,0))</f>
        <v/>
      </c>
      <c r="V175" s="9">
        <f>IF(A175="","",IF(OR(S175&lt;=0,Q175&lt;=0),"Drop",IF(P175&gt;=0.6,"Profit product",IF(P175&gt;=0.5,"Traffic product","Thin - rework"))))</f>
        <v/>
      </c>
    </row>
    <row r="176">
      <c r="B176" s="3" t="n"/>
      <c r="C176" s="3" t="n"/>
      <c r="D176" s="3" t="n"/>
      <c r="E176" s="3" t="n"/>
      <c r="F176" s="4" t="n"/>
      <c r="G176" s="3" t="n"/>
      <c r="H176" s="4" t="n"/>
      <c r="I176" s="4" t="n"/>
      <c r="J176" s="4" t="n"/>
      <c r="K176" s="5" t="n"/>
      <c r="L176" s="6">
        <f>IF(A176="","",B176*F176+G176)</f>
        <v/>
      </c>
      <c r="M176" s="7">
        <f>IF(A176="","",IFERROR((C176+D176+E176)/B176,0))</f>
        <v/>
      </c>
      <c r="N176" s="7">
        <f>IF(A176="","",IFERROR(L176/B176,0)+H176)</f>
        <v/>
      </c>
      <c r="O176" s="7">
        <f>IF(A176="","",M176+N176)</f>
        <v/>
      </c>
      <c r="P176" s="7">
        <f>IF(A176="","",IF(B176&gt;0,1-O176-I176,0))</f>
        <v/>
      </c>
      <c r="Q176" s="6">
        <f>IF(A176="","",B176*P176)</f>
        <v/>
      </c>
      <c r="R176" s="7">
        <f>IF(A176="","",IF(B176&gt;0,P176-J176,0))</f>
        <v/>
      </c>
      <c r="S176" s="6">
        <f>IF(A176="","",B176*R176)</f>
        <v/>
      </c>
      <c r="T176" s="8">
        <f>IF(A176="","",IF(K176&gt;0,S176*K176,""))</f>
        <v/>
      </c>
      <c r="U176" s="8">
        <f>IF(A176="","",IFERROR(B176/Q176,0))</f>
        <v/>
      </c>
      <c r="V176" s="9">
        <f>IF(A176="","",IF(OR(S176&lt;=0,Q176&lt;=0),"Drop",IF(P176&gt;=0.6,"Profit product",IF(P176&gt;=0.5,"Traffic product","Thin - rework"))))</f>
        <v/>
      </c>
    </row>
    <row r="177">
      <c r="B177" s="3" t="n"/>
      <c r="C177" s="3" t="n"/>
      <c r="D177" s="3" t="n"/>
      <c r="E177" s="3" t="n"/>
      <c r="F177" s="4" t="n"/>
      <c r="G177" s="3" t="n"/>
      <c r="H177" s="4" t="n"/>
      <c r="I177" s="4" t="n"/>
      <c r="J177" s="4" t="n"/>
      <c r="K177" s="5" t="n"/>
      <c r="L177" s="6">
        <f>IF(A177="","",B177*F177+G177)</f>
        <v/>
      </c>
      <c r="M177" s="7">
        <f>IF(A177="","",IFERROR((C177+D177+E177)/B177,0))</f>
        <v/>
      </c>
      <c r="N177" s="7">
        <f>IF(A177="","",IFERROR(L177/B177,0)+H177)</f>
        <v/>
      </c>
      <c r="O177" s="7">
        <f>IF(A177="","",M177+N177)</f>
        <v/>
      </c>
      <c r="P177" s="7">
        <f>IF(A177="","",IF(B177&gt;0,1-O177-I177,0))</f>
        <v/>
      </c>
      <c r="Q177" s="6">
        <f>IF(A177="","",B177*P177)</f>
        <v/>
      </c>
      <c r="R177" s="7">
        <f>IF(A177="","",IF(B177&gt;0,P177-J177,0))</f>
        <v/>
      </c>
      <c r="S177" s="6">
        <f>IF(A177="","",B177*R177)</f>
        <v/>
      </c>
      <c r="T177" s="8">
        <f>IF(A177="","",IF(K177&gt;0,S177*K177,""))</f>
        <v/>
      </c>
      <c r="U177" s="8">
        <f>IF(A177="","",IFERROR(B177/Q177,0))</f>
        <v/>
      </c>
      <c r="V177" s="9">
        <f>IF(A177="","",IF(OR(S177&lt;=0,Q177&lt;=0),"Drop",IF(P177&gt;=0.6,"Profit product",IF(P177&gt;=0.5,"Traffic product","Thin - rework"))))</f>
        <v/>
      </c>
    </row>
    <row r="178">
      <c r="B178" s="3" t="n"/>
      <c r="C178" s="3" t="n"/>
      <c r="D178" s="3" t="n"/>
      <c r="E178" s="3" t="n"/>
      <c r="F178" s="4" t="n"/>
      <c r="G178" s="3" t="n"/>
      <c r="H178" s="4" t="n"/>
      <c r="I178" s="4" t="n"/>
      <c r="J178" s="4" t="n"/>
      <c r="K178" s="5" t="n"/>
      <c r="L178" s="6">
        <f>IF(A178="","",B178*F178+G178)</f>
        <v/>
      </c>
      <c r="M178" s="7">
        <f>IF(A178="","",IFERROR((C178+D178+E178)/B178,0))</f>
        <v/>
      </c>
      <c r="N178" s="7">
        <f>IF(A178="","",IFERROR(L178/B178,0)+H178)</f>
        <v/>
      </c>
      <c r="O178" s="7">
        <f>IF(A178="","",M178+N178)</f>
        <v/>
      </c>
      <c r="P178" s="7">
        <f>IF(A178="","",IF(B178&gt;0,1-O178-I178,0))</f>
        <v/>
      </c>
      <c r="Q178" s="6">
        <f>IF(A178="","",B178*P178)</f>
        <v/>
      </c>
      <c r="R178" s="7">
        <f>IF(A178="","",IF(B178&gt;0,P178-J178,0))</f>
        <v/>
      </c>
      <c r="S178" s="6">
        <f>IF(A178="","",B178*R178)</f>
        <v/>
      </c>
      <c r="T178" s="8">
        <f>IF(A178="","",IF(K178&gt;0,S178*K178,""))</f>
        <v/>
      </c>
      <c r="U178" s="8">
        <f>IF(A178="","",IFERROR(B178/Q178,0))</f>
        <v/>
      </c>
      <c r="V178" s="9">
        <f>IF(A178="","",IF(OR(S178&lt;=0,Q178&lt;=0),"Drop",IF(P178&gt;=0.6,"Profit product",IF(P178&gt;=0.5,"Traffic product","Thin - rework"))))</f>
        <v/>
      </c>
    </row>
    <row r="179">
      <c r="B179" s="3" t="n"/>
      <c r="C179" s="3" t="n"/>
      <c r="D179" s="3" t="n"/>
      <c r="E179" s="3" t="n"/>
      <c r="F179" s="4" t="n"/>
      <c r="G179" s="3" t="n"/>
      <c r="H179" s="4" t="n"/>
      <c r="I179" s="4" t="n"/>
      <c r="J179" s="4" t="n"/>
      <c r="K179" s="5" t="n"/>
      <c r="L179" s="6">
        <f>IF(A179="","",B179*F179+G179)</f>
        <v/>
      </c>
      <c r="M179" s="7">
        <f>IF(A179="","",IFERROR((C179+D179+E179)/B179,0))</f>
        <v/>
      </c>
      <c r="N179" s="7">
        <f>IF(A179="","",IFERROR(L179/B179,0)+H179)</f>
        <v/>
      </c>
      <c r="O179" s="7">
        <f>IF(A179="","",M179+N179)</f>
        <v/>
      </c>
      <c r="P179" s="7">
        <f>IF(A179="","",IF(B179&gt;0,1-O179-I179,0))</f>
        <v/>
      </c>
      <c r="Q179" s="6">
        <f>IF(A179="","",B179*P179)</f>
        <v/>
      </c>
      <c r="R179" s="7">
        <f>IF(A179="","",IF(B179&gt;0,P179-J179,0))</f>
        <v/>
      </c>
      <c r="S179" s="6">
        <f>IF(A179="","",B179*R179)</f>
        <v/>
      </c>
      <c r="T179" s="8">
        <f>IF(A179="","",IF(K179&gt;0,S179*K179,""))</f>
        <v/>
      </c>
      <c r="U179" s="8">
        <f>IF(A179="","",IFERROR(B179/Q179,0))</f>
        <v/>
      </c>
      <c r="V179" s="9">
        <f>IF(A179="","",IF(OR(S179&lt;=0,Q179&lt;=0),"Drop",IF(P179&gt;=0.6,"Profit product",IF(P179&gt;=0.5,"Traffic product","Thin - rework"))))</f>
        <v/>
      </c>
    </row>
    <row r="180">
      <c r="B180" s="3" t="n"/>
      <c r="C180" s="3" t="n"/>
      <c r="D180" s="3" t="n"/>
      <c r="E180" s="3" t="n"/>
      <c r="F180" s="4" t="n"/>
      <c r="G180" s="3" t="n"/>
      <c r="H180" s="4" t="n"/>
      <c r="I180" s="4" t="n"/>
      <c r="J180" s="4" t="n"/>
      <c r="K180" s="5" t="n"/>
      <c r="L180" s="6">
        <f>IF(A180="","",B180*F180+G180)</f>
        <v/>
      </c>
      <c r="M180" s="7">
        <f>IF(A180="","",IFERROR((C180+D180+E180)/B180,0))</f>
        <v/>
      </c>
      <c r="N180" s="7">
        <f>IF(A180="","",IFERROR(L180/B180,0)+H180)</f>
        <v/>
      </c>
      <c r="O180" s="7">
        <f>IF(A180="","",M180+N180)</f>
        <v/>
      </c>
      <c r="P180" s="7">
        <f>IF(A180="","",IF(B180&gt;0,1-O180-I180,0))</f>
        <v/>
      </c>
      <c r="Q180" s="6">
        <f>IF(A180="","",B180*P180)</f>
        <v/>
      </c>
      <c r="R180" s="7">
        <f>IF(A180="","",IF(B180&gt;0,P180-J180,0))</f>
        <v/>
      </c>
      <c r="S180" s="6">
        <f>IF(A180="","",B180*R180)</f>
        <v/>
      </c>
      <c r="T180" s="8">
        <f>IF(A180="","",IF(K180&gt;0,S180*K180,""))</f>
        <v/>
      </c>
      <c r="U180" s="8">
        <f>IF(A180="","",IFERROR(B180/Q180,0))</f>
        <v/>
      </c>
      <c r="V180" s="9">
        <f>IF(A180="","",IF(OR(S180&lt;=0,Q180&lt;=0),"Drop",IF(P180&gt;=0.6,"Profit product",IF(P180&gt;=0.5,"Traffic product","Thin - rework"))))</f>
        <v/>
      </c>
    </row>
    <row r="181">
      <c r="B181" s="3" t="n"/>
      <c r="C181" s="3" t="n"/>
      <c r="D181" s="3" t="n"/>
      <c r="E181" s="3" t="n"/>
      <c r="F181" s="4" t="n"/>
      <c r="G181" s="3" t="n"/>
      <c r="H181" s="4" t="n"/>
      <c r="I181" s="4" t="n"/>
      <c r="J181" s="4" t="n"/>
      <c r="K181" s="5" t="n"/>
      <c r="L181" s="6">
        <f>IF(A181="","",B181*F181+G181)</f>
        <v/>
      </c>
      <c r="M181" s="7">
        <f>IF(A181="","",IFERROR((C181+D181+E181)/B181,0))</f>
        <v/>
      </c>
      <c r="N181" s="7">
        <f>IF(A181="","",IFERROR(L181/B181,0)+H181)</f>
        <v/>
      </c>
      <c r="O181" s="7">
        <f>IF(A181="","",M181+N181)</f>
        <v/>
      </c>
      <c r="P181" s="7">
        <f>IF(A181="","",IF(B181&gt;0,1-O181-I181,0))</f>
        <v/>
      </c>
      <c r="Q181" s="6">
        <f>IF(A181="","",B181*P181)</f>
        <v/>
      </c>
      <c r="R181" s="7">
        <f>IF(A181="","",IF(B181&gt;0,P181-J181,0))</f>
        <v/>
      </c>
      <c r="S181" s="6">
        <f>IF(A181="","",B181*R181)</f>
        <v/>
      </c>
      <c r="T181" s="8">
        <f>IF(A181="","",IF(K181&gt;0,S181*K181,""))</f>
        <v/>
      </c>
      <c r="U181" s="8">
        <f>IF(A181="","",IFERROR(B181/Q181,0))</f>
        <v/>
      </c>
      <c r="V181" s="9">
        <f>IF(A181="","",IF(OR(S181&lt;=0,Q181&lt;=0),"Drop",IF(P181&gt;=0.6,"Profit product",IF(P181&gt;=0.5,"Traffic product","Thin - rework"))))</f>
        <v/>
      </c>
    </row>
    <row r="182">
      <c r="B182" s="3" t="n"/>
      <c r="C182" s="3" t="n"/>
      <c r="D182" s="3" t="n"/>
      <c r="E182" s="3" t="n"/>
      <c r="F182" s="4" t="n"/>
      <c r="G182" s="3" t="n"/>
      <c r="H182" s="4" t="n"/>
      <c r="I182" s="4" t="n"/>
      <c r="J182" s="4" t="n"/>
      <c r="K182" s="5" t="n"/>
      <c r="L182" s="6">
        <f>IF(A182="","",B182*F182+G182)</f>
        <v/>
      </c>
      <c r="M182" s="7">
        <f>IF(A182="","",IFERROR((C182+D182+E182)/B182,0))</f>
        <v/>
      </c>
      <c r="N182" s="7">
        <f>IF(A182="","",IFERROR(L182/B182,0)+H182)</f>
        <v/>
      </c>
      <c r="O182" s="7">
        <f>IF(A182="","",M182+N182)</f>
        <v/>
      </c>
      <c r="P182" s="7">
        <f>IF(A182="","",IF(B182&gt;0,1-O182-I182,0))</f>
        <v/>
      </c>
      <c r="Q182" s="6">
        <f>IF(A182="","",B182*P182)</f>
        <v/>
      </c>
      <c r="R182" s="7">
        <f>IF(A182="","",IF(B182&gt;0,P182-J182,0))</f>
        <v/>
      </c>
      <c r="S182" s="6">
        <f>IF(A182="","",B182*R182)</f>
        <v/>
      </c>
      <c r="T182" s="8">
        <f>IF(A182="","",IF(K182&gt;0,S182*K182,""))</f>
        <v/>
      </c>
      <c r="U182" s="8">
        <f>IF(A182="","",IFERROR(B182/Q182,0))</f>
        <v/>
      </c>
      <c r="V182" s="9">
        <f>IF(A182="","",IF(OR(S182&lt;=0,Q182&lt;=0),"Drop",IF(P182&gt;=0.6,"Profit product",IF(P182&gt;=0.5,"Traffic product","Thin - rework"))))</f>
        <v/>
      </c>
    </row>
    <row r="183">
      <c r="B183" s="3" t="n"/>
      <c r="C183" s="3" t="n"/>
      <c r="D183" s="3" t="n"/>
      <c r="E183" s="3" t="n"/>
      <c r="F183" s="4" t="n"/>
      <c r="G183" s="3" t="n"/>
      <c r="H183" s="4" t="n"/>
      <c r="I183" s="4" t="n"/>
      <c r="J183" s="4" t="n"/>
      <c r="K183" s="5" t="n"/>
      <c r="L183" s="6">
        <f>IF(A183="","",B183*F183+G183)</f>
        <v/>
      </c>
      <c r="M183" s="7">
        <f>IF(A183="","",IFERROR((C183+D183+E183)/B183,0))</f>
        <v/>
      </c>
      <c r="N183" s="7">
        <f>IF(A183="","",IFERROR(L183/B183,0)+H183)</f>
        <v/>
      </c>
      <c r="O183" s="7">
        <f>IF(A183="","",M183+N183)</f>
        <v/>
      </c>
      <c r="P183" s="7">
        <f>IF(A183="","",IF(B183&gt;0,1-O183-I183,0))</f>
        <v/>
      </c>
      <c r="Q183" s="6">
        <f>IF(A183="","",B183*P183)</f>
        <v/>
      </c>
      <c r="R183" s="7">
        <f>IF(A183="","",IF(B183&gt;0,P183-J183,0))</f>
        <v/>
      </c>
      <c r="S183" s="6">
        <f>IF(A183="","",B183*R183)</f>
        <v/>
      </c>
      <c r="T183" s="8">
        <f>IF(A183="","",IF(K183&gt;0,S183*K183,""))</f>
        <v/>
      </c>
      <c r="U183" s="8">
        <f>IF(A183="","",IFERROR(B183/Q183,0))</f>
        <v/>
      </c>
      <c r="V183" s="9">
        <f>IF(A183="","",IF(OR(S183&lt;=0,Q183&lt;=0),"Drop",IF(P183&gt;=0.6,"Profit product",IF(P183&gt;=0.5,"Traffic product","Thin - rework"))))</f>
        <v/>
      </c>
    </row>
    <row r="184">
      <c r="B184" s="3" t="n"/>
      <c r="C184" s="3" t="n"/>
      <c r="D184" s="3" t="n"/>
      <c r="E184" s="3" t="n"/>
      <c r="F184" s="4" t="n"/>
      <c r="G184" s="3" t="n"/>
      <c r="H184" s="4" t="n"/>
      <c r="I184" s="4" t="n"/>
      <c r="J184" s="4" t="n"/>
      <c r="K184" s="5" t="n"/>
      <c r="L184" s="6">
        <f>IF(A184="","",B184*F184+G184)</f>
        <v/>
      </c>
      <c r="M184" s="7">
        <f>IF(A184="","",IFERROR((C184+D184+E184)/B184,0))</f>
        <v/>
      </c>
      <c r="N184" s="7">
        <f>IF(A184="","",IFERROR(L184/B184,0)+H184)</f>
        <v/>
      </c>
      <c r="O184" s="7">
        <f>IF(A184="","",M184+N184)</f>
        <v/>
      </c>
      <c r="P184" s="7">
        <f>IF(A184="","",IF(B184&gt;0,1-O184-I184,0))</f>
        <v/>
      </c>
      <c r="Q184" s="6">
        <f>IF(A184="","",B184*P184)</f>
        <v/>
      </c>
      <c r="R184" s="7">
        <f>IF(A184="","",IF(B184&gt;0,P184-J184,0))</f>
        <v/>
      </c>
      <c r="S184" s="6">
        <f>IF(A184="","",B184*R184)</f>
        <v/>
      </c>
      <c r="T184" s="8">
        <f>IF(A184="","",IF(K184&gt;0,S184*K184,""))</f>
        <v/>
      </c>
      <c r="U184" s="8">
        <f>IF(A184="","",IFERROR(B184/Q184,0))</f>
        <v/>
      </c>
      <c r="V184" s="9">
        <f>IF(A184="","",IF(OR(S184&lt;=0,Q184&lt;=0),"Drop",IF(P184&gt;=0.6,"Profit product",IF(P184&gt;=0.5,"Traffic product","Thin - rework"))))</f>
        <v/>
      </c>
    </row>
    <row r="185">
      <c r="B185" s="3" t="n"/>
      <c r="C185" s="3" t="n"/>
      <c r="D185" s="3" t="n"/>
      <c r="E185" s="3" t="n"/>
      <c r="F185" s="4" t="n"/>
      <c r="G185" s="3" t="n"/>
      <c r="H185" s="4" t="n"/>
      <c r="I185" s="4" t="n"/>
      <c r="J185" s="4" t="n"/>
      <c r="K185" s="5" t="n"/>
      <c r="L185" s="6">
        <f>IF(A185="","",B185*F185+G185)</f>
        <v/>
      </c>
      <c r="M185" s="7">
        <f>IF(A185="","",IFERROR((C185+D185+E185)/B185,0))</f>
        <v/>
      </c>
      <c r="N185" s="7">
        <f>IF(A185="","",IFERROR(L185/B185,0)+H185)</f>
        <v/>
      </c>
      <c r="O185" s="7">
        <f>IF(A185="","",M185+N185)</f>
        <v/>
      </c>
      <c r="P185" s="7">
        <f>IF(A185="","",IF(B185&gt;0,1-O185-I185,0))</f>
        <v/>
      </c>
      <c r="Q185" s="6">
        <f>IF(A185="","",B185*P185)</f>
        <v/>
      </c>
      <c r="R185" s="7">
        <f>IF(A185="","",IF(B185&gt;0,P185-J185,0))</f>
        <v/>
      </c>
      <c r="S185" s="6">
        <f>IF(A185="","",B185*R185)</f>
        <v/>
      </c>
      <c r="T185" s="8">
        <f>IF(A185="","",IF(K185&gt;0,S185*K185,""))</f>
        <v/>
      </c>
      <c r="U185" s="8">
        <f>IF(A185="","",IFERROR(B185/Q185,0))</f>
        <v/>
      </c>
      <c r="V185" s="9">
        <f>IF(A185="","",IF(OR(S185&lt;=0,Q185&lt;=0),"Drop",IF(P185&gt;=0.6,"Profit product",IF(P185&gt;=0.5,"Traffic product","Thin - rework"))))</f>
        <v/>
      </c>
    </row>
    <row r="186">
      <c r="B186" s="3" t="n"/>
      <c r="C186" s="3" t="n"/>
      <c r="D186" s="3" t="n"/>
      <c r="E186" s="3" t="n"/>
      <c r="F186" s="4" t="n"/>
      <c r="G186" s="3" t="n"/>
      <c r="H186" s="4" t="n"/>
      <c r="I186" s="4" t="n"/>
      <c r="J186" s="4" t="n"/>
      <c r="K186" s="5" t="n"/>
      <c r="L186" s="6">
        <f>IF(A186="","",B186*F186+G186)</f>
        <v/>
      </c>
      <c r="M186" s="7">
        <f>IF(A186="","",IFERROR((C186+D186+E186)/B186,0))</f>
        <v/>
      </c>
      <c r="N186" s="7">
        <f>IF(A186="","",IFERROR(L186/B186,0)+H186)</f>
        <v/>
      </c>
      <c r="O186" s="7">
        <f>IF(A186="","",M186+N186)</f>
        <v/>
      </c>
      <c r="P186" s="7">
        <f>IF(A186="","",IF(B186&gt;0,1-O186-I186,0))</f>
        <v/>
      </c>
      <c r="Q186" s="6">
        <f>IF(A186="","",B186*P186)</f>
        <v/>
      </c>
      <c r="R186" s="7">
        <f>IF(A186="","",IF(B186&gt;0,P186-J186,0))</f>
        <v/>
      </c>
      <c r="S186" s="6">
        <f>IF(A186="","",B186*R186)</f>
        <v/>
      </c>
      <c r="T186" s="8">
        <f>IF(A186="","",IF(K186&gt;0,S186*K186,""))</f>
        <v/>
      </c>
      <c r="U186" s="8">
        <f>IF(A186="","",IFERROR(B186/Q186,0))</f>
        <v/>
      </c>
      <c r="V186" s="9">
        <f>IF(A186="","",IF(OR(S186&lt;=0,Q186&lt;=0),"Drop",IF(P186&gt;=0.6,"Profit product",IF(P186&gt;=0.5,"Traffic product","Thin - rework"))))</f>
        <v/>
      </c>
    </row>
    <row r="187">
      <c r="B187" s="3" t="n"/>
      <c r="C187" s="3" t="n"/>
      <c r="D187" s="3" t="n"/>
      <c r="E187" s="3" t="n"/>
      <c r="F187" s="4" t="n"/>
      <c r="G187" s="3" t="n"/>
      <c r="H187" s="4" t="n"/>
      <c r="I187" s="4" t="n"/>
      <c r="J187" s="4" t="n"/>
      <c r="K187" s="5" t="n"/>
      <c r="L187" s="6">
        <f>IF(A187="","",B187*F187+G187)</f>
        <v/>
      </c>
      <c r="M187" s="7">
        <f>IF(A187="","",IFERROR((C187+D187+E187)/B187,0))</f>
        <v/>
      </c>
      <c r="N187" s="7">
        <f>IF(A187="","",IFERROR(L187/B187,0)+H187)</f>
        <v/>
      </c>
      <c r="O187" s="7">
        <f>IF(A187="","",M187+N187)</f>
        <v/>
      </c>
      <c r="P187" s="7">
        <f>IF(A187="","",IF(B187&gt;0,1-O187-I187,0))</f>
        <v/>
      </c>
      <c r="Q187" s="6">
        <f>IF(A187="","",B187*P187)</f>
        <v/>
      </c>
      <c r="R187" s="7">
        <f>IF(A187="","",IF(B187&gt;0,P187-J187,0))</f>
        <v/>
      </c>
      <c r="S187" s="6">
        <f>IF(A187="","",B187*R187)</f>
        <v/>
      </c>
      <c r="T187" s="8">
        <f>IF(A187="","",IF(K187&gt;0,S187*K187,""))</f>
        <v/>
      </c>
      <c r="U187" s="8">
        <f>IF(A187="","",IFERROR(B187/Q187,0))</f>
        <v/>
      </c>
      <c r="V187" s="9">
        <f>IF(A187="","",IF(OR(S187&lt;=0,Q187&lt;=0),"Drop",IF(P187&gt;=0.6,"Profit product",IF(P187&gt;=0.5,"Traffic product","Thin - rework"))))</f>
        <v/>
      </c>
    </row>
    <row r="188">
      <c r="B188" s="3" t="n"/>
      <c r="C188" s="3" t="n"/>
      <c r="D188" s="3" t="n"/>
      <c r="E188" s="3" t="n"/>
      <c r="F188" s="4" t="n"/>
      <c r="G188" s="3" t="n"/>
      <c r="H188" s="4" t="n"/>
      <c r="I188" s="4" t="n"/>
      <c r="J188" s="4" t="n"/>
      <c r="K188" s="5" t="n"/>
      <c r="L188" s="6">
        <f>IF(A188="","",B188*F188+G188)</f>
        <v/>
      </c>
      <c r="M188" s="7">
        <f>IF(A188="","",IFERROR((C188+D188+E188)/B188,0))</f>
        <v/>
      </c>
      <c r="N188" s="7">
        <f>IF(A188="","",IFERROR(L188/B188,0)+H188)</f>
        <v/>
      </c>
      <c r="O188" s="7">
        <f>IF(A188="","",M188+N188)</f>
        <v/>
      </c>
      <c r="P188" s="7">
        <f>IF(A188="","",IF(B188&gt;0,1-O188-I188,0))</f>
        <v/>
      </c>
      <c r="Q188" s="6">
        <f>IF(A188="","",B188*P188)</f>
        <v/>
      </c>
      <c r="R188" s="7">
        <f>IF(A188="","",IF(B188&gt;0,P188-J188,0))</f>
        <v/>
      </c>
      <c r="S188" s="6">
        <f>IF(A188="","",B188*R188)</f>
        <v/>
      </c>
      <c r="T188" s="8">
        <f>IF(A188="","",IF(K188&gt;0,S188*K188,""))</f>
        <v/>
      </c>
      <c r="U188" s="8">
        <f>IF(A188="","",IFERROR(B188/Q188,0))</f>
        <v/>
      </c>
      <c r="V188" s="9">
        <f>IF(A188="","",IF(OR(S188&lt;=0,Q188&lt;=0),"Drop",IF(P188&gt;=0.6,"Profit product",IF(P188&gt;=0.5,"Traffic product","Thin - rework"))))</f>
        <v/>
      </c>
    </row>
    <row r="189">
      <c r="B189" s="3" t="n"/>
      <c r="C189" s="3" t="n"/>
      <c r="D189" s="3" t="n"/>
      <c r="E189" s="3" t="n"/>
      <c r="F189" s="4" t="n"/>
      <c r="G189" s="3" t="n"/>
      <c r="H189" s="4" t="n"/>
      <c r="I189" s="4" t="n"/>
      <c r="J189" s="4" t="n"/>
      <c r="K189" s="5" t="n"/>
      <c r="L189" s="6">
        <f>IF(A189="","",B189*F189+G189)</f>
        <v/>
      </c>
      <c r="M189" s="7">
        <f>IF(A189="","",IFERROR((C189+D189+E189)/B189,0))</f>
        <v/>
      </c>
      <c r="N189" s="7">
        <f>IF(A189="","",IFERROR(L189/B189,0)+H189)</f>
        <v/>
      </c>
      <c r="O189" s="7">
        <f>IF(A189="","",M189+N189)</f>
        <v/>
      </c>
      <c r="P189" s="7">
        <f>IF(A189="","",IF(B189&gt;0,1-O189-I189,0))</f>
        <v/>
      </c>
      <c r="Q189" s="6">
        <f>IF(A189="","",B189*P189)</f>
        <v/>
      </c>
      <c r="R189" s="7">
        <f>IF(A189="","",IF(B189&gt;0,P189-J189,0))</f>
        <v/>
      </c>
      <c r="S189" s="6">
        <f>IF(A189="","",B189*R189)</f>
        <v/>
      </c>
      <c r="T189" s="8">
        <f>IF(A189="","",IF(K189&gt;0,S189*K189,""))</f>
        <v/>
      </c>
      <c r="U189" s="8">
        <f>IF(A189="","",IFERROR(B189/Q189,0))</f>
        <v/>
      </c>
      <c r="V189" s="9">
        <f>IF(A189="","",IF(OR(S189&lt;=0,Q189&lt;=0),"Drop",IF(P189&gt;=0.6,"Profit product",IF(P189&gt;=0.5,"Traffic product","Thin - rework"))))</f>
        <v/>
      </c>
    </row>
    <row r="190">
      <c r="B190" s="3" t="n"/>
      <c r="C190" s="3" t="n"/>
      <c r="D190" s="3" t="n"/>
      <c r="E190" s="3" t="n"/>
      <c r="F190" s="4" t="n"/>
      <c r="G190" s="3" t="n"/>
      <c r="H190" s="4" t="n"/>
      <c r="I190" s="4" t="n"/>
      <c r="J190" s="4" t="n"/>
      <c r="K190" s="5" t="n"/>
      <c r="L190" s="6">
        <f>IF(A190="","",B190*F190+G190)</f>
        <v/>
      </c>
      <c r="M190" s="7">
        <f>IF(A190="","",IFERROR((C190+D190+E190)/B190,0))</f>
        <v/>
      </c>
      <c r="N190" s="7">
        <f>IF(A190="","",IFERROR(L190/B190,0)+H190)</f>
        <v/>
      </c>
      <c r="O190" s="7">
        <f>IF(A190="","",M190+N190)</f>
        <v/>
      </c>
      <c r="P190" s="7">
        <f>IF(A190="","",IF(B190&gt;0,1-O190-I190,0))</f>
        <v/>
      </c>
      <c r="Q190" s="6">
        <f>IF(A190="","",B190*P190)</f>
        <v/>
      </c>
      <c r="R190" s="7">
        <f>IF(A190="","",IF(B190&gt;0,P190-J190,0))</f>
        <v/>
      </c>
      <c r="S190" s="6">
        <f>IF(A190="","",B190*R190)</f>
        <v/>
      </c>
      <c r="T190" s="8">
        <f>IF(A190="","",IF(K190&gt;0,S190*K190,""))</f>
        <v/>
      </c>
      <c r="U190" s="8">
        <f>IF(A190="","",IFERROR(B190/Q190,0))</f>
        <v/>
      </c>
      <c r="V190" s="9">
        <f>IF(A190="","",IF(OR(S190&lt;=0,Q190&lt;=0),"Drop",IF(P190&gt;=0.6,"Profit product",IF(P190&gt;=0.5,"Traffic product","Thin - rework"))))</f>
        <v/>
      </c>
    </row>
    <row r="191">
      <c r="B191" s="3" t="n"/>
      <c r="C191" s="3" t="n"/>
      <c r="D191" s="3" t="n"/>
      <c r="E191" s="3" t="n"/>
      <c r="F191" s="4" t="n"/>
      <c r="G191" s="3" t="n"/>
      <c r="H191" s="4" t="n"/>
      <c r="I191" s="4" t="n"/>
      <c r="J191" s="4" t="n"/>
      <c r="K191" s="5" t="n"/>
      <c r="L191" s="6">
        <f>IF(A191="","",B191*F191+G191)</f>
        <v/>
      </c>
      <c r="M191" s="7">
        <f>IF(A191="","",IFERROR((C191+D191+E191)/B191,0))</f>
        <v/>
      </c>
      <c r="N191" s="7">
        <f>IF(A191="","",IFERROR(L191/B191,0)+H191)</f>
        <v/>
      </c>
      <c r="O191" s="7">
        <f>IF(A191="","",M191+N191)</f>
        <v/>
      </c>
      <c r="P191" s="7">
        <f>IF(A191="","",IF(B191&gt;0,1-O191-I191,0))</f>
        <v/>
      </c>
      <c r="Q191" s="6">
        <f>IF(A191="","",B191*P191)</f>
        <v/>
      </c>
      <c r="R191" s="7">
        <f>IF(A191="","",IF(B191&gt;0,P191-J191,0))</f>
        <v/>
      </c>
      <c r="S191" s="6">
        <f>IF(A191="","",B191*R191)</f>
        <v/>
      </c>
      <c r="T191" s="8">
        <f>IF(A191="","",IF(K191&gt;0,S191*K191,""))</f>
        <v/>
      </c>
      <c r="U191" s="8">
        <f>IF(A191="","",IFERROR(B191/Q191,0))</f>
        <v/>
      </c>
      <c r="V191" s="9">
        <f>IF(A191="","",IF(OR(S191&lt;=0,Q191&lt;=0),"Drop",IF(P191&gt;=0.6,"Profit product",IF(P191&gt;=0.5,"Traffic product","Thin - rework"))))</f>
        <v/>
      </c>
    </row>
    <row r="192">
      <c r="B192" s="3" t="n"/>
      <c r="C192" s="3" t="n"/>
      <c r="D192" s="3" t="n"/>
      <c r="E192" s="3" t="n"/>
      <c r="F192" s="4" t="n"/>
      <c r="G192" s="3" t="n"/>
      <c r="H192" s="4" t="n"/>
      <c r="I192" s="4" t="n"/>
      <c r="J192" s="4" t="n"/>
      <c r="K192" s="5" t="n"/>
      <c r="L192" s="6">
        <f>IF(A192="","",B192*F192+G192)</f>
        <v/>
      </c>
      <c r="M192" s="7">
        <f>IF(A192="","",IFERROR((C192+D192+E192)/B192,0))</f>
        <v/>
      </c>
      <c r="N192" s="7">
        <f>IF(A192="","",IFERROR(L192/B192,0)+H192)</f>
        <v/>
      </c>
      <c r="O192" s="7">
        <f>IF(A192="","",M192+N192)</f>
        <v/>
      </c>
      <c r="P192" s="7">
        <f>IF(A192="","",IF(B192&gt;0,1-O192-I192,0))</f>
        <v/>
      </c>
      <c r="Q192" s="6">
        <f>IF(A192="","",B192*P192)</f>
        <v/>
      </c>
      <c r="R192" s="7">
        <f>IF(A192="","",IF(B192&gt;0,P192-J192,0))</f>
        <v/>
      </c>
      <c r="S192" s="6">
        <f>IF(A192="","",B192*R192)</f>
        <v/>
      </c>
      <c r="T192" s="8">
        <f>IF(A192="","",IF(K192&gt;0,S192*K192,""))</f>
        <v/>
      </c>
      <c r="U192" s="8">
        <f>IF(A192="","",IFERROR(B192/Q192,0))</f>
        <v/>
      </c>
      <c r="V192" s="9">
        <f>IF(A192="","",IF(OR(S192&lt;=0,Q192&lt;=0),"Drop",IF(P192&gt;=0.6,"Profit product",IF(P192&gt;=0.5,"Traffic product","Thin - rework"))))</f>
        <v/>
      </c>
    </row>
    <row r="193">
      <c r="B193" s="3" t="n"/>
      <c r="C193" s="3" t="n"/>
      <c r="D193" s="3" t="n"/>
      <c r="E193" s="3" t="n"/>
      <c r="F193" s="4" t="n"/>
      <c r="G193" s="3" t="n"/>
      <c r="H193" s="4" t="n"/>
      <c r="I193" s="4" t="n"/>
      <c r="J193" s="4" t="n"/>
      <c r="K193" s="5" t="n"/>
      <c r="L193" s="6">
        <f>IF(A193="","",B193*F193+G193)</f>
        <v/>
      </c>
      <c r="M193" s="7">
        <f>IF(A193="","",IFERROR((C193+D193+E193)/B193,0))</f>
        <v/>
      </c>
      <c r="N193" s="7">
        <f>IF(A193="","",IFERROR(L193/B193,0)+H193)</f>
        <v/>
      </c>
      <c r="O193" s="7">
        <f>IF(A193="","",M193+N193)</f>
        <v/>
      </c>
      <c r="P193" s="7">
        <f>IF(A193="","",IF(B193&gt;0,1-O193-I193,0))</f>
        <v/>
      </c>
      <c r="Q193" s="6">
        <f>IF(A193="","",B193*P193)</f>
        <v/>
      </c>
      <c r="R193" s="7">
        <f>IF(A193="","",IF(B193&gt;0,P193-J193,0))</f>
        <v/>
      </c>
      <c r="S193" s="6">
        <f>IF(A193="","",B193*R193)</f>
        <v/>
      </c>
      <c r="T193" s="8">
        <f>IF(A193="","",IF(K193&gt;0,S193*K193,""))</f>
        <v/>
      </c>
      <c r="U193" s="8">
        <f>IF(A193="","",IFERROR(B193/Q193,0))</f>
        <v/>
      </c>
      <c r="V193" s="9">
        <f>IF(A193="","",IF(OR(S193&lt;=0,Q193&lt;=0),"Drop",IF(P193&gt;=0.6,"Profit product",IF(P193&gt;=0.5,"Traffic product","Thin - rework"))))</f>
        <v/>
      </c>
    </row>
    <row r="194">
      <c r="B194" s="3" t="n"/>
      <c r="C194" s="3" t="n"/>
      <c r="D194" s="3" t="n"/>
      <c r="E194" s="3" t="n"/>
      <c r="F194" s="4" t="n"/>
      <c r="G194" s="3" t="n"/>
      <c r="H194" s="4" t="n"/>
      <c r="I194" s="4" t="n"/>
      <c r="J194" s="4" t="n"/>
      <c r="K194" s="5" t="n"/>
      <c r="L194" s="6">
        <f>IF(A194="","",B194*F194+G194)</f>
        <v/>
      </c>
      <c r="M194" s="7">
        <f>IF(A194="","",IFERROR((C194+D194+E194)/B194,0))</f>
        <v/>
      </c>
      <c r="N194" s="7">
        <f>IF(A194="","",IFERROR(L194/B194,0)+H194)</f>
        <v/>
      </c>
      <c r="O194" s="7">
        <f>IF(A194="","",M194+N194)</f>
        <v/>
      </c>
      <c r="P194" s="7">
        <f>IF(A194="","",IF(B194&gt;0,1-O194-I194,0))</f>
        <v/>
      </c>
      <c r="Q194" s="6">
        <f>IF(A194="","",B194*P194)</f>
        <v/>
      </c>
      <c r="R194" s="7">
        <f>IF(A194="","",IF(B194&gt;0,P194-J194,0))</f>
        <v/>
      </c>
      <c r="S194" s="6">
        <f>IF(A194="","",B194*R194)</f>
        <v/>
      </c>
      <c r="T194" s="8">
        <f>IF(A194="","",IF(K194&gt;0,S194*K194,""))</f>
        <v/>
      </c>
      <c r="U194" s="8">
        <f>IF(A194="","",IFERROR(B194/Q194,0))</f>
        <v/>
      </c>
      <c r="V194" s="9">
        <f>IF(A194="","",IF(OR(S194&lt;=0,Q194&lt;=0),"Drop",IF(P194&gt;=0.6,"Profit product",IF(P194&gt;=0.5,"Traffic product","Thin - rework"))))</f>
        <v/>
      </c>
    </row>
    <row r="195">
      <c r="B195" s="3" t="n"/>
      <c r="C195" s="3" t="n"/>
      <c r="D195" s="3" t="n"/>
      <c r="E195" s="3" t="n"/>
      <c r="F195" s="4" t="n"/>
      <c r="G195" s="3" t="n"/>
      <c r="H195" s="4" t="n"/>
      <c r="I195" s="4" t="n"/>
      <c r="J195" s="4" t="n"/>
      <c r="K195" s="5" t="n"/>
      <c r="L195" s="6">
        <f>IF(A195="","",B195*F195+G195)</f>
        <v/>
      </c>
      <c r="M195" s="7">
        <f>IF(A195="","",IFERROR((C195+D195+E195)/B195,0))</f>
        <v/>
      </c>
      <c r="N195" s="7">
        <f>IF(A195="","",IFERROR(L195/B195,0)+H195)</f>
        <v/>
      </c>
      <c r="O195" s="7">
        <f>IF(A195="","",M195+N195)</f>
        <v/>
      </c>
      <c r="P195" s="7">
        <f>IF(A195="","",IF(B195&gt;0,1-O195-I195,0))</f>
        <v/>
      </c>
      <c r="Q195" s="6">
        <f>IF(A195="","",B195*P195)</f>
        <v/>
      </c>
      <c r="R195" s="7">
        <f>IF(A195="","",IF(B195&gt;0,P195-J195,0))</f>
        <v/>
      </c>
      <c r="S195" s="6">
        <f>IF(A195="","",B195*R195)</f>
        <v/>
      </c>
      <c r="T195" s="8">
        <f>IF(A195="","",IF(K195&gt;0,S195*K195,""))</f>
        <v/>
      </c>
      <c r="U195" s="8">
        <f>IF(A195="","",IFERROR(B195/Q195,0))</f>
        <v/>
      </c>
      <c r="V195" s="9">
        <f>IF(A195="","",IF(OR(S195&lt;=0,Q195&lt;=0),"Drop",IF(P195&gt;=0.6,"Profit product",IF(P195&gt;=0.5,"Traffic product","Thin - rework"))))</f>
        <v/>
      </c>
    </row>
    <row r="196">
      <c r="B196" s="3" t="n"/>
      <c r="C196" s="3" t="n"/>
      <c r="D196" s="3" t="n"/>
      <c r="E196" s="3" t="n"/>
      <c r="F196" s="4" t="n"/>
      <c r="G196" s="3" t="n"/>
      <c r="H196" s="4" t="n"/>
      <c r="I196" s="4" t="n"/>
      <c r="J196" s="4" t="n"/>
      <c r="K196" s="5" t="n"/>
      <c r="L196" s="6">
        <f>IF(A196="","",B196*F196+G196)</f>
        <v/>
      </c>
      <c r="M196" s="7">
        <f>IF(A196="","",IFERROR((C196+D196+E196)/B196,0))</f>
        <v/>
      </c>
      <c r="N196" s="7">
        <f>IF(A196="","",IFERROR(L196/B196,0)+H196)</f>
        <v/>
      </c>
      <c r="O196" s="7">
        <f>IF(A196="","",M196+N196)</f>
        <v/>
      </c>
      <c r="P196" s="7">
        <f>IF(A196="","",IF(B196&gt;0,1-O196-I196,0))</f>
        <v/>
      </c>
      <c r="Q196" s="6">
        <f>IF(A196="","",B196*P196)</f>
        <v/>
      </c>
      <c r="R196" s="7">
        <f>IF(A196="","",IF(B196&gt;0,P196-J196,0))</f>
        <v/>
      </c>
      <c r="S196" s="6">
        <f>IF(A196="","",B196*R196)</f>
        <v/>
      </c>
      <c r="T196" s="8">
        <f>IF(A196="","",IF(K196&gt;0,S196*K196,""))</f>
        <v/>
      </c>
      <c r="U196" s="8">
        <f>IF(A196="","",IFERROR(B196/Q196,0))</f>
        <v/>
      </c>
      <c r="V196" s="9">
        <f>IF(A196="","",IF(OR(S196&lt;=0,Q196&lt;=0),"Drop",IF(P196&gt;=0.6,"Profit product",IF(P196&gt;=0.5,"Traffic product","Thin - rework"))))</f>
        <v/>
      </c>
    </row>
    <row r="197">
      <c r="B197" s="3" t="n"/>
      <c r="C197" s="3" t="n"/>
      <c r="D197" s="3" t="n"/>
      <c r="E197" s="3" t="n"/>
      <c r="F197" s="4" t="n"/>
      <c r="G197" s="3" t="n"/>
      <c r="H197" s="4" t="n"/>
      <c r="I197" s="4" t="n"/>
      <c r="J197" s="4" t="n"/>
      <c r="K197" s="5" t="n"/>
      <c r="L197" s="6">
        <f>IF(A197="","",B197*F197+G197)</f>
        <v/>
      </c>
      <c r="M197" s="7">
        <f>IF(A197="","",IFERROR((C197+D197+E197)/B197,0))</f>
        <v/>
      </c>
      <c r="N197" s="7">
        <f>IF(A197="","",IFERROR(L197/B197,0)+H197)</f>
        <v/>
      </c>
      <c r="O197" s="7">
        <f>IF(A197="","",M197+N197)</f>
        <v/>
      </c>
      <c r="P197" s="7">
        <f>IF(A197="","",IF(B197&gt;0,1-O197-I197,0))</f>
        <v/>
      </c>
      <c r="Q197" s="6">
        <f>IF(A197="","",B197*P197)</f>
        <v/>
      </c>
      <c r="R197" s="7">
        <f>IF(A197="","",IF(B197&gt;0,P197-J197,0))</f>
        <v/>
      </c>
      <c r="S197" s="6">
        <f>IF(A197="","",B197*R197)</f>
        <v/>
      </c>
      <c r="T197" s="8">
        <f>IF(A197="","",IF(K197&gt;0,S197*K197,""))</f>
        <v/>
      </c>
      <c r="U197" s="8">
        <f>IF(A197="","",IFERROR(B197/Q197,0))</f>
        <v/>
      </c>
      <c r="V197" s="9">
        <f>IF(A197="","",IF(OR(S197&lt;=0,Q197&lt;=0),"Drop",IF(P197&gt;=0.6,"Profit product",IF(P197&gt;=0.5,"Traffic product","Thin - rework"))))</f>
        <v/>
      </c>
    </row>
    <row r="198">
      <c r="B198" s="3" t="n"/>
      <c r="C198" s="3" t="n"/>
      <c r="D198" s="3" t="n"/>
      <c r="E198" s="3" t="n"/>
      <c r="F198" s="4" t="n"/>
      <c r="G198" s="3" t="n"/>
      <c r="H198" s="4" t="n"/>
      <c r="I198" s="4" t="n"/>
      <c r="J198" s="4" t="n"/>
      <c r="K198" s="5" t="n"/>
      <c r="L198" s="6">
        <f>IF(A198="","",B198*F198+G198)</f>
        <v/>
      </c>
      <c r="M198" s="7">
        <f>IF(A198="","",IFERROR((C198+D198+E198)/B198,0))</f>
        <v/>
      </c>
      <c r="N198" s="7">
        <f>IF(A198="","",IFERROR(L198/B198,0)+H198)</f>
        <v/>
      </c>
      <c r="O198" s="7">
        <f>IF(A198="","",M198+N198)</f>
        <v/>
      </c>
      <c r="P198" s="7">
        <f>IF(A198="","",IF(B198&gt;0,1-O198-I198,0))</f>
        <v/>
      </c>
      <c r="Q198" s="6">
        <f>IF(A198="","",B198*P198)</f>
        <v/>
      </c>
      <c r="R198" s="7">
        <f>IF(A198="","",IF(B198&gt;0,P198-J198,0))</f>
        <v/>
      </c>
      <c r="S198" s="6">
        <f>IF(A198="","",B198*R198)</f>
        <v/>
      </c>
      <c r="T198" s="8">
        <f>IF(A198="","",IF(K198&gt;0,S198*K198,""))</f>
        <v/>
      </c>
      <c r="U198" s="8">
        <f>IF(A198="","",IFERROR(B198/Q198,0))</f>
        <v/>
      </c>
      <c r="V198" s="9">
        <f>IF(A198="","",IF(OR(S198&lt;=0,Q198&lt;=0),"Drop",IF(P198&gt;=0.6,"Profit product",IF(P198&gt;=0.5,"Traffic product","Thin - rework"))))</f>
        <v/>
      </c>
    </row>
    <row r="199">
      <c r="B199" s="3" t="n"/>
      <c r="C199" s="3" t="n"/>
      <c r="D199" s="3" t="n"/>
      <c r="E199" s="3" t="n"/>
      <c r="F199" s="4" t="n"/>
      <c r="G199" s="3" t="n"/>
      <c r="H199" s="4" t="n"/>
      <c r="I199" s="4" t="n"/>
      <c r="J199" s="4" t="n"/>
      <c r="K199" s="5" t="n"/>
      <c r="L199" s="6">
        <f>IF(A199="","",B199*F199+G199)</f>
        <v/>
      </c>
      <c r="M199" s="7">
        <f>IF(A199="","",IFERROR((C199+D199+E199)/B199,0))</f>
        <v/>
      </c>
      <c r="N199" s="7">
        <f>IF(A199="","",IFERROR(L199/B199,0)+H199)</f>
        <v/>
      </c>
      <c r="O199" s="7">
        <f>IF(A199="","",M199+N199)</f>
        <v/>
      </c>
      <c r="P199" s="7">
        <f>IF(A199="","",IF(B199&gt;0,1-O199-I199,0))</f>
        <v/>
      </c>
      <c r="Q199" s="6">
        <f>IF(A199="","",B199*P199)</f>
        <v/>
      </c>
      <c r="R199" s="7">
        <f>IF(A199="","",IF(B199&gt;0,P199-J199,0))</f>
        <v/>
      </c>
      <c r="S199" s="6">
        <f>IF(A199="","",B199*R199)</f>
        <v/>
      </c>
      <c r="T199" s="8">
        <f>IF(A199="","",IF(K199&gt;0,S199*K199,""))</f>
        <v/>
      </c>
      <c r="U199" s="8">
        <f>IF(A199="","",IFERROR(B199/Q199,0))</f>
        <v/>
      </c>
      <c r="V199" s="9">
        <f>IF(A199="","",IF(OR(S199&lt;=0,Q199&lt;=0),"Drop",IF(P199&gt;=0.6,"Profit product",IF(P199&gt;=0.5,"Traffic product","Thin - rework"))))</f>
        <v/>
      </c>
    </row>
    <row r="200">
      <c r="B200" s="3" t="n"/>
      <c r="C200" s="3" t="n"/>
      <c r="D200" s="3" t="n"/>
      <c r="E200" s="3" t="n"/>
      <c r="F200" s="4" t="n"/>
      <c r="G200" s="3" t="n"/>
      <c r="H200" s="4" t="n"/>
      <c r="I200" s="4" t="n"/>
      <c r="J200" s="4" t="n"/>
      <c r="K200" s="5" t="n"/>
      <c r="L200" s="6">
        <f>IF(A200="","",B200*F200+G200)</f>
        <v/>
      </c>
      <c r="M200" s="7">
        <f>IF(A200="","",IFERROR((C200+D200+E200)/B200,0))</f>
        <v/>
      </c>
      <c r="N200" s="7">
        <f>IF(A200="","",IFERROR(L200/B200,0)+H200)</f>
        <v/>
      </c>
      <c r="O200" s="7">
        <f>IF(A200="","",M200+N200)</f>
        <v/>
      </c>
      <c r="P200" s="7">
        <f>IF(A200="","",IF(B200&gt;0,1-O200-I200,0))</f>
        <v/>
      </c>
      <c r="Q200" s="6">
        <f>IF(A200="","",B200*P200)</f>
        <v/>
      </c>
      <c r="R200" s="7">
        <f>IF(A200="","",IF(B200&gt;0,P200-J200,0))</f>
        <v/>
      </c>
      <c r="S200" s="6">
        <f>IF(A200="","",B200*R200)</f>
        <v/>
      </c>
      <c r="T200" s="8">
        <f>IF(A200="","",IF(K200&gt;0,S200*K200,""))</f>
        <v/>
      </c>
      <c r="U200" s="8">
        <f>IF(A200="","",IFERROR(B200/Q200,0))</f>
        <v/>
      </c>
      <c r="V200" s="9">
        <f>IF(A200="","",IF(OR(S200&lt;=0,Q200&lt;=0),"Drop",IF(P200&gt;=0.6,"Profit product",IF(P200&gt;=0.5,"Traffic product","Thin - rework"))))</f>
        <v/>
      </c>
    </row>
    <row r="201">
      <c r="B201" s="3" t="n"/>
      <c r="C201" s="3" t="n"/>
      <c r="D201" s="3" t="n"/>
      <c r="E201" s="3" t="n"/>
      <c r="F201" s="4" t="n"/>
      <c r="G201" s="3" t="n"/>
      <c r="H201" s="4" t="n"/>
      <c r="I201" s="4" t="n"/>
      <c r="J201" s="4" t="n"/>
      <c r="K201" s="5" t="n"/>
      <c r="L201" s="6">
        <f>IF(A201="","",B201*F201+G201)</f>
        <v/>
      </c>
      <c r="M201" s="7">
        <f>IF(A201="","",IFERROR((C201+D201+E201)/B201,0))</f>
        <v/>
      </c>
      <c r="N201" s="7">
        <f>IF(A201="","",IFERROR(L201/B201,0)+H201)</f>
        <v/>
      </c>
      <c r="O201" s="7">
        <f>IF(A201="","",M201+N201)</f>
        <v/>
      </c>
      <c r="P201" s="7">
        <f>IF(A201="","",IF(B201&gt;0,1-O201-I201,0))</f>
        <v/>
      </c>
      <c r="Q201" s="6">
        <f>IF(A201="","",B201*P201)</f>
        <v/>
      </c>
      <c r="R201" s="7">
        <f>IF(A201="","",IF(B201&gt;0,P201-J201,0))</f>
        <v/>
      </c>
      <c r="S201" s="6">
        <f>IF(A201="","",B201*R201)</f>
        <v/>
      </c>
      <c r="T201" s="8">
        <f>IF(A201="","",IF(K201&gt;0,S201*K201,""))</f>
        <v/>
      </c>
      <c r="U201" s="8">
        <f>IF(A201="","",IFERROR(B201/Q201,0))</f>
        <v/>
      </c>
      <c r="V201" s="9">
        <f>IF(A201="","",IF(OR(S201&lt;=0,Q201&lt;=0),"Drop",IF(P201&gt;=0.6,"Profit product",IF(P201&gt;=0.5,"Traffic product","Thin - rework"))))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0" t="inlineStr">
        <is>
          <t>aiOS Grok Edition · Unit Economics (price → margin)</t>
        </is>
      </c>
    </row>
    <row r="2">
      <c r="A2" t="inlineStr">
        <is>
          <t>CC's true-total-cost stack (lecture slide, Step 3): profit = price − (unit cost + first/last-mile logistics + warehousing + payout/platform fees + refunds + creator commission/ads). Payout fee = price × % + fixed per order (CC: 6% + $0.30, which is 7.00% of a $29.99 price — the slide's 'platform fixed fee' line). Fixed-cost share = landed share + fee share; gross margin (max commission) = 1 − fixed share − refund reserve; company margin = gross margin − creator+ads allocation (CC: 30%). The sample row reproduces CC's worked example: 31.92% → 38.92% → 56.08% → 26.08% → 54.76 in home currency (FX 7). Classification follows CC's value-gap triage; the 60% profit-product cut-off is an aiOS default (CC only gives ≈50–60% = traffic product).</t>
        </is>
      </c>
    </row>
    <row r="3">
      <c r="A3" t="inlineStr">
        <is>
          <t>Module 01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2026-10-17T05:24:02Z</dcterms:created>
  <dcterms:modified xmlns:dcterms="http://purl.org/dc/terms/" xmlns:xsi="http://www.w3.org/2001/XMLSchema-instance" xsi:type="dcterms:W3CDTF">2026-10-17T05:24:02Z</dcterms:modified>
</cp:coreProperties>
</file>