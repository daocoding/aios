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Economics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11316"/>
      </patternFill>
    </fill>
    <fill>
      <patternFill patternType="solid">
        <fgColor rgb="000F766E"/>
      </patternFill>
    </fill>
    <fill>
      <patternFill patternType="solid">
        <fgColor rgb="00F2F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164" fontId="0" fillId="4" borderId="0" pivotButton="0" quotePrefix="0" xfId="0"/>
    <xf numFmtId="165" fontId="0" fillId="4" borderId="0" pivotButton="0" quotePrefix="0" xfId="0"/>
    <xf numFmtId="2" fontId="0" fillId="4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.71428571428572" customWidth="1" min="1" max="1"/>
    <col width="15.71428571428571" customWidth="1" min="2" max="2"/>
    <col width="15.71428571428571" customWidth="1" min="3" max="3"/>
    <col width="15.71428571428571" customWidth="1" min="4" max="4"/>
    <col width="15.71428571428571" customWidth="1" min="5" max="5"/>
    <col width="15.71428571428571" customWidth="1" min="6" max="6"/>
    <col width="15.71428571428571" customWidth="1" min="7" max="7"/>
    <col width="15.71428571428571" customWidth="1" min="8" max="8"/>
    <col width="15.71428571428571" customWidth="1" min="9" max="9"/>
    <col width="15.71428571428571" customWidth="1" min="10" max="10"/>
    <col width="15.71428571428571" customWidth="1" min="11" max="11"/>
    <col width="15.71428571428571" customWidth="1" min="12" max="12"/>
    <col width="15.71428571428571" customWidth="1" min="13" max="13"/>
    <col width="15.71428571428571" customWidth="1" min="14" max="14"/>
  </cols>
  <sheetData>
    <row r="1" ht="48" customHeight="1">
      <c r="A1" s="1" t="inlineStr">
        <is>
          <t>Offer</t>
        </is>
      </c>
      <c r="B1" s="1" t="inlineStr">
        <is>
          <t>Price ($)</t>
        </is>
      </c>
      <c r="C1" s="1" t="inlineStr">
        <is>
          <t>Production cost ($)</t>
        </is>
      </c>
      <c r="D1" s="1" t="inlineStr">
        <is>
          <t>Logistics in+out ($)</t>
        </is>
      </c>
      <c r="E1" s="1" t="inlineStr">
        <is>
          <t>Platform commission %</t>
        </is>
      </c>
      <c r="F1" s="1" t="inlineStr">
        <is>
          <t>Payment / payout fees %</t>
        </is>
      </c>
      <c r="G1" s="1" t="inlineStr">
        <is>
          <t>Refund rate %</t>
        </is>
      </c>
      <c r="H1" s="1" t="inlineStr">
        <is>
          <t>Marketing reserve % (creators+ads)</t>
        </is>
      </c>
      <c r="I1" s="2" t="inlineStr">
        <is>
          <t>Contribution ($) ƒ</t>
        </is>
      </c>
      <c r="J1" s="2" t="inlineStr">
        <is>
          <t>Gross margin % ƒ</t>
        </is>
      </c>
      <c r="K1" s="2" t="inlineStr">
        <is>
          <t>Operating margin ($) ƒ</t>
        </is>
      </c>
      <c r="L1" s="2" t="inlineStr">
        <is>
          <t>Operating margin % ƒ</t>
        </is>
      </c>
      <c r="M1" s="2" t="inlineStr">
        <is>
          <t>Break-even ad ROAS ƒ</t>
        </is>
      </c>
      <c r="N1" s="2" t="inlineStr">
        <is>
          <t>Verdict ƒ</t>
        </is>
      </c>
    </row>
    <row r="2">
      <c r="A2" t="inlineStr">
        <is>
          <t>Example</t>
        </is>
      </c>
      <c r="B2" s="3" t="n">
        <v>49.99</v>
      </c>
      <c r="C2" s="3" t="n">
        <v>8</v>
      </c>
      <c r="D2" s="3" t="n">
        <v>7</v>
      </c>
      <c r="E2" s="4" t="n">
        <v>0.06</v>
      </c>
      <c r="F2" s="4" t="n">
        <v>0.03</v>
      </c>
      <c r="G2" s="4" t="n">
        <v>0.05</v>
      </c>
      <c r="H2" s="4" t="n">
        <v>0.3</v>
      </c>
      <c r="I2" s="5">
        <f>IF(A2="","",B2-C2-D2-B2*(E2+F2+G2))</f>
        <v/>
      </c>
      <c r="J2" s="6">
        <f>IF(A2="","",IFERROR(I2/B2,0))</f>
        <v/>
      </c>
      <c r="K2" s="5">
        <f>IF(A2="","",I2-B2*H2)</f>
        <v/>
      </c>
      <c r="L2" s="6">
        <f>IF(A2="","",IFERROR(K2/B2,0))</f>
        <v/>
      </c>
      <c r="M2" s="7">
        <f>IF(A2="","",IFERROR(B2/I2,0))</f>
        <v/>
      </c>
      <c r="N2" s="8">
        <f>IF(A2="","",IF(K2&lt;=0,"Drop",IF(J2&gt;=0.6,"Profit product",IF(J2&gt;=0.5,"Traffic product","Thin - rework"))))</f>
        <v/>
      </c>
    </row>
    <row r="3">
      <c r="B3" s="3" t="n"/>
      <c r="C3" s="3" t="n"/>
      <c r="D3" s="3" t="n"/>
      <c r="E3" s="4" t="n"/>
      <c r="F3" s="4" t="n"/>
      <c r="G3" s="4" t="n"/>
      <c r="H3" s="4" t="n"/>
      <c r="I3" s="5">
        <f>IF(A3="","",B3-C3-D3-B3*(E3+F3+G3))</f>
        <v/>
      </c>
      <c r="J3" s="6">
        <f>IF(A3="","",IFERROR(I3/B3,0))</f>
        <v/>
      </c>
      <c r="K3" s="5">
        <f>IF(A3="","",I3-B3*H3)</f>
        <v/>
      </c>
      <c r="L3" s="6">
        <f>IF(A3="","",IFERROR(K3/B3,0))</f>
        <v/>
      </c>
      <c r="M3" s="7">
        <f>IF(A3="","",IFERROR(B3/I3,0))</f>
        <v/>
      </c>
      <c r="N3" s="8">
        <f>IF(A3="","",IF(K3&lt;=0,"Drop",IF(J3&gt;=0.6,"Profit product",IF(J3&gt;=0.5,"Traffic product","Thin - rework"))))</f>
        <v/>
      </c>
    </row>
    <row r="4">
      <c r="B4" s="3" t="n"/>
      <c r="C4" s="3" t="n"/>
      <c r="D4" s="3" t="n"/>
      <c r="E4" s="4" t="n"/>
      <c r="F4" s="4" t="n"/>
      <c r="G4" s="4" t="n"/>
      <c r="H4" s="4" t="n"/>
      <c r="I4" s="5">
        <f>IF(A4="","",B4-C4-D4-B4*(E4+F4+G4))</f>
        <v/>
      </c>
      <c r="J4" s="6">
        <f>IF(A4="","",IFERROR(I4/B4,0))</f>
        <v/>
      </c>
      <c r="K4" s="5">
        <f>IF(A4="","",I4-B4*H4)</f>
        <v/>
      </c>
      <c r="L4" s="6">
        <f>IF(A4="","",IFERROR(K4/B4,0))</f>
        <v/>
      </c>
      <c r="M4" s="7">
        <f>IF(A4="","",IFERROR(B4/I4,0))</f>
        <v/>
      </c>
      <c r="N4" s="8">
        <f>IF(A4="","",IF(K4&lt;=0,"Drop",IF(J4&gt;=0.6,"Profit product",IF(J4&gt;=0.5,"Traffic product","Thin - rework"))))</f>
        <v/>
      </c>
    </row>
    <row r="5">
      <c r="B5" s="3" t="n"/>
      <c r="C5" s="3" t="n"/>
      <c r="D5" s="3" t="n"/>
      <c r="E5" s="4" t="n"/>
      <c r="F5" s="4" t="n"/>
      <c r="G5" s="4" t="n"/>
      <c r="H5" s="4" t="n"/>
      <c r="I5" s="5">
        <f>IF(A5="","",B5-C5-D5-B5*(E5+F5+G5))</f>
        <v/>
      </c>
      <c r="J5" s="6">
        <f>IF(A5="","",IFERROR(I5/B5,0))</f>
        <v/>
      </c>
      <c r="K5" s="5">
        <f>IF(A5="","",I5-B5*H5)</f>
        <v/>
      </c>
      <c r="L5" s="6">
        <f>IF(A5="","",IFERROR(K5/B5,0))</f>
        <v/>
      </c>
      <c r="M5" s="7">
        <f>IF(A5="","",IFERROR(B5/I5,0))</f>
        <v/>
      </c>
      <c r="N5" s="8">
        <f>IF(A5="","",IF(K5&lt;=0,"Drop",IF(J5&gt;=0.6,"Profit product",IF(J5&gt;=0.5,"Traffic product","Thin - rework"))))</f>
        <v/>
      </c>
    </row>
    <row r="6">
      <c r="B6" s="3" t="n"/>
      <c r="C6" s="3" t="n"/>
      <c r="D6" s="3" t="n"/>
      <c r="E6" s="4" t="n"/>
      <c r="F6" s="4" t="n"/>
      <c r="G6" s="4" t="n"/>
      <c r="H6" s="4" t="n"/>
      <c r="I6" s="5">
        <f>IF(A6="","",B6-C6-D6-B6*(E6+F6+G6))</f>
        <v/>
      </c>
      <c r="J6" s="6">
        <f>IF(A6="","",IFERROR(I6/B6,0))</f>
        <v/>
      </c>
      <c r="K6" s="5">
        <f>IF(A6="","",I6-B6*H6)</f>
        <v/>
      </c>
      <c r="L6" s="6">
        <f>IF(A6="","",IFERROR(K6/B6,0))</f>
        <v/>
      </c>
      <c r="M6" s="7">
        <f>IF(A6="","",IFERROR(B6/I6,0))</f>
        <v/>
      </c>
      <c r="N6" s="8">
        <f>IF(A6="","",IF(K6&lt;=0,"Drop",IF(J6&gt;=0.6,"Profit product",IF(J6&gt;=0.5,"Traffic product","Thin - rework"))))</f>
        <v/>
      </c>
    </row>
    <row r="7">
      <c r="B7" s="3" t="n"/>
      <c r="C7" s="3" t="n"/>
      <c r="D7" s="3" t="n"/>
      <c r="E7" s="4" t="n"/>
      <c r="F7" s="4" t="n"/>
      <c r="G7" s="4" t="n"/>
      <c r="H7" s="4" t="n"/>
      <c r="I7" s="5">
        <f>IF(A7="","",B7-C7-D7-B7*(E7+F7+G7))</f>
        <v/>
      </c>
      <c r="J7" s="6">
        <f>IF(A7="","",IFERROR(I7/B7,0))</f>
        <v/>
      </c>
      <c r="K7" s="5">
        <f>IF(A7="","",I7-B7*H7)</f>
        <v/>
      </c>
      <c r="L7" s="6">
        <f>IF(A7="","",IFERROR(K7/B7,0))</f>
        <v/>
      </c>
      <c r="M7" s="7">
        <f>IF(A7="","",IFERROR(B7/I7,0))</f>
        <v/>
      </c>
      <c r="N7" s="8">
        <f>IF(A7="","",IF(K7&lt;=0,"Drop",IF(J7&gt;=0.6,"Profit product",IF(J7&gt;=0.5,"Traffic product","Thin - rework"))))</f>
        <v/>
      </c>
    </row>
    <row r="8">
      <c r="B8" s="3" t="n"/>
      <c r="C8" s="3" t="n"/>
      <c r="D8" s="3" t="n"/>
      <c r="E8" s="4" t="n"/>
      <c r="F8" s="4" t="n"/>
      <c r="G8" s="4" t="n"/>
      <c r="H8" s="4" t="n"/>
      <c r="I8" s="5">
        <f>IF(A8="","",B8-C8-D8-B8*(E8+F8+G8))</f>
        <v/>
      </c>
      <c r="J8" s="6">
        <f>IF(A8="","",IFERROR(I8/B8,0))</f>
        <v/>
      </c>
      <c r="K8" s="5">
        <f>IF(A8="","",I8-B8*H8)</f>
        <v/>
      </c>
      <c r="L8" s="6">
        <f>IF(A8="","",IFERROR(K8/B8,0))</f>
        <v/>
      </c>
      <c r="M8" s="7">
        <f>IF(A8="","",IFERROR(B8/I8,0))</f>
        <v/>
      </c>
      <c r="N8" s="8">
        <f>IF(A8="","",IF(K8&lt;=0,"Drop",IF(J8&gt;=0.6,"Profit product",IF(J8&gt;=0.5,"Traffic product","Thin - rework"))))</f>
        <v/>
      </c>
    </row>
    <row r="9">
      <c r="B9" s="3" t="n"/>
      <c r="C9" s="3" t="n"/>
      <c r="D9" s="3" t="n"/>
      <c r="E9" s="4" t="n"/>
      <c r="F9" s="4" t="n"/>
      <c r="G9" s="4" t="n"/>
      <c r="H9" s="4" t="n"/>
      <c r="I9" s="5">
        <f>IF(A9="","",B9-C9-D9-B9*(E9+F9+G9))</f>
        <v/>
      </c>
      <c r="J9" s="6">
        <f>IF(A9="","",IFERROR(I9/B9,0))</f>
        <v/>
      </c>
      <c r="K9" s="5">
        <f>IF(A9="","",I9-B9*H9)</f>
        <v/>
      </c>
      <c r="L9" s="6">
        <f>IF(A9="","",IFERROR(K9/B9,0))</f>
        <v/>
      </c>
      <c r="M9" s="7">
        <f>IF(A9="","",IFERROR(B9/I9,0))</f>
        <v/>
      </c>
      <c r="N9" s="8">
        <f>IF(A9="","",IF(K9&lt;=0,"Drop",IF(J9&gt;=0.6,"Profit product",IF(J9&gt;=0.5,"Traffic product","Thin - rework"))))</f>
        <v/>
      </c>
    </row>
    <row r="10">
      <c r="B10" s="3" t="n"/>
      <c r="C10" s="3" t="n"/>
      <c r="D10" s="3" t="n"/>
      <c r="E10" s="4" t="n"/>
      <c r="F10" s="4" t="n"/>
      <c r="G10" s="4" t="n"/>
      <c r="H10" s="4" t="n"/>
      <c r="I10" s="5">
        <f>IF(A10="","",B10-C10-D10-B10*(E10+F10+G10))</f>
        <v/>
      </c>
      <c r="J10" s="6">
        <f>IF(A10="","",IFERROR(I10/B10,0))</f>
        <v/>
      </c>
      <c r="K10" s="5">
        <f>IF(A10="","",I10-B10*H10)</f>
        <v/>
      </c>
      <c r="L10" s="6">
        <f>IF(A10="","",IFERROR(K10/B10,0))</f>
        <v/>
      </c>
      <c r="M10" s="7">
        <f>IF(A10="","",IFERROR(B10/I10,0))</f>
        <v/>
      </c>
      <c r="N10" s="8">
        <f>IF(A10="","",IF(K10&lt;=0,"Drop",IF(J10&gt;=0.6,"Profit product",IF(J10&gt;=0.5,"Traffic product","Thin - rework"))))</f>
        <v/>
      </c>
    </row>
    <row r="11">
      <c r="B11" s="3" t="n"/>
      <c r="C11" s="3" t="n"/>
      <c r="D11" s="3" t="n"/>
      <c r="E11" s="4" t="n"/>
      <c r="F11" s="4" t="n"/>
      <c r="G11" s="4" t="n"/>
      <c r="H11" s="4" t="n"/>
      <c r="I11" s="5">
        <f>IF(A11="","",B11-C11-D11-B11*(E11+F11+G11))</f>
        <v/>
      </c>
      <c r="J11" s="6">
        <f>IF(A11="","",IFERROR(I11/B11,0))</f>
        <v/>
      </c>
      <c r="K11" s="5">
        <f>IF(A11="","",I11-B11*H11)</f>
        <v/>
      </c>
      <c r="L11" s="6">
        <f>IF(A11="","",IFERROR(K11/B11,0))</f>
        <v/>
      </c>
      <c r="M11" s="7">
        <f>IF(A11="","",IFERROR(B11/I11,0))</f>
        <v/>
      </c>
      <c r="N11" s="8">
        <f>IF(A11="","",IF(K11&lt;=0,"Drop",IF(J11&gt;=0.6,"Profit product",IF(J11&gt;=0.5,"Traffic product","Thin - rework"))))</f>
        <v/>
      </c>
    </row>
    <row r="12">
      <c r="B12" s="3" t="n"/>
      <c r="C12" s="3" t="n"/>
      <c r="D12" s="3" t="n"/>
      <c r="E12" s="4" t="n"/>
      <c r="F12" s="4" t="n"/>
      <c r="G12" s="4" t="n"/>
      <c r="H12" s="4" t="n"/>
      <c r="I12" s="5">
        <f>IF(A12="","",B12-C12-D12-B12*(E12+F12+G12))</f>
        <v/>
      </c>
      <c r="J12" s="6">
        <f>IF(A12="","",IFERROR(I12/B12,0))</f>
        <v/>
      </c>
      <c r="K12" s="5">
        <f>IF(A12="","",I12-B12*H12)</f>
        <v/>
      </c>
      <c r="L12" s="6">
        <f>IF(A12="","",IFERROR(K12/B12,0))</f>
        <v/>
      </c>
      <c r="M12" s="7">
        <f>IF(A12="","",IFERROR(B12/I12,0))</f>
        <v/>
      </c>
      <c r="N12" s="8">
        <f>IF(A12="","",IF(K12&lt;=0,"Drop",IF(J12&gt;=0.6,"Profit product",IF(J12&gt;=0.5,"Traffic product","Thin - rework"))))</f>
        <v/>
      </c>
    </row>
    <row r="13">
      <c r="B13" s="3" t="n"/>
      <c r="C13" s="3" t="n"/>
      <c r="D13" s="3" t="n"/>
      <c r="E13" s="4" t="n"/>
      <c r="F13" s="4" t="n"/>
      <c r="G13" s="4" t="n"/>
      <c r="H13" s="4" t="n"/>
      <c r="I13" s="5">
        <f>IF(A13="","",B13-C13-D13-B13*(E13+F13+G13))</f>
        <v/>
      </c>
      <c r="J13" s="6">
        <f>IF(A13="","",IFERROR(I13/B13,0))</f>
        <v/>
      </c>
      <c r="K13" s="5">
        <f>IF(A13="","",I13-B13*H13)</f>
        <v/>
      </c>
      <c r="L13" s="6">
        <f>IF(A13="","",IFERROR(K13/B13,0))</f>
        <v/>
      </c>
      <c r="M13" s="7">
        <f>IF(A13="","",IFERROR(B13/I13,0))</f>
        <v/>
      </c>
      <c r="N13" s="8">
        <f>IF(A13="","",IF(K13&lt;=0,"Drop",IF(J13&gt;=0.6,"Profit product",IF(J13&gt;=0.5,"Traffic product","Thin - rework"))))</f>
        <v/>
      </c>
    </row>
    <row r="14">
      <c r="B14" s="3" t="n"/>
      <c r="C14" s="3" t="n"/>
      <c r="D14" s="3" t="n"/>
      <c r="E14" s="4" t="n"/>
      <c r="F14" s="4" t="n"/>
      <c r="G14" s="4" t="n"/>
      <c r="H14" s="4" t="n"/>
      <c r="I14" s="5">
        <f>IF(A14="","",B14-C14-D14-B14*(E14+F14+G14))</f>
        <v/>
      </c>
      <c r="J14" s="6">
        <f>IF(A14="","",IFERROR(I14/B14,0))</f>
        <v/>
      </c>
      <c r="K14" s="5">
        <f>IF(A14="","",I14-B14*H14)</f>
        <v/>
      </c>
      <c r="L14" s="6">
        <f>IF(A14="","",IFERROR(K14/B14,0))</f>
        <v/>
      </c>
      <c r="M14" s="7">
        <f>IF(A14="","",IFERROR(B14/I14,0))</f>
        <v/>
      </c>
      <c r="N14" s="8">
        <f>IF(A14="","",IF(K14&lt;=0,"Drop",IF(J14&gt;=0.6,"Profit product",IF(J14&gt;=0.5,"Traffic product","Thin - rework"))))</f>
        <v/>
      </c>
    </row>
    <row r="15">
      <c r="B15" s="3" t="n"/>
      <c r="C15" s="3" t="n"/>
      <c r="D15" s="3" t="n"/>
      <c r="E15" s="4" t="n"/>
      <c r="F15" s="4" t="n"/>
      <c r="G15" s="4" t="n"/>
      <c r="H15" s="4" t="n"/>
      <c r="I15" s="5">
        <f>IF(A15="","",B15-C15-D15-B15*(E15+F15+G15))</f>
        <v/>
      </c>
      <c r="J15" s="6">
        <f>IF(A15="","",IFERROR(I15/B15,0))</f>
        <v/>
      </c>
      <c r="K15" s="5">
        <f>IF(A15="","",I15-B15*H15)</f>
        <v/>
      </c>
      <c r="L15" s="6">
        <f>IF(A15="","",IFERROR(K15/B15,0))</f>
        <v/>
      </c>
      <c r="M15" s="7">
        <f>IF(A15="","",IFERROR(B15/I15,0))</f>
        <v/>
      </c>
      <c r="N15" s="8">
        <f>IF(A15="","",IF(K15&lt;=0,"Drop",IF(J15&gt;=0.6,"Profit product",IF(J15&gt;=0.5,"Traffic product","Thin - rework"))))</f>
        <v/>
      </c>
    </row>
    <row r="16">
      <c r="B16" s="3" t="n"/>
      <c r="C16" s="3" t="n"/>
      <c r="D16" s="3" t="n"/>
      <c r="E16" s="4" t="n"/>
      <c r="F16" s="4" t="n"/>
      <c r="G16" s="4" t="n"/>
      <c r="H16" s="4" t="n"/>
      <c r="I16" s="5">
        <f>IF(A16="","",B16-C16-D16-B16*(E16+F16+G16))</f>
        <v/>
      </c>
      <c r="J16" s="6">
        <f>IF(A16="","",IFERROR(I16/B16,0))</f>
        <v/>
      </c>
      <c r="K16" s="5">
        <f>IF(A16="","",I16-B16*H16)</f>
        <v/>
      </c>
      <c r="L16" s="6">
        <f>IF(A16="","",IFERROR(K16/B16,0))</f>
        <v/>
      </c>
      <c r="M16" s="7">
        <f>IF(A16="","",IFERROR(B16/I16,0))</f>
        <v/>
      </c>
      <c r="N16" s="8">
        <f>IF(A16="","",IF(K16&lt;=0,"Drop",IF(J16&gt;=0.6,"Profit product",IF(J16&gt;=0.5,"Traffic product","Thin - rework"))))</f>
        <v/>
      </c>
    </row>
    <row r="17">
      <c r="B17" s="3" t="n"/>
      <c r="C17" s="3" t="n"/>
      <c r="D17" s="3" t="n"/>
      <c r="E17" s="4" t="n"/>
      <c r="F17" s="4" t="n"/>
      <c r="G17" s="4" t="n"/>
      <c r="H17" s="4" t="n"/>
      <c r="I17" s="5">
        <f>IF(A17="","",B17-C17-D17-B17*(E17+F17+G17))</f>
        <v/>
      </c>
      <c r="J17" s="6">
        <f>IF(A17="","",IFERROR(I17/B17,0))</f>
        <v/>
      </c>
      <c r="K17" s="5">
        <f>IF(A17="","",I17-B17*H17)</f>
        <v/>
      </c>
      <c r="L17" s="6">
        <f>IF(A17="","",IFERROR(K17/B17,0))</f>
        <v/>
      </c>
      <c r="M17" s="7">
        <f>IF(A17="","",IFERROR(B17/I17,0))</f>
        <v/>
      </c>
      <c r="N17" s="8">
        <f>IF(A17="","",IF(K17&lt;=0,"Drop",IF(J17&gt;=0.6,"Profit product",IF(J17&gt;=0.5,"Traffic product","Thin - rework"))))</f>
        <v/>
      </c>
    </row>
    <row r="18">
      <c r="B18" s="3" t="n"/>
      <c r="C18" s="3" t="n"/>
      <c r="D18" s="3" t="n"/>
      <c r="E18" s="4" t="n"/>
      <c r="F18" s="4" t="n"/>
      <c r="G18" s="4" t="n"/>
      <c r="H18" s="4" t="n"/>
      <c r="I18" s="5">
        <f>IF(A18="","",B18-C18-D18-B18*(E18+F18+G18))</f>
        <v/>
      </c>
      <c r="J18" s="6">
        <f>IF(A18="","",IFERROR(I18/B18,0))</f>
        <v/>
      </c>
      <c r="K18" s="5">
        <f>IF(A18="","",I18-B18*H18)</f>
        <v/>
      </c>
      <c r="L18" s="6">
        <f>IF(A18="","",IFERROR(K18/B18,0))</f>
        <v/>
      </c>
      <c r="M18" s="7">
        <f>IF(A18="","",IFERROR(B18/I18,0))</f>
        <v/>
      </c>
      <c r="N18" s="8">
        <f>IF(A18="","",IF(K18&lt;=0,"Drop",IF(J18&gt;=0.6,"Profit product",IF(J18&gt;=0.5,"Traffic product","Thin - rework"))))</f>
        <v/>
      </c>
    </row>
    <row r="19">
      <c r="B19" s="3" t="n"/>
      <c r="C19" s="3" t="n"/>
      <c r="D19" s="3" t="n"/>
      <c r="E19" s="4" t="n"/>
      <c r="F19" s="4" t="n"/>
      <c r="G19" s="4" t="n"/>
      <c r="H19" s="4" t="n"/>
      <c r="I19" s="5">
        <f>IF(A19="","",B19-C19-D19-B19*(E19+F19+G19))</f>
        <v/>
      </c>
      <c r="J19" s="6">
        <f>IF(A19="","",IFERROR(I19/B19,0))</f>
        <v/>
      </c>
      <c r="K19" s="5">
        <f>IF(A19="","",I19-B19*H19)</f>
        <v/>
      </c>
      <c r="L19" s="6">
        <f>IF(A19="","",IFERROR(K19/B19,0))</f>
        <v/>
      </c>
      <c r="M19" s="7">
        <f>IF(A19="","",IFERROR(B19/I19,0))</f>
        <v/>
      </c>
      <c r="N19" s="8">
        <f>IF(A19="","",IF(K19&lt;=0,"Drop",IF(J19&gt;=0.6,"Profit product",IF(J19&gt;=0.5,"Traffic product","Thin - rework"))))</f>
        <v/>
      </c>
    </row>
    <row r="20">
      <c r="B20" s="3" t="n"/>
      <c r="C20" s="3" t="n"/>
      <c r="D20" s="3" t="n"/>
      <c r="E20" s="4" t="n"/>
      <c r="F20" s="4" t="n"/>
      <c r="G20" s="4" t="n"/>
      <c r="H20" s="4" t="n"/>
      <c r="I20" s="5">
        <f>IF(A20="","",B20-C20-D20-B20*(E20+F20+G20))</f>
        <v/>
      </c>
      <c r="J20" s="6">
        <f>IF(A20="","",IFERROR(I20/B20,0))</f>
        <v/>
      </c>
      <c r="K20" s="5">
        <f>IF(A20="","",I20-B20*H20)</f>
        <v/>
      </c>
      <c r="L20" s="6">
        <f>IF(A20="","",IFERROR(K20/B20,0))</f>
        <v/>
      </c>
      <c r="M20" s="7">
        <f>IF(A20="","",IFERROR(B20/I20,0))</f>
        <v/>
      </c>
      <c r="N20" s="8">
        <f>IF(A20="","",IF(K20&lt;=0,"Drop",IF(J20&gt;=0.6,"Profit product",IF(J20&gt;=0.5,"Traffic product","Thin - rework"))))</f>
        <v/>
      </c>
    </row>
    <row r="21">
      <c r="B21" s="3" t="n"/>
      <c r="C21" s="3" t="n"/>
      <c r="D21" s="3" t="n"/>
      <c r="E21" s="4" t="n"/>
      <c r="F21" s="4" t="n"/>
      <c r="G21" s="4" t="n"/>
      <c r="H21" s="4" t="n"/>
      <c r="I21" s="5">
        <f>IF(A21="","",B21-C21-D21-B21*(E21+F21+G21))</f>
        <v/>
      </c>
      <c r="J21" s="6">
        <f>IF(A21="","",IFERROR(I21/B21,0))</f>
        <v/>
      </c>
      <c r="K21" s="5">
        <f>IF(A21="","",I21-B21*H21)</f>
        <v/>
      </c>
      <c r="L21" s="6">
        <f>IF(A21="","",IFERROR(K21/B21,0))</f>
        <v/>
      </c>
      <c r="M21" s="7">
        <f>IF(A21="","",IFERROR(B21/I21,0))</f>
        <v/>
      </c>
      <c r="N21" s="8">
        <f>IF(A21="","",IF(K21&lt;=0,"Drop",IF(J21&gt;=0.6,"Profit product",IF(J21&gt;=0.5,"Traffic product","Thin - rework"))))</f>
        <v/>
      </c>
    </row>
    <row r="22">
      <c r="B22" s="3" t="n"/>
      <c r="C22" s="3" t="n"/>
      <c r="D22" s="3" t="n"/>
      <c r="E22" s="4" t="n"/>
      <c r="F22" s="4" t="n"/>
      <c r="G22" s="4" t="n"/>
      <c r="H22" s="4" t="n"/>
      <c r="I22" s="5">
        <f>IF(A22="","",B22-C22-D22-B22*(E22+F22+G22))</f>
        <v/>
      </c>
      <c r="J22" s="6">
        <f>IF(A22="","",IFERROR(I22/B22,0))</f>
        <v/>
      </c>
      <c r="K22" s="5">
        <f>IF(A22="","",I22-B22*H22)</f>
        <v/>
      </c>
      <c r="L22" s="6">
        <f>IF(A22="","",IFERROR(K22/B22,0))</f>
        <v/>
      </c>
      <c r="M22" s="7">
        <f>IF(A22="","",IFERROR(B22/I22,0))</f>
        <v/>
      </c>
      <c r="N22" s="8">
        <f>IF(A22="","",IF(K22&lt;=0,"Drop",IF(J22&gt;=0.6,"Profit product",IF(J22&gt;=0.5,"Traffic product","Thin - rework"))))</f>
        <v/>
      </c>
    </row>
    <row r="23">
      <c r="B23" s="3" t="n"/>
      <c r="C23" s="3" t="n"/>
      <c r="D23" s="3" t="n"/>
      <c r="E23" s="4" t="n"/>
      <c r="F23" s="4" t="n"/>
      <c r="G23" s="4" t="n"/>
      <c r="H23" s="4" t="n"/>
      <c r="I23" s="5">
        <f>IF(A23="","",B23-C23-D23-B23*(E23+F23+G23))</f>
        <v/>
      </c>
      <c r="J23" s="6">
        <f>IF(A23="","",IFERROR(I23/B23,0))</f>
        <v/>
      </c>
      <c r="K23" s="5">
        <f>IF(A23="","",I23-B23*H23)</f>
        <v/>
      </c>
      <c r="L23" s="6">
        <f>IF(A23="","",IFERROR(K23/B23,0))</f>
        <v/>
      </c>
      <c r="M23" s="7">
        <f>IF(A23="","",IFERROR(B23/I23,0))</f>
        <v/>
      </c>
      <c r="N23" s="8">
        <f>IF(A23="","",IF(K23&lt;=0,"Drop",IF(J23&gt;=0.6,"Profit product",IF(J23&gt;=0.5,"Traffic product","Thin - rework"))))</f>
        <v/>
      </c>
    </row>
    <row r="24">
      <c r="B24" s="3" t="n"/>
      <c r="C24" s="3" t="n"/>
      <c r="D24" s="3" t="n"/>
      <c r="E24" s="4" t="n"/>
      <c r="F24" s="4" t="n"/>
      <c r="G24" s="4" t="n"/>
      <c r="H24" s="4" t="n"/>
      <c r="I24" s="5">
        <f>IF(A24="","",B24-C24-D24-B24*(E24+F24+G24))</f>
        <v/>
      </c>
      <c r="J24" s="6">
        <f>IF(A24="","",IFERROR(I24/B24,0))</f>
        <v/>
      </c>
      <c r="K24" s="5">
        <f>IF(A24="","",I24-B24*H24)</f>
        <v/>
      </c>
      <c r="L24" s="6">
        <f>IF(A24="","",IFERROR(K24/B24,0))</f>
        <v/>
      </c>
      <c r="M24" s="7">
        <f>IF(A24="","",IFERROR(B24/I24,0))</f>
        <v/>
      </c>
      <c r="N24" s="8">
        <f>IF(A24="","",IF(K24&lt;=0,"Drop",IF(J24&gt;=0.6,"Profit product",IF(J24&gt;=0.5,"Traffic product","Thin - rework"))))</f>
        <v/>
      </c>
    </row>
    <row r="25">
      <c r="B25" s="3" t="n"/>
      <c r="C25" s="3" t="n"/>
      <c r="D25" s="3" t="n"/>
      <c r="E25" s="4" t="n"/>
      <c r="F25" s="4" t="n"/>
      <c r="G25" s="4" t="n"/>
      <c r="H25" s="4" t="n"/>
      <c r="I25" s="5">
        <f>IF(A25="","",B25-C25-D25-B25*(E25+F25+G25))</f>
        <v/>
      </c>
      <c r="J25" s="6">
        <f>IF(A25="","",IFERROR(I25/B25,0))</f>
        <v/>
      </c>
      <c r="K25" s="5">
        <f>IF(A25="","",I25-B25*H25)</f>
        <v/>
      </c>
      <c r="L25" s="6">
        <f>IF(A25="","",IFERROR(K25/B25,0))</f>
        <v/>
      </c>
      <c r="M25" s="7">
        <f>IF(A25="","",IFERROR(B25/I25,0))</f>
        <v/>
      </c>
      <c r="N25" s="8">
        <f>IF(A25="","",IF(K25&lt;=0,"Drop",IF(J25&gt;=0.6,"Profit product",IF(J25&gt;=0.5,"Traffic product","Thin - rework"))))</f>
        <v/>
      </c>
    </row>
    <row r="26">
      <c r="B26" s="3" t="n"/>
      <c r="C26" s="3" t="n"/>
      <c r="D26" s="3" t="n"/>
      <c r="E26" s="4" t="n"/>
      <c r="F26" s="4" t="n"/>
      <c r="G26" s="4" t="n"/>
      <c r="H26" s="4" t="n"/>
      <c r="I26" s="5">
        <f>IF(A26="","",B26-C26-D26-B26*(E26+F26+G26))</f>
        <v/>
      </c>
      <c r="J26" s="6">
        <f>IF(A26="","",IFERROR(I26/B26,0))</f>
        <v/>
      </c>
      <c r="K26" s="5">
        <f>IF(A26="","",I26-B26*H26)</f>
        <v/>
      </c>
      <c r="L26" s="6">
        <f>IF(A26="","",IFERROR(K26/B26,0))</f>
        <v/>
      </c>
      <c r="M26" s="7">
        <f>IF(A26="","",IFERROR(B26/I26,0))</f>
        <v/>
      </c>
      <c r="N26" s="8">
        <f>IF(A26="","",IF(K26&lt;=0,"Drop",IF(J26&gt;=0.6,"Profit product",IF(J26&gt;=0.5,"Traffic product","Thin - rework"))))</f>
        <v/>
      </c>
    </row>
    <row r="27">
      <c r="B27" s="3" t="n"/>
      <c r="C27" s="3" t="n"/>
      <c r="D27" s="3" t="n"/>
      <c r="E27" s="4" t="n"/>
      <c r="F27" s="4" t="n"/>
      <c r="G27" s="4" t="n"/>
      <c r="H27" s="4" t="n"/>
      <c r="I27" s="5">
        <f>IF(A27="","",B27-C27-D27-B27*(E27+F27+G27))</f>
        <v/>
      </c>
      <c r="J27" s="6">
        <f>IF(A27="","",IFERROR(I27/B27,0))</f>
        <v/>
      </c>
      <c r="K27" s="5">
        <f>IF(A27="","",I27-B27*H27)</f>
        <v/>
      </c>
      <c r="L27" s="6">
        <f>IF(A27="","",IFERROR(K27/B27,0))</f>
        <v/>
      </c>
      <c r="M27" s="7">
        <f>IF(A27="","",IFERROR(B27/I27,0))</f>
        <v/>
      </c>
      <c r="N27" s="8">
        <f>IF(A27="","",IF(K27&lt;=0,"Drop",IF(J27&gt;=0.6,"Profit product",IF(J27&gt;=0.5,"Traffic product","Thin - rework"))))</f>
        <v/>
      </c>
    </row>
    <row r="28">
      <c r="B28" s="3" t="n"/>
      <c r="C28" s="3" t="n"/>
      <c r="D28" s="3" t="n"/>
      <c r="E28" s="4" t="n"/>
      <c r="F28" s="4" t="n"/>
      <c r="G28" s="4" t="n"/>
      <c r="H28" s="4" t="n"/>
      <c r="I28" s="5">
        <f>IF(A28="","",B28-C28-D28-B28*(E28+F28+G28))</f>
        <v/>
      </c>
      <c r="J28" s="6">
        <f>IF(A28="","",IFERROR(I28/B28,0))</f>
        <v/>
      </c>
      <c r="K28" s="5">
        <f>IF(A28="","",I28-B28*H28)</f>
        <v/>
      </c>
      <c r="L28" s="6">
        <f>IF(A28="","",IFERROR(K28/B28,0))</f>
        <v/>
      </c>
      <c r="M28" s="7">
        <f>IF(A28="","",IFERROR(B28/I28,0))</f>
        <v/>
      </c>
      <c r="N28" s="8">
        <f>IF(A28="","",IF(K28&lt;=0,"Drop",IF(J28&gt;=0.6,"Profit product",IF(J28&gt;=0.5,"Traffic product","Thin - rework"))))</f>
        <v/>
      </c>
    </row>
    <row r="29">
      <c r="B29" s="3" t="n"/>
      <c r="C29" s="3" t="n"/>
      <c r="D29" s="3" t="n"/>
      <c r="E29" s="4" t="n"/>
      <c r="F29" s="4" t="n"/>
      <c r="G29" s="4" t="n"/>
      <c r="H29" s="4" t="n"/>
      <c r="I29" s="5">
        <f>IF(A29="","",B29-C29-D29-B29*(E29+F29+G29))</f>
        <v/>
      </c>
      <c r="J29" s="6">
        <f>IF(A29="","",IFERROR(I29/B29,0))</f>
        <v/>
      </c>
      <c r="K29" s="5">
        <f>IF(A29="","",I29-B29*H29)</f>
        <v/>
      </c>
      <c r="L29" s="6">
        <f>IF(A29="","",IFERROR(K29/B29,0))</f>
        <v/>
      </c>
      <c r="M29" s="7">
        <f>IF(A29="","",IFERROR(B29/I29,0))</f>
        <v/>
      </c>
      <c r="N29" s="8">
        <f>IF(A29="","",IF(K29&lt;=0,"Drop",IF(J29&gt;=0.6,"Profit product",IF(J29&gt;=0.5,"Traffic product","Thin - rework"))))</f>
        <v/>
      </c>
    </row>
    <row r="30">
      <c r="B30" s="3" t="n"/>
      <c r="C30" s="3" t="n"/>
      <c r="D30" s="3" t="n"/>
      <c r="E30" s="4" t="n"/>
      <c r="F30" s="4" t="n"/>
      <c r="G30" s="4" t="n"/>
      <c r="H30" s="4" t="n"/>
      <c r="I30" s="5">
        <f>IF(A30="","",B30-C30-D30-B30*(E30+F30+G30))</f>
        <v/>
      </c>
      <c r="J30" s="6">
        <f>IF(A30="","",IFERROR(I30/B30,0))</f>
        <v/>
      </c>
      <c r="K30" s="5">
        <f>IF(A30="","",I30-B30*H30)</f>
        <v/>
      </c>
      <c r="L30" s="6">
        <f>IF(A30="","",IFERROR(K30/B30,0))</f>
        <v/>
      </c>
      <c r="M30" s="7">
        <f>IF(A30="","",IFERROR(B30/I30,0))</f>
        <v/>
      </c>
      <c r="N30" s="8">
        <f>IF(A30="","",IF(K30&lt;=0,"Drop",IF(J30&gt;=0.6,"Profit product",IF(J30&gt;=0.5,"Traffic product","Thin - rework"))))</f>
        <v/>
      </c>
    </row>
    <row r="31">
      <c r="B31" s="3" t="n"/>
      <c r="C31" s="3" t="n"/>
      <c r="D31" s="3" t="n"/>
      <c r="E31" s="4" t="n"/>
      <c r="F31" s="4" t="n"/>
      <c r="G31" s="4" t="n"/>
      <c r="H31" s="4" t="n"/>
      <c r="I31" s="5">
        <f>IF(A31="","",B31-C31-D31-B31*(E31+F31+G31))</f>
        <v/>
      </c>
      <c r="J31" s="6">
        <f>IF(A31="","",IFERROR(I31/B31,0))</f>
        <v/>
      </c>
      <c r="K31" s="5">
        <f>IF(A31="","",I31-B31*H31)</f>
        <v/>
      </c>
      <c r="L31" s="6">
        <f>IF(A31="","",IFERROR(K31/B31,0))</f>
        <v/>
      </c>
      <c r="M31" s="7">
        <f>IF(A31="","",IFERROR(B31/I31,0))</f>
        <v/>
      </c>
      <c r="N31" s="8">
        <f>IF(A31="","",IF(K31&lt;=0,"Drop",IF(J31&gt;=0.6,"Profit product",IF(J31&gt;=0.5,"Traffic product","Thin - rework"))))</f>
        <v/>
      </c>
    </row>
    <row r="32">
      <c r="B32" s="3" t="n"/>
      <c r="C32" s="3" t="n"/>
      <c r="D32" s="3" t="n"/>
      <c r="E32" s="4" t="n"/>
      <c r="F32" s="4" t="n"/>
      <c r="G32" s="4" t="n"/>
      <c r="H32" s="4" t="n"/>
      <c r="I32" s="5">
        <f>IF(A32="","",B32-C32-D32-B32*(E32+F32+G32))</f>
        <v/>
      </c>
      <c r="J32" s="6">
        <f>IF(A32="","",IFERROR(I32/B32,0))</f>
        <v/>
      </c>
      <c r="K32" s="5">
        <f>IF(A32="","",I32-B32*H32)</f>
        <v/>
      </c>
      <c r="L32" s="6">
        <f>IF(A32="","",IFERROR(K32/B32,0))</f>
        <v/>
      </c>
      <c r="M32" s="7">
        <f>IF(A32="","",IFERROR(B32/I32,0))</f>
        <v/>
      </c>
      <c r="N32" s="8">
        <f>IF(A32="","",IF(K32&lt;=0,"Drop",IF(J32&gt;=0.6,"Profit product",IF(J32&gt;=0.5,"Traffic product","Thin - rework"))))</f>
        <v/>
      </c>
    </row>
    <row r="33">
      <c r="B33" s="3" t="n"/>
      <c r="C33" s="3" t="n"/>
      <c r="D33" s="3" t="n"/>
      <c r="E33" s="4" t="n"/>
      <c r="F33" s="4" t="n"/>
      <c r="G33" s="4" t="n"/>
      <c r="H33" s="4" t="n"/>
      <c r="I33" s="5">
        <f>IF(A33="","",B33-C33-D33-B33*(E33+F33+G33))</f>
        <v/>
      </c>
      <c r="J33" s="6">
        <f>IF(A33="","",IFERROR(I33/B33,0))</f>
        <v/>
      </c>
      <c r="K33" s="5">
        <f>IF(A33="","",I33-B33*H33)</f>
        <v/>
      </c>
      <c r="L33" s="6">
        <f>IF(A33="","",IFERROR(K33/B33,0))</f>
        <v/>
      </c>
      <c r="M33" s="7">
        <f>IF(A33="","",IFERROR(B33/I33,0))</f>
        <v/>
      </c>
      <c r="N33" s="8">
        <f>IF(A33="","",IF(K33&lt;=0,"Drop",IF(J33&gt;=0.6,"Profit product",IF(J33&gt;=0.5,"Traffic product","Thin - rework"))))</f>
        <v/>
      </c>
    </row>
    <row r="34">
      <c r="B34" s="3" t="n"/>
      <c r="C34" s="3" t="n"/>
      <c r="D34" s="3" t="n"/>
      <c r="E34" s="4" t="n"/>
      <c r="F34" s="4" t="n"/>
      <c r="G34" s="4" t="n"/>
      <c r="H34" s="4" t="n"/>
      <c r="I34" s="5">
        <f>IF(A34="","",B34-C34-D34-B34*(E34+F34+G34))</f>
        <v/>
      </c>
      <c r="J34" s="6">
        <f>IF(A34="","",IFERROR(I34/B34,0))</f>
        <v/>
      </c>
      <c r="K34" s="5">
        <f>IF(A34="","",I34-B34*H34)</f>
        <v/>
      </c>
      <c r="L34" s="6">
        <f>IF(A34="","",IFERROR(K34/B34,0))</f>
        <v/>
      </c>
      <c r="M34" s="7">
        <f>IF(A34="","",IFERROR(B34/I34,0))</f>
        <v/>
      </c>
      <c r="N34" s="8">
        <f>IF(A34="","",IF(K34&lt;=0,"Drop",IF(J34&gt;=0.6,"Profit product",IF(J34&gt;=0.5,"Traffic product","Thin - rework"))))</f>
        <v/>
      </c>
    </row>
    <row r="35">
      <c r="B35" s="3" t="n"/>
      <c r="C35" s="3" t="n"/>
      <c r="D35" s="3" t="n"/>
      <c r="E35" s="4" t="n"/>
      <c r="F35" s="4" t="n"/>
      <c r="G35" s="4" t="n"/>
      <c r="H35" s="4" t="n"/>
      <c r="I35" s="5">
        <f>IF(A35="","",B35-C35-D35-B35*(E35+F35+G35))</f>
        <v/>
      </c>
      <c r="J35" s="6">
        <f>IF(A35="","",IFERROR(I35/B35,0))</f>
        <v/>
      </c>
      <c r="K35" s="5">
        <f>IF(A35="","",I35-B35*H35)</f>
        <v/>
      </c>
      <c r="L35" s="6">
        <f>IF(A35="","",IFERROR(K35/B35,0))</f>
        <v/>
      </c>
      <c r="M35" s="7">
        <f>IF(A35="","",IFERROR(B35/I35,0))</f>
        <v/>
      </c>
      <c r="N35" s="8">
        <f>IF(A35="","",IF(K35&lt;=0,"Drop",IF(J35&gt;=0.6,"Profit product",IF(J35&gt;=0.5,"Traffic product","Thin - rework"))))</f>
        <v/>
      </c>
    </row>
    <row r="36">
      <c r="B36" s="3" t="n"/>
      <c r="C36" s="3" t="n"/>
      <c r="D36" s="3" t="n"/>
      <c r="E36" s="4" t="n"/>
      <c r="F36" s="4" t="n"/>
      <c r="G36" s="4" t="n"/>
      <c r="H36" s="4" t="n"/>
      <c r="I36" s="5">
        <f>IF(A36="","",B36-C36-D36-B36*(E36+F36+G36))</f>
        <v/>
      </c>
      <c r="J36" s="6">
        <f>IF(A36="","",IFERROR(I36/B36,0))</f>
        <v/>
      </c>
      <c r="K36" s="5">
        <f>IF(A36="","",I36-B36*H36)</f>
        <v/>
      </c>
      <c r="L36" s="6">
        <f>IF(A36="","",IFERROR(K36/B36,0))</f>
        <v/>
      </c>
      <c r="M36" s="7">
        <f>IF(A36="","",IFERROR(B36/I36,0))</f>
        <v/>
      </c>
      <c r="N36" s="8">
        <f>IF(A36="","",IF(K36&lt;=0,"Drop",IF(J36&gt;=0.6,"Profit product",IF(J36&gt;=0.5,"Traffic product","Thin - rework"))))</f>
        <v/>
      </c>
    </row>
    <row r="37">
      <c r="B37" s="3" t="n"/>
      <c r="C37" s="3" t="n"/>
      <c r="D37" s="3" t="n"/>
      <c r="E37" s="4" t="n"/>
      <c r="F37" s="4" t="n"/>
      <c r="G37" s="4" t="n"/>
      <c r="H37" s="4" t="n"/>
      <c r="I37" s="5">
        <f>IF(A37="","",B37-C37-D37-B37*(E37+F37+G37))</f>
        <v/>
      </c>
      <c r="J37" s="6">
        <f>IF(A37="","",IFERROR(I37/B37,0))</f>
        <v/>
      </c>
      <c r="K37" s="5">
        <f>IF(A37="","",I37-B37*H37)</f>
        <v/>
      </c>
      <c r="L37" s="6">
        <f>IF(A37="","",IFERROR(K37/B37,0))</f>
        <v/>
      </c>
      <c r="M37" s="7">
        <f>IF(A37="","",IFERROR(B37/I37,0))</f>
        <v/>
      </c>
      <c r="N37" s="8">
        <f>IF(A37="","",IF(K37&lt;=0,"Drop",IF(J37&gt;=0.6,"Profit product",IF(J37&gt;=0.5,"Traffic product","Thin - rework"))))</f>
        <v/>
      </c>
    </row>
    <row r="38">
      <c r="B38" s="3" t="n"/>
      <c r="C38" s="3" t="n"/>
      <c r="D38" s="3" t="n"/>
      <c r="E38" s="4" t="n"/>
      <c r="F38" s="4" t="n"/>
      <c r="G38" s="4" t="n"/>
      <c r="H38" s="4" t="n"/>
      <c r="I38" s="5">
        <f>IF(A38="","",B38-C38-D38-B38*(E38+F38+G38))</f>
        <v/>
      </c>
      <c r="J38" s="6">
        <f>IF(A38="","",IFERROR(I38/B38,0))</f>
        <v/>
      </c>
      <c r="K38" s="5">
        <f>IF(A38="","",I38-B38*H38)</f>
        <v/>
      </c>
      <c r="L38" s="6">
        <f>IF(A38="","",IFERROR(K38/B38,0))</f>
        <v/>
      </c>
      <c r="M38" s="7">
        <f>IF(A38="","",IFERROR(B38/I38,0))</f>
        <v/>
      </c>
      <c r="N38" s="8">
        <f>IF(A38="","",IF(K38&lt;=0,"Drop",IF(J38&gt;=0.6,"Profit product",IF(J38&gt;=0.5,"Traffic product","Thin - rework"))))</f>
        <v/>
      </c>
    </row>
    <row r="39">
      <c r="B39" s="3" t="n"/>
      <c r="C39" s="3" t="n"/>
      <c r="D39" s="3" t="n"/>
      <c r="E39" s="4" t="n"/>
      <c r="F39" s="4" t="n"/>
      <c r="G39" s="4" t="n"/>
      <c r="H39" s="4" t="n"/>
      <c r="I39" s="5">
        <f>IF(A39="","",B39-C39-D39-B39*(E39+F39+G39))</f>
        <v/>
      </c>
      <c r="J39" s="6">
        <f>IF(A39="","",IFERROR(I39/B39,0))</f>
        <v/>
      </c>
      <c r="K39" s="5">
        <f>IF(A39="","",I39-B39*H39)</f>
        <v/>
      </c>
      <c r="L39" s="6">
        <f>IF(A39="","",IFERROR(K39/B39,0))</f>
        <v/>
      </c>
      <c r="M39" s="7">
        <f>IF(A39="","",IFERROR(B39/I39,0))</f>
        <v/>
      </c>
      <c r="N39" s="8">
        <f>IF(A39="","",IF(K39&lt;=0,"Drop",IF(J39&gt;=0.6,"Profit product",IF(J39&gt;=0.5,"Traffic product","Thin - rework"))))</f>
        <v/>
      </c>
    </row>
    <row r="40">
      <c r="B40" s="3" t="n"/>
      <c r="C40" s="3" t="n"/>
      <c r="D40" s="3" t="n"/>
      <c r="E40" s="4" t="n"/>
      <c r="F40" s="4" t="n"/>
      <c r="G40" s="4" t="n"/>
      <c r="H40" s="4" t="n"/>
      <c r="I40" s="5">
        <f>IF(A40="","",B40-C40-D40-B40*(E40+F40+G40))</f>
        <v/>
      </c>
      <c r="J40" s="6">
        <f>IF(A40="","",IFERROR(I40/B40,0))</f>
        <v/>
      </c>
      <c r="K40" s="5">
        <f>IF(A40="","",I40-B40*H40)</f>
        <v/>
      </c>
      <c r="L40" s="6">
        <f>IF(A40="","",IFERROR(K40/B40,0))</f>
        <v/>
      </c>
      <c r="M40" s="7">
        <f>IF(A40="","",IFERROR(B40/I40,0))</f>
        <v/>
      </c>
      <c r="N40" s="8">
        <f>IF(A40="","",IF(K40&lt;=0,"Drop",IF(J40&gt;=0.6,"Profit product",IF(J40&gt;=0.5,"Traffic product","Thin - rework"))))</f>
        <v/>
      </c>
    </row>
    <row r="41">
      <c r="B41" s="3" t="n"/>
      <c r="C41" s="3" t="n"/>
      <c r="D41" s="3" t="n"/>
      <c r="E41" s="4" t="n"/>
      <c r="F41" s="4" t="n"/>
      <c r="G41" s="4" t="n"/>
      <c r="H41" s="4" t="n"/>
      <c r="I41" s="5">
        <f>IF(A41="","",B41-C41-D41-B41*(E41+F41+G41))</f>
        <v/>
      </c>
      <c r="J41" s="6">
        <f>IF(A41="","",IFERROR(I41/B41,0))</f>
        <v/>
      </c>
      <c r="K41" s="5">
        <f>IF(A41="","",I41-B41*H41)</f>
        <v/>
      </c>
      <c r="L41" s="6">
        <f>IF(A41="","",IFERROR(K41/B41,0))</f>
        <v/>
      </c>
      <c r="M41" s="7">
        <f>IF(A41="","",IFERROR(B41/I41,0))</f>
        <v/>
      </c>
      <c r="N41" s="8">
        <f>IF(A41="","",IF(K41&lt;=0,"Drop",IF(J41&gt;=0.6,"Profit product",IF(J41&gt;=0.5,"Traffic product","Thin - rework"))))</f>
        <v/>
      </c>
    </row>
    <row r="42">
      <c r="B42" s="3" t="n"/>
      <c r="C42" s="3" t="n"/>
      <c r="D42" s="3" t="n"/>
      <c r="E42" s="4" t="n"/>
      <c r="F42" s="4" t="n"/>
      <c r="G42" s="4" t="n"/>
      <c r="H42" s="4" t="n"/>
      <c r="I42" s="5">
        <f>IF(A42="","",B42-C42-D42-B42*(E42+F42+G42))</f>
        <v/>
      </c>
      <c r="J42" s="6">
        <f>IF(A42="","",IFERROR(I42/B42,0))</f>
        <v/>
      </c>
      <c r="K42" s="5">
        <f>IF(A42="","",I42-B42*H42)</f>
        <v/>
      </c>
      <c r="L42" s="6">
        <f>IF(A42="","",IFERROR(K42/B42,0))</f>
        <v/>
      </c>
      <c r="M42" s="7">
        <f>IF(A42="","",IFERROR(B42/I42,0))</f>
        <v/>
      </c>
      <c r="N42" s="8">
        <f>IF(A42="","",IF(K42&lt;=0,"Drop",IF(J42&gt;=0.6,"Profit product",IF(J42&gt;=0.5,"Traffic product","Thin - rework"))))</f>
        <v/>
      </c>
    </row>
    <row r="43">
      <c r="B43" s="3" t="n"/>
      <c r="C43" s="3" t="n"/>
      <c r="D43" s="3" t="n"/>
      <c r="E43" s="4" t="n"/>
      <c r="F43" s="4" t="n"/>
      <c r="G43" s="4" t="n"/>
      <c r="H43" s="4" t="n"/>
      <c r="I43" s="5">
        <f>IF(A43="","",B43-C43-D43-B43*(E43+F43+G43))</f>
        <v/>
      </c>
      <c r="J43" s="6">
        <f>IF(A43="","",IFERROR(I43/B43,0))</f>
        <v/>
      </c>
      <c r="K43" s="5">
        <f>IF(A43="","",I43-B43*H43)</f>
        <v/>
      </c>
      <c r="L43" s="6">
        <f>IF(A43="","",IFERROR(K43/B43,0))</f>
        <v/>
      </c>
      <c r="M43" s="7">
        <f>IF(A43="","",IFERROR(B43/I43,0))</f>
        <v/>
      </c>
      <c r="N43" s="8">
        <f>IF(A43="","",IF(K43&lt;=0,"Drop",IF(J43&gt;=0.6,"Profit product",IF(J43&gt;=0.5,"Traffic product","Thin - rework"))))</f>
        <v/>
      </c>
    </row>
    <row r="44">
      <c r="B44" s="3" t="n"/>
      <c r="C44" s="3" t="n"/>
      <c r="D44" s="3" t="n"/>
      <c r="E44" s="4" t="n"/>
      <c r="F44" s="4" t="n"/>
      <c r="G44" s="4" t="n"/>
      <c r="H44" s="4" t="n"/>
      <c r="I44" s="5">
        <f>IF(A44="","",B44-C44-D44-B44*(E44+F44+G44))</f>
        <v/>
      </c>
      <c r="J44" s="6">
        <f>IF(A44="","",IFERROR(I44/B44,0))</f>
        <v/>
      </c>
      <c r="K44" s="5">
        <f>IF(A44="","",I44-B44*H44)</f>
        <v/>
      </c>
      <c r="L44" s="6">
        <f>IF(A44="","",IFERROR(K44/B44,0))</f>
        <v/>
      </c>
      <c r="M44" s="7">
        <f>IF(A44="","",IFERROR(B44/I44,0))</f>
        <v/>
      </c>
      <c r="N44" s="8">
        <f>IF(A44="","",IF(K44&lt;=0,"Drop",IF(J44&gt;=0.6,"Profit product",IF(J44&gt;=0.5,"Traffic product","Thin - rework"))))</f>
        <v/>
      </c>
    </row>
    <row r="45">
      <c r="B45" s="3" t="n"/>
      <c r="C45" s="3" t="n"/>
      <c r="D45" s="3" t="n"/>
      <c r="E45" s="4" t="n"/>
      <c r="F45" s="4" t="n"/>
      <c r="G45" s="4" t="n"/>
      <c r="H45" s="4" t="n"/>
      <c r="I45" s="5">
        <f>IF(A45="","",B45-C45-D45-B45*(E45+F45+G45))</f>
        <v/>
      </c>
      <c r="J45" s="6">
        <f>IF(A45="","",IFERROR(I45/B45,0))</f>
        <v/>
      </c>
      <c r="K45" s="5">
        <f>IF(A45="","",I45-B45*H45)</f>
        <v/>
      </c>
      <c r="L45" s="6">
        <f>IF(A45="","",IFERROR(K45/B45,0))</f>
        <v/>
      </c>
      <c r="M45" s="7">
        <f>IF(A45="","",IFERROR(B45/I45,0))</f>
        <v/>
      </c>
      <c r="N45" s="8">
        <f>IF(A45="","",IF(K45&lt;=0,"Drop",IF(J45&gt;=0.6,"Profit product",IF(J45&gt;=0.5,"Traffic product","Thin - rework"))))</f>
        <v/>
      </c>
    </row>
    <row r="46">
      <c r="B46" s="3" t="n"/>
      <c r="C46" s="3" t="n"/>
      <c r="D46" s="3" t="n"/>
      <c r="E46" s="4" t="n"/>
      <c r="F46" s="4" t="n"/>
      <c r="G46" s="4" t="n"/>
      <c r="H46" s="4" t="n"/>
      <c r="I46" s="5">
        <f>IF(A46="","",B46-C46-D46-B46*(E46+F46+G46))</f>
        <v/>
      </c>
      <c r="J46" s="6">
        <f>IF(A46="","",IFERROR(I46/B46,0))</f>
        <v/>
      </c>
      <c r="K46" s="5">
        <f>IF(A46="","",I46-B46*H46)</f>
        <v/>
      </c>
      <c r="L46" s="6">
        <f>IF(A46="","",IFERROR(K46/B46,0))</f>
        <v/>
      </c>
      <c r="M46" s="7">
        <f>IF(A46="","",IFERROR(B46/I46,0))</f>
        <v/>
      </c>
      <c r="N46" s="8">
        <f>IF(A46="","",IF(K46&lt;=0,"Drop",IF(J46&gt;=0.6,"Profit product",IF(J46&gt;=0.5,"Traffic product","Thin - rework"))))</f>
        <v/>
      </c>
    </row>
    <row r="47">
      <c r="B47" s="3" t="n"/>
      <c r="C47" s="3" t="n"/>
      <c r="D47" s="3" t="n"/>
      <c r="E47" s="4" t="n"/>
      <c r="F47" s="4" t="n"/>
      <c r="G47" s="4" t="n"/>
      <c r="H47" s="4" t="n"/>
      <c r="I47" s="5">
        <f>IF(A47="","",B47-C47-D47-B47*(E47+F47+G47))</f>
        <v/>
      </c>
      <c r="J47" s="6">
        <f>IF(A47="","",IFERROR(I47/B47,0))</f>
        <v/>
      </c>
      <c r="K47" s="5">
        <f>IF(A47="","",I47-B47*H47)</f>
        <v/>
      </c>
      <c r="L47" s="6">
        <f>IF(A47="","",IFERROR(K47/B47,0))</f>
        <v/>
      </c>
      <c r="M47" s="7">
        <f>IF(A47="","",IFERROR(B47/I47,0))</f>
        <v/>
      </c>
      <c r="N47" s="8">
        <f>IF(A47="","",IF(K47&lt;=0,"Drop",IF(J47&gt;=0.6,"Profit product",IF(J47&gt;=0.5,"Traffic product","Thin - rework"))))</f>
        <v/>
      </c>
    </row>
    <row r="48">
      <c r="B48" s="3" t="n"/>
      <c r="C48" s="3" t="n"/>
      <c r="D48" s="3" t="n"/>
      <c r="E48" s="4" t="n"/>
      <c r="F48" s="4" t="n"/>
      <c r="G48" s="4" t="n"/>
      <c r="H48" s="4" t="n"/>
      <c r="I48" s="5">
        <f>IF(A48="","",B48-C48-D48-B48*(E48+F48+G48))</f>
        <v/>
      </c>
      <c r="J48" s="6">
        <f>IF(A48="","",IFERROR(I48/B48,0))</f>
        <v/>
      </c>
      <c r="K48" s="5">
        <f>IF(A48="","",I48-B48*H48)</f>
        <v/>
      </c>
      <c r="L48" s="6">
        <f>IF(A48="","",IFERROR(K48/B48,0))</f>
        <v/>
      </c>
      <c r="M48" s="7">
        <f>IF(A48="","",IFERROR(B48/I48,0))</f>
        <v/>
      </c>
      <c r="N48" s="8">
        <f>IF(A48="","",IF(K48&lt;=0,"Drop",IF(J48&gt;=0.6,"Profit product",IF(J48&gt;=0.5,"Traffic product","Thin - rework"))))</f>
        <v/>
      </c>
    </row>
    <row r="49">
      <c r="B49" s="3" t="n"/>
      <c r="C49" s="3" t="n"/>
      <c r="D49" s="3" t="n"/>
      <c r="E49" s="4" t="n"/>
      <c r="F49" s="4" t="n"/>
      <c r="G49" s="4" t="n"/>
      <c r="H49" s="4" t="n"/>
      <c r="I49" s="5">
        <f>IF(A49="","",B49-C49-D49-B49*(E49+F49+G49))</f>
        <v/>
      </c>
      <c r="J49" s="6">
        <f>IF(A49="","",IFERROR(I49/B49,0))</f>
        <v/>
      </c>
      <c r="K49" s="5">
        <f>IF(A49="","",I49-B49*H49)</f>
        <v/>
      </c>
      <c r="L49" s="6">
        <f>IF(A49="","",IFERROR(K49/B49,0))</f>
        <v/>
      </c>
      <c r="M49" s="7">
        <f>IF(A49="","",IFERROR(B49/I49,0))</f>
        <v/>
      </c>
      <c r="N49" s="8">
        <f>IF(A49="","",IF(K49&lt;=0,"Drop",IF(J49&gt;=0.6,"Profit product",IF(J49&gt;=0.5,"Traffic product","Thin - rework"))))</f>
        <v/>
      </c>
    </row>
    <row r="50">
      <c r="B50" s="3" t="n"/>
      <c r="C50" s="3" t="n"/>
      <c r="D50" s="3" t="n"/>
      <c r="E50" s="4" t="n"/>
      <c r="F50" s="4" t="n"/>
      <c r="G50" s="4" t="n"/>
      <c r="H50" s="4" t="n"/>
      <c r="I50" s="5">
        <f>IF(A50="","",B50-C50-D50-B50*(E50+F50+G50))</f>
        <v/>
      </c>
      <c r="J50" s="6">
        <f>IF(A50="","",IFERROR(I50/B50,0))</f>
        <v/>
      </c>
      <c r="K50" s="5">
        <f>IF(A50="","",I50-B50*H50)</f>
        <v/>
      </c>
      <c r="L50" s="6">
        <f>IF(A50="","",IFERROR(K50/B50,0))</f>
        <v/>
      </c>
      <c r="M50" s="7">
        <f>IF(A50="","",IFERROR(B50/I50,0))</f>
        <v/>
      </c>
      <c r="N50" s="8">
        <f>IF(A50="","",IF(K50&lt;=0,"Drop",IF(J50&gt;=0.6,"Profit product",IF(J50&gt;=0.5,"Traffic product","Thin - rework"))))</f>
        <v/>
      </c>
    </row>
    <row r="51">
      <c r="B51" s="3" t="n"/>
      <c r="C51" s="3" t="n"/>
      <c r="D51" s="3" t="n"/>
      <c r="E51" s="4" t="n"/>
      <c r="F51" s="4" t="n"/>
      <c r="G51" s="4" t="n"/>
      <c r="H51" s="4" t="n"/>
      <c r="I51" s="5">
        <f>IF(A51="","",B51-C51-D51-B51*(E51+F51+G51))</f>
        <v/>
      </c>
      <c r="J51" s="6">
        <f>IF(A51="","",IFERROR(I51/B51,0))</f>
        <v/>
      </c>
      <c r="K51" s="5">
        <f>IF(A51="","",I51-B51*H51)</f>
        <v/>
      </c>
      <c r="L51" s="6">
        <f>IF(A51="","",IFERROR(K51/B51,0))</f>
        <v/>
      </c>
      <c r="M51" s="7">
        <f>IF(A51="","",IFERROR(B51/I51,0))</f>
        <v/>
      </c>
      <c r="N51" s="8">
        <f>IF(A51="","",IF(K51&lt;=0,"Drop",IF(J51&gt;=0.6,"Profit product",IF(J51&gt;=0.5,"Traffic product","Thin - rework"))))</f>
        <v/>
      </c>
    </row>
    <row r="52">
      <c r="B52" s="3" t="n"/>
      <c r="C52" s="3" t="n"/>
      <c r="D52" s="3" t="n"/>
      <c r="E52" s="4" t="n"/>
      <c r="F52" s="4" t="n"/>
      <c r="G52" s="4" t="n"/>
      <c r="H52" s="4" t="n"/>
      <c r="I52" s="5">
        <f>IF(A52="","",B52-C52-D52-B52*(E52+F52+G52))</f>
        <v/>
      </c>
      <c r="J52" s="6">
        <f>IF(A52="","",IFERROR(I52/B52,0))</f>
        <v/>
      </c>
      <c r="K52" s="5">
        <f>IF(A52="","",I52-B52*H52)</f>
        <v/>
      </c>
      <c r="L52" s="6">
        <f>IF(A52="","",IFERROR(K52/B52,0))</f>
        <v/>
      </c>
      <c r="M52" s="7">
        <f>IF(A52="","",IFERROR(B52/I52,0))</f>
        <v/>
      </c>
      <c r="N52" s="8">
        <f>IF(A52="","",IF(K52&lt;=0,"Drop",IF(J52&gt;=0.6,"Profit product",IF(J52&gt;=0.5,"Traffic product","Thin - rework"))))</f>
        <v/>
      </c>
    </row>
    <row r="53">
      <c r="B53" s="3" t="n"/>
      <c r="C53" s="3" t="n"/>
      <c r="D53" s="3" t="n"/>
      <c r="E53" s="4" t="n"/>
      <c r="F53" s="4" t="n"/>
      <c r="G53" s="4" t="n"/>
      <c r="H53" s="4" t="n"/>
      <c r="I53" s="5">
        <f>IF(A53="","",B53-C53-D53-B53*(E53+F53+G53))</f>
        <v/>
      </c>
      <c r="J53" s="6">
        <f>IF(A53="","",IFERROR(I53/B53,0))</f>
        <v/>
      </c>
      <c r="K53" s="5">
        <f>IF(A53="","",I53-B53*H53)</f>
        <v/>
      </c>
      <c r="L53" s="6">
        <f>IF(A53="","",IFERROR(K53/B53,0))</f>
        <v/>
      </c>
      <c r="M53" s="7">
        <f>IF(A53="","",IFERROR(B53/I53,0))</f>
        <v/>
      </c>
      <c r="N53" s="8">
        <f>IF(A53="","",IF(K53&lt;=0,"Drop",IF(J53&gt;=0.6,"Profit product",IF(J53&gt;=0.5,"Traffic product","Thin - rework"))))</f>
        <v/>
      </c>
    </row>
    <row r="54">
      <c r="B54" s="3" t="n"/>
      <c r="C54" s="3" t="n"/>
      <c r="D54" s="3" t="n"/>
      <c r="E54" s="4" t="n"/>
      <c r="F54" s="4" t="n"/>
      <c r="G54" s="4" t="n"/>
      <c r="H54" s="4" t="n"/>
      <c r="I54" s="5">
        <f>IF(A54="","",B54-C54-D54-B54*(E54+F54+G54))</f>
        <v/>
      </c>
      <c r="J54" s="6">
        <f>IF(A54="","",IFERROR(I54/B54,0))</f>
        <v/>
      </c>
      <c r="K54" s="5">
        <f>IF(A54="","",I54-B54*H54)</f>
        <v/>
      </c>
      <c r="L54" s="6">
        <f>IF(A54="","",IFERROR(K54/B54,0))</f>
        <v/>
      </c>
      <c r="M54" s="7">
        <f>IF(A54="","",IFERROR(B54/I54,0))</f>
        <v/>
      </c>
      <c r="N54" s="8">
        <f>IF(A54="","",IF(K54&lt;=0,"Drop",IF(J54&gt;=0.6,"Profit product",IF(J54&gt;=0.5,"Traffic product","Thin - rework"))))</f>
        <v/>
      </c>
    </row>
    <row r="55">
      <c r="B55" s="3" t="n"/>
      <c r="C55" s="3" t="n"/>
      <c r="D55" s="3" t="n"/>
      <c r="E55" s="4" t="n"/>
      <c r="F55" s="4" t="n"/>
      <c r="G55" s="4" t="n"/>
      <c r="H55" s="4" t="n"/>
      <c r="I55" s="5">
        <f>IF(A55="","",B55-C55-D55-B55*(E55+F55+G55))</f>
        <v/>
      </c>
      <c r="J55" s="6">
        <f>IF(A55="","",IFERROR(I55/B55,0))</f>
        <v/>
      </c>
      <c r="K55" s="5">
        <f>IF(A55="","",I55-B55*H55)</f>
        <v/>
      </c>
      <c r="L55" s="6">
        <f>IF(A55="","",IFERROR(K55/B55,0))</f>
        <v/>
      </c>
      <c r="M55" s="7">
        <f>IF(A55="","",IFERROR(B55/I55,0))</f>
        <v/>
      </c>
      <c r="N55" s="8">
        <f>IF(A55="","",IF(K55&lt;=0,"Drop",IF(J55&gt;=0.6,"Profit product",IF(J55&gt;=0.5,"Traffic product","Thin - rework"))))</f>
        <v/>
      </c>
    </row>
    <row r="56">
      <c r="B56" s="3" t="n"/>
      <c r="C56" s="3" t="n"/>
      <c r="D56" s="3" t="n"/>
      <c r="E56" s="4" t="n"/>
      <c r="F56" s="4" t="n"/>
      <c r="G56" s="4" t="n"/>
      <c r="H56" s="4" t="n"/>
      <c r="I56" s="5">
        <f>IF(A56="","",B56-C56-D56-B56*(E56+F56+G56))</f>
        <v/>
      </c>
      <c r="J56" s="6">
        <f>IF(A56="","",IFERROR(I56/B56,0))</f>
        <v/>
      </c>
      <c r="K56" s="5">
        <f>IF(A56="","",I56-B56*H56)</f>
        <v/>
      </c>
      <c r="L56" s="6">
        <f>IF(A56="","",IFERROR(K56/B56,0))</f>
        <v/>
      </c>
      <c r="M56" s="7">
        <f>IF(A56="","",IFERROR(B56/I56,0))</f>
        <v/>
      </c>
      <c r="N56" s="8">
        <f>IF(A56="","",IF(K56&lt;=0,"Drop",IF(J56&gt;=0.6,"Profit product",IF(J56&gt;=0.5,"Traffic product","Thin - rework"))))</f>
        <v/>
      </c>
    </row>
    <row r="57">
      <c r="B57" s="3" t="n"/>
      <c r="C57" s="3" t="n"/>
      <c r="D57" s="3" t="n"/>
      <c r="E57" s="4" t="n"/>
      <c r="F57" s="4" t="n"/>
      <c r="G57" s="4" t="n"/>
      <c r="H57" s="4" t="n"/>
      <c r="I57" s="5">
        <f>IF(A57="","",B57-C57-D57-B57*(E57+F57+G57))</f>
        <v/>
      </c>
      <c r="J57" s="6">
        <f>IF(A57="","",IFERROR(I57/B57,0))</f>
        <v/>
      </c>
      <c r="K57" s="5">
        <f>IF(A57="","",I57-B57*H57)</f>
        <v/>
      </c>
      <c r="L57" s="6">
        <f>IF(A57="","",IFERROR(K57/B57,0))</f>
        <v/>
      </c>
      <c r="M57" s="7">
        <f>IF(A57="","",IFERROR(B57/I57,0))</f>
        <v/>
      </c>
      <c r="N57" s="8">
        <f>IF(A57="","",IF(K57&lt;=0,"Drop",IF(J57&gt;=0.6,"Profit product",IF(J57&gt;=0.5,"Traffic product","Thin - rework"))))</f>
        <v/>
      </c>
    </row>
    <row r="58">
      <c r="B58" s="3" t="n"/>
      <c r="C58" s="3" t="n"/>
      <c r="D58" s="3" t="n"/>
      <c r="E58" s="4" t="n"/>
      <c r="F58" s="4" t="n"/>
      <c r="G58" s="4" t="n"/>
      <c r="H58" s="4" t="n"/>
      <c r="I58" s="5">
        <f>IF(A58="","",B58-C58-D58-B58*(E58+F58+G58))</f>
        <v/>
      </c>
      <c r="J58" s="6">
        <f>IF(A58="","",IFERROR(I58/B58,0))</f>
        <v/>
      </c>
      <c r="K58" s="5">
        <f>IF(A58="","",I58-B58*H58)</f>
        <v/>
      </c>
      <c r="L58" s="6">
        <f>IF(A58="","",IFERROR(K58/B58,0))</f>
        <v/>
      </c>
      <c r="M58" s="7">
        <f>IF(A58="","",IFERROR(B58/I58,0))</f>
        <v/>
      </c>
      <c r="N58" s="8">
        <f>IF(A58="","",IF(K58&lt;=0,"Drop",IF(J58&gt;=0.6,"Profit product",IF(J58&gt;=0.5,"Traffic product","Thin - rework"))))</f>
        <v/>
      </c>
    </row>
    <row r="59">
      <c r="B59" s="3" t="n"/>
      <c r="C59" s="3" t="n"/>
      <c r="D59" s="3" t="n"/>
      <c r="E59" s="4" t="n"/>
      <c r="F59" s="4" t="n"/>
      <c r="G59" s="4" t="n"/>
      <c r="H59" s="4" t="n"/>
      <c r="I59" s="5">
        <f>IF(A59="","",B59-C59-D59-B59*(E59+F59+G59))</f>
        <v/>
      </c>
      <c r="J59" s="6">
        <f>IF(A59="","",IFERROR(I59/B59,0))</f>
        <v/>
      </c>
      <c r="K59" s="5">
        <f>IF(A59="","",I59-B59*H59)</f>
        <v/>
      </c>
      <c r="L59" s="6">
        <f>IF(A59="","",IFERROR(K59/B59,0))</f>
        <v/>
      </c>
      <c r="M59" s="7">
        <f>IF(A59="","",IFERROR(B59/I59,0))</f>
        <v/>
      </c>
      <c r="N59" s="8">
        <f>IF(A59="","",IF(K59&lt;=0,"Drop",IF(J59&gt;=0.6,"Profit product",IF(J59&gt;=0.5,"Traffic product","Thin - rework"))))</f>
        <v/>
      </c>
    </row>
    <row r="60">
      <c r="B60" s="3" t="n"/>
      <c r="C60" s="3" t="n"/>
      <c r="D60" s="3" t="n"/>
      <c r="E60" s="4" t="n"/>
      <c r="F60" s="4" t="n"/>
      <c r="G60" s="4" t="n"/>
      <c r="H60" s="4" t="n"/>
      <c r="I60" s="5">
        <f>IF(A60="","",B60-C60-D60-B60*(E60+F60+G60))</f>
        <v/>
      </c>
      <c r="J60" s="6">
        <f>IF(A60="","",IFERROR(I60/B60,0))</f>
        <v/>
      </c>
      <c r="K60" s="5">
        <f>IF(A60="","",I60-B60*H60)</f>
        <v/>
      </c>
      <c r="L60" s="6">
        <f>IF(A60="","",IFERROR(K60/B60,0))</f>
        <v/>
      </c>
      <c r="M60" s="7">
        <f>IF(A60="","",IFERROR(B60/I60,0))</f>
        <v/>
      </c>
      <c r="N60" s="8">
        <f>IF(A60="","",IF(K60&lt;=0,"Drop",IF(J60&gt;=0.6,"Profit product",IF(J60&gt;=0.5,"Traffic product","Thin - rework"))))</f>
        <v/>
      </c>
    </row>
    <row r="61">
      <c r="B61" s="3" t="n"/>
      <c r="C61" s="3" t="n"/>
      <c r="D61" s="3" t="n"/>
      <c r="E61" s="4" t="n"/>
      <c r="F61" s="4" t="n"/>
      <c r="G61" s="4" t="n"/>
      <c r="H61" s="4" t="n"/>
      <c r="I61" s="5">
        <f>IF(A61="","",B61-C61-D61-B61*(E61+F61+G61))</f>
        <v/>
      </c>
      <c r="J61" s="6">
        <f>IF(A61="","",IFERROR(I61/B61,0))</f>
        <v/>
      </c>
      <c r="K61" s="5">
        <f>IF(A61="","",I61-B61*H61)</f>
        <v/>
      </c>
      <c r="L61" s="6">
        <f>IF(A61="","",IFERROR(K61/B61,0))</f>
        <v/>
      </c>
      <c r="M61" s="7">
        <f>IF(A61="","",IFERROR(B61/I61,0))</f>
        <v/>
      </c>
      <c r="N61" s="8">
        <f>IF(A61="","",IF(K61&lt;=0,"Drop",IF(J61&gt;=0.6,"Profit product",IF(J61&gt;=0.5,"Traffic product","Thin - rework"))))</f>
        <v/>
      </c>
    </row>
    <row r="62">
      <c r="B62" s="3" t="n"/>
      <c r="C62" s="3" t="n"/>
      <c r="D62" s="3" t="n"/>
      <c r="E62" s="4" t="n"/>
      <c r="F62" s="4" t="n"/>
      <c r="G62" s="4" t="n"/>
      <c r="H62" s="4" t="n"/>
      <c r="I62" s="5">
        <f>IF(A62="","",B62-C62-D62-B62*(E62+F62+G62))</f>
        <v/>
      </c>
      <c r="J62" s="6">
        <f>IF(A62="","",IFERROR(I62/B62,0))</f>
        <v/>
      </c>
      <c r="K62" s="5">
        <f>IF(A62="","",I62-B62*H62)</f>
        <v/>
      </c>
      <c r="L62" s="6">
        <f>IF(A62="","",IFERROR(K62/B62,0))</f>
        <v/>
      </c>
      <c r="M62" s="7">
        <f>IF(A62="","",IFERROR(B62/I62,0))</f>
        <v/>
      </c>
      <c r="N62" s="8">
        <f>IF(A62="","",IF(K62&lt;=0,"Drop",IF(J62&gt;=0.6,"Profit product",IF(J62&gt;=0.5,"Traffic product","Thin - rework"))))</f>
        <v/>
      </c>
    </row>
    <row r="63">
      <c r="B63" s="3" t="n"/>
      <c r="C63" s="3" t="n"/>
      <c r="D63" s="3" t="n"/>
      <c r="E63" s="4" t="n"/>
      <c r="F63" s="4" t="n"/>
      <c r="G63" s="4" t="n"/>
      <c r="H63" s="4" t="n"/>
      <c r="I63" s="5">
        <f>IF(A63="","",B63-C63-D63-B63*(E63+F63+G63))</f>
        <v/>
      </c>
      <c r="J63" s="6">
        <f>IF(A63="","",IFERROR(I63/B63,0))</f>
        <v/>
      </c>
      <c r="K63" s="5">
        <f>IF(A63="","",I63-B63*H63)</f>
        <v/>
      </c>
      <c r="L63" s="6">
        <f>IF(A63="","",IFERROR(K63/B63,0))</f>
        <v/>
      </c>
      <c r="M63" s="7">
        <f>IF(A63="","",IFERROR(B63/I63,0))</f>
        <v/>
      </c>
      <c r="N63" s="8">
        <f>IF(A63="","",IF(K63&lt;=0,"Drop",IF(J63&gt;=0.6,"Profit product",IF(J63&gt;=0.5,"Traffic product","Thin - rework"))))</f>
        <v/>
      </c>
    </row>
    <row r="64">
      <c r="B64" s="3" t="n"/>
      <c r="C64" s="3" t="n"/>
      <c r="D64" s="3" t="n"/>
      <c r="E64" s="4" t="n"/>
      <c r="F64" s="4" t="n"/>
      <c r="G64" s="4" t="n"/>
      <c r="H64" s="4" t="n"/>
      <c r="I64" s="5">
        <f>IF(A64="","",B64-C64-D64-B64*(E64+F64+G64))</f>
        <v/>
      </c>
      <c r="J64" s="6">
        <f>IF(A64="","",IFERROR(I64/B64,0))</f>
        <v/>
      </c>
      <c r="K64" s="5">
        <f>IF(A64="","",I64-B64*H64)</f>
        <v/>
      </c>
      <c r="L64" s="6">
        <f>IF(A64="","",IFERROR(K64/B64,0))</f>
        <v/>
      </c>
      <c r="M64" s="7">
        <f>IF(A64="","",IFERROR(B64/I64,0))</f>
        <v/>
      </c>
      <c r="N64" s="8">
        <f>IF(A64="","",IF(K64&lt;=0,"Drop",IF(J64&gt;=0.6,"Profit product",IF(J64&gt;=0.5,"Traffic product","Thin - rework"))))</f>
        <v/>
      </c>
    </row>
    <row r="65">
      <c r="B65" s="3" t="n"/>
      <c r="C65" s="3" t="n"/>
      <c r="D65" s="3" t="n"/>
      <c r="E65" s="4" t="n"/>
      <c r="F65" s="4" t="n"/>
      <c r="G65" s="4" t="n"/>
      <c r="H65" s="4" t="n"/>
      <c r="I65" s="5">
        <f>IF(A65="","",B65-C65-D65-B65*(E65+F65+G65))</f>
        <v/>
      </c>
      <c r="J65" s="6">
        <f>IF(A65="","",IFERROR(I65/B65,0))</f>
        <v/>
      </c>
      <c r="K65" s="5">
        <f>IF(A65="","",I65-B65*H65)</f>
        <v/>
      </c>
      <c r="L65" s="6">
        <f>IF(A65="","",IFERROR(K65/B65,0))</f>
        <v/>
      </c>
      <c r="M65" s="7">
        <f>IF(A65="","",IFERROR(B65/I65,0))</f>
        <v/>
      </c>
      <c r="N65" s="8">
        <f>IF(A65="","",IF(K65&lt;=0,"Drop",IF(J65&gt;=0.6,"Profit product",IF(J65&gt;=0.5,"Traffic product","Thin - rework"))))</f>
        <v/>
      </c>
    </row>
    <row r="66">
      <c r="B66" s="3" t="n"/>
      <c r="C66" s="3" t="n"/>
      <c r="D66" s="3" t="n"/>
      <c r="E66" s="4" t="n"/>
      <c r="F66" s="4" t="n"/>
      <c r="G66" s="4" t="n"/>
      <c r="H66" s="4" t="n"/>
      <c r="I66" s="5">
        <f>IF(A66="","",B66-C66-D66-B66*(E66+F66+G66))</f>
        <v/>
      </c>
      <c r="J66" s="6">
        <f>IF(A66="","",IFERROR(I66/B66,0))</f>
        <v/>
      </c>
      <c r="K66" s="5">
        <f>IF(A66="","",I66-B66*H66)</f>
        <v/>
      </c>
      <c r="L66" s="6">
        <f>IF(A66="","",IFERROR(K66/B66,0))</f>
        <v/>
      </c>
      <c r="M66" s="7">
        <f>IF(A66="","",IFERROR(B66/I66,0))</f>
        <v/>
      </c>
      <c r="N66" s="8">
        <f>IF(A66="","",IF(K66&lt;=0,"Drop",IF(J66&gt;=0.6,"Profit product",IF(J66&gt;=0.5,"Traffic product","Thin - rework"))))</f>
        <v/>
      </c>
    </row>
    <row r="67">
      <c r="B67" s="3" t="n"/>
      <c r="C67" s="3" t="n"/>
      <c r="D67" s="3" t="n"/>
      <c r="E67" s="4" t="n"/>
      <c r="F67" s="4" t="n"/>
      <c r="G67" s="4" t="n"/>
      <c r="H67" s="4" t="n"/>
      <c r="I67" s="5">
        <f>IF(A67="","",B67-C67-D67-B67*(E67+F67+G67))</f>
        <v/>
      </c>
      <c r="J67" s="6">
        <f>IF(A67="","",IFERROR(I67/B67,0))</f>
        <v/>
      </c>
      <c r="K67" s="5">
        <f>IF(A67="","",I67-B67*H67)</f>
        <v/>
      </c>
      <c r="L67" s="6">
        <f>IF(A67="","",IFERROR(K67/B67,0))</f>
        <v/>
      </c>
      <c r="M67" s="7">
        <f>IF(A67="","",IFERROR(B67/I67,0))</f>
        <v/>
      </c>
      <c r="N67" s="8">
        <f>IF(A67="","",IF(K67&lt;=0,"Drop",IF(J67&gt;=0.6,"Profit product",IF(J67&gt;=0.5,"Traffic product","Thin - rework"))))</f>
        <v/>
      </c>
    </row>
    <row r="68">
      <c r="B68" s="3" t="n"/>
      <c r="C68" s="3" t="n"/>
      <c r="D68" s="3" t="n"/>
      <c r="E68" s="4" t="n"/>
      <c r="F68" s="4" t="n"/>
      <c r="G68" s="4" t="n"/>
      <c r="H68" s="4" t="n"/>
      <c r="I68" s="5">
        <f>IF(A68="","",B68-C68-D68-B68*(E68+F68+G68))</f>
        <v/>
      </c>
      <c r="J68" s="6">
        <f>IF(A68="","",IFERROR(I68/B68,0))</f>
        <v/>
      </c>
      <c r="K68" s="5">
        <f>IF(A68="","",I68-B68*H68)</f>
        <v/>
      </c>
      <c r="L68" s="6">
        <f>IF(A68="","",IFERROR(K68/B68,0))</f>
        <v/>
      </c>
      <c r="M68" s="7">
        <f>IF(A68="","",IFERROR(B68/I68,0))</f>
        <v/>
      </c>
      <c r="N68" s="8">
        <f>IF(A68="","",IF(K68&lt;=0,"Drop",IF(J68&gt;=0.6,"Profit product",IF(J68&gt;=0.5,"Traffic product","Thin - rework"))))</f>
        <v/>
      </c>
    </row>
    <row r="69">
      <c r="B69" s="3" t="n"/>
      <c r="C69" s="3" t="n"/>
      <c r="D69" s="3" t="n"/>
      <c r="E69" s="4" t="n"/>
      <c r="F69" s="4" t="n"/>
      <c r="G69" s="4" t="n"/>
      <c r="H69" s="4" t="n"/>
      <c r="I69" s="5">
        <f>IF(A69="","",B69-C69-D69-B69*(E69+F69+G69))</f>
        <v/>
      </c>
      <c r="J69" s="6">
        <f>IF(A69="","",IFERROR(I69/B69,0))</f>
        <v/>
      </c>
      <c r="K69" s="5">
        <f>IF(A69="","",I69-B69*H69)</f>
        <v/>
      </c>
      <c r="L69" s="6">
        <f>IF(A69="","",IFERROR(K69/B69,0))</f>
        <v/>
      </c>
      <c r="M69" s="7">
        <f>IF(A69="","",IFERROR(B69/I69,0))</f>
        <v/>
      </c>
      <c r="N69" s="8">
        <f>IF(A69="","",IF(K69&lt;=0,"Drop",IF(J69&gt;=0.6,"Profit product",IF(J69&gt;=0.5,"Traffic product","Thin - rework"))))</f>
        <v/>
      </c>
    </row>
    <row r="70">
      <c r="B70" s="3" t="n"/>
      <c r="C70" s="3" t="n"/>
      <c r="D70" s="3" t="n"/>
      <c r="E70" s="4" t="n"/>
      <c r="F70" s="4" t="n"/>
      <c r="G70" s="4" t="n"/>
      <c r="H70" s="4" t="n"/>
      <c r="I70" s="5">
        <f>IF(A70="","",B70-C70-D70-B70*(E70+F70+G70))</f>
        <v/>
      </c>
      <c r="J70" s="6">
        <f>IF(A70="","",IFERROR(I70/B70,0))</f>
        <v/>
      </c>
      <c r="K70" s="5">
        <f>IF(A70="","",I70-B70*H70)</f>
        <v/>
      </c>
      <c r="L70" s="6">
        <f>IF(A70="","",IFERROR(K70/B70,0))</f>
        <v/>
      </c>
      <c r="M70" s="7">
        <f>IF(A70="","",IFERROR(B70/I70,0))</f>
        <v/>
      </c>
      <c r="N70" s="8">
        <f>IF(A70="","",IF(K70&lt;=0,"Drop",IF(J70&gt;=0.6,"Profit product",IF(J70&gt;=0.5,"Traffic product","Thin - rework"))))</f>
        <v/>
      </c>
    </row>
    <row r="71">
      <c r="B71" s="3" t="n"/>
      <c r="C71" s="3" t="n"/>
      <c r="D71" s="3" t="n"/>
      <c r="E71" s="4" t="n"/>
      <c r="F71" s="4" t="n"/>
      <c r="G71" s="4" t="n"/>
      <c r="H71" s="4" t="n"/>
      <c r="I71" s="5">
        <f>IF(A71="","",B71-C71-D71-B71*(E71+F71+G71))</f>
        <v/>
      </c>
      <c r="J71" s="6">
        <f>IF(A71="","",IFERROR(I71/B71,0))</f>
        <v/>
      </c>
      <c r="K71" s="5">
        <f>IF(A71="","",I71-B71*H71)</f>
        <v/>
      </c>
      <c r="L71" s="6">
        <f>IF(A71="","",IFERROR(K71/B71,0))</f>
        <v/>
      </c>
      <c r="M71" s="7">
        <f>IF(A71="","",IFERROR(B71/I71,0))</f>
        <v/>
      </c>
      <c r="N71" s="8">
        <f>IF(A71="","",IF(K71&lt;=0,"Drop",IF(J71&gt;=0.6,"Profit product",IF(J71&gt;=0.5,"Traffic product","Thin - rework"))))</f>
        <v/>
      </c>
    </row>
    <row r="72">
      <c r="B72" s="3" t="n"/>
      <c r="C72" s="3" t="n"/>
      <c r="D72" s="3" t="n"/>
      <c r="E72" s="4" t="n"/>
      <c r="F72" s="4" t="n"/>
      <c r="G72" s="4" t="n"/>
      <c r="H72" s="4" t="n"/>
      <c r="I72" s="5">
        <f>IF(A72="","",B72-C72-D72-B72*(E72+F72+G72))</f>
        <v/>
      </c>
      <c r="J72" s="6">
        <f>IF(A72="","",IFERROR(I72/B72,0))</f>
        <v/>
      </c>
      <c r="K72" s="5">
        <f>IF(A72="","",I72-B72*H72)</f>
        <v/>
      </c>
      <c r="L72" s="6">
        <f>IF(A72="","",IFERROR(K72/B72,0))</f>
        <v/>
      </c>
      <c r="M72" s="7">
        <f>IF(A72="","",IFERROR(B72/I72,0))</f>
        <v/>
      </c>
      <c r="N72" s="8">
        <f>IF(A72="","",IF(K72&lt;=0,"Drop",IF(J72&gt;=0.6,"Profit product",IF(J72&gt;=0.5,"Traffic product","Thin - rework"))))</f>
        <v/>
      </c>
    </row>
    <row r="73">
      <c r="B73" s="3" t="n"/>
      <c r="C73" s="3" t="n"/>
      <c r="D73" s="3" t="n"/>
      <c r="E73" s="4" t="n"/>
      <c r="F73" s="4" t="n"/>
      <c r="G73" s="4" t="n"/>
      <c r="H73" s="4" t="n"/>
      <c r="I73" s="5">
        <f>IF(A73="","",B73-C73-D73-B73*(E73+F73+G73))</f>
        <v/>
      </c>
      <c r="J73" s="6">
        <f>IF(A73="","",IFERROR(I73/B73,0))</f>
        <v/>
      </c>
      <c r="K73" s="5">
        <f>IF(A73="","",I73-B73*H73)</f>
        <v/>
      </c>
      <c r="L73" s="6">
        <f>IF(A73="","",IFERROR(K73/B73,0))</f>
        <v/>
      </c>
      <c r="M73" s="7">
        <f>IF(A73="","",IFERROR(B73/I73,0))</f>
        <v/>
      </c>
      <c r="N73" s="8">
        <f>IF(A73="","",IF(K73&lt;=0,"Drop",IF(J73&gt;=0.6,"Profit product",IF(J73&gt;=0.5,"Traffic product","Thin - rework"))))</f>
        <v/>
      </c>
    </row>
    <row r="74">
      <c r="B74" s="3" t="n"/>
      <c r="C74" s="3" t="n"/>
      <c r="D74" s="3" t="n"/>
      <c r="E74" s="4" t="n"/>
      <c r="F74" s="4" t="n"/>
      <c r="G74" s="4" t="n"/>
      <c r="H74" s="4" t="n"/>
      <c r="I74" s="5">
        <f>IF(A74="","",B74-C74-D74-B74*(E74+F74+G74))</f>
        <v/>
      </c>
      <c r="J74" s="6">
        <f>IF(A74="","",IFERROR(I74/B74,0))</f>
        <v/>
      </c>
      <c r="K74" s="5">
        <f>IF(A74="","",I74-B74*H74)</f>
        <v/>
      </c>
      <c r="L74" s="6">
        <f>IF(A74="","",IFERROR(K74/B74,0))</f>
        <v/>
      </c>
      <c r="M74" s="7">
        <f>IF(A74="","",IFERROR(B74/I74,0))</f>
        <v/>
      </c>
      <c r="N74" s="8">
        <f>IF(A74="","",IF(K74&lt;=0,"Drop",IF(J74&gt;=0.6,"Profit product",IF(J74&gt;=0.5,"Traffic product","Thin - rework"))))</f>
        <v/>
      </c>
    </row>
    <row r="75">
      <c r="B75" s="3" t="n"/>
      <c r="C75" s="3" t="n"/>
      <c r="D75" s="3" t="n"/>
      <c r="E75" s="4" t="n"/>
      <c r="F75" s="4" t="n"/>
      <c r="G75" s="4" t="n"/>
      <c r="H75" s="4" t="n"/>
      <c r="I75" s="5">
        <f>IF(A75="","",B75-C75-D75-B75*(E75+F75+G75))</f>
        <v/>
      </c>
      <c r="J75" s="6">
        <f>IF(A75="","",IFERROR(I75/B75,0))</f>
        <v/>
      </c>
      <c r="K75" s="5">
        <f>IF(A75="","",I75-B75*H75)</f>
        <v/>
      </c>
      <c r="L75" s="6">
        <f>IF(A75="","",IFERROR(K75/B75,0))</f>
        <v/>
      </c>
      <c r="M75" s="7">
        <f>IF(A75="","",IFERROR(B75/I75,0))</f>
        <v/>
      </c>
      <c r="N75" s="8">
        <f>IF(A75="","",IF(K75&lt;=0,"Drop",IF(J75&gt;=0.6,"Profit product",IF(J75&gt;=0.5,"Traffic product","Thin - rework"))))</f>
        <v/>
      </c>
    </row>
    <row r="76">
      <c r="B76" s="3" t="n"/>
      <c r="C76" s="3" t="n"/>
      <c r="D76" s="3" t="n"/>
      <c r="E76" s="4" t="n"/>
      <c r="F76" s="4" t="n"/>
      <c r="G76" s="4" t="n"/>
      <c r="H76" s="4" t="n"/>
      <c r="I76" s="5">
        <f>IF(A76="","",B76-C76-D76-B76*(E76+F76+G76))</f>
        <v/>
      </c>
      <c r="J76" s="6">
        <f>IF(A76="","",IFERROR(I76/B76,0))</f>
        <v/>
      </c>
      <c r="K76" s="5">
        <f>IF(A76="","",I76-B76*H76)</f>
        <v/>
      </c>
      <c r="L76" s="6">
        <f>IF(A76="","",IFERROR(K76/B76,0))</f>
        <v/>
      </c>
      <c r="M76" s="7">
        <f>IF(A76="","",IFERROR(B76/I76,0))</f>
        <v/>
      </c>
      <c r="N76" s="8">
        <f>IF(A76="","",IF(K76&lt;=0,"Drop",IF(J76&gt;=0.6,"Profit product",IF(J76&gt;=0.5,"Traffic product","Thin - rework"))))</f>
        <v/>
      </c>
    </row>
    <row r="77">
      <c r="B77" s="3" t="n"/>
      <c r="C77" s="3" t="n"/>
      <c r="D77" s="3" t="n"/>
      <c r="E77" s="4" t="n"/>
      <c r="F77" s="4" t="n"/>
      <c r="G77" s="4" t="n"/>
      <c r="H77" s="4" t="n"/>
      <c r="I77" s="5">
        <f>IF(A77="","",B77-C77-D77-B77*(E77+F77+G77))</f>
        <v/>
      </c>
      <c r="J77" s="6">
        <f>IF(A77="","",IFERROR(I77/B77,0))</f>
        <v/>
      </c>
      <c r="K77" s="5">
        <f>IF(A77="","",I77-B77*H77)</f>
        <v/>
      </c>
      <c r="L77" s="6">
        <f>IF(A77="","",IFERROR(K77/B77,0))</f>
        <v/>
      </c>
      <c r="M77" s="7">
        <f>IF(A77="","",IFERROR(B77/I77,0))</f>
        <v/>
      </c>
      <c r="N77" s="8">
        <f>IF(A77="","",IF(K77&lt;=0,"Drop",IF(J77&gt;=0.6,"Profit product",IF(J77&gt;=0.5,"Traffic product","Thin - rework"))))</f>
        <v/>
      </c>
    </row>
    <row r="78">
      <c r="B78" s="3" t="n"/>
      <c r="C78" s="3" t="n"/>
      <c r="D78" s="3" t="n"/>
      <c r="E78" s="4" t="n"/>
      <c r="F78" s="4" t="n"/>
      <c r="G78" s="4" t="n"/>
      <c r="H78" s="4" t="n"/>
      <c r="I78" s="5">
        <f>IF(A78="","",B78-C78-D78-B78*(E78+F78+G78))</f>
        <v/>
      </c>
      <c r="J78" s="6">
        <f>IF(A78="","",IFERROR(I78/B78,0))</f>
        <v/>
      </c>
      <c r="K78" s="5">
        <f>IF(A78="","",I78-B78*H78)</f>
        <v/>
      </c>
      <c r="L78" s="6">
        <f>IF(A78="","",IFERROR(K78/B78,0))</f>
        <v/>
      </c>
      <c r="M78" s="7">
        <f>IF(A78="","",IFERROR(B78/I78,0))</f>
        <v/>
      </c>
      <c r="N78" s="8">
        <f>IF(A78="","",IF(K78&lt;=0,"Drop",IF(J78&gt;=0.6,"Profit product",IF(J78&gt;=0.5,"Traffic product","Thin - rework"))))</f>
        <v/>
      </c>
    </row>
    <row r="79">
      <c r="B79" s="3" t="n"/>
      <c r="C79" s="3" t="n"/>
      <c r="D79" s="3" t="n"/>
      <c r="E79" s="4" t="n"/>
      <c r="F79" s="4" t="n"/>
      <c r="G79" s="4" t="n"/>
      <c r="H79" s="4" t="n"/>
      <c r="I79" s="5">
        <f>IF(A79="","",B79-C79-D79-B79*(E79+F79+G79))</f>
        <v/>
      </c>
      <c r="J79" s="6">
        <f>IF(A79="","",IFERROR(I79/B79,0))</f>
        <v/>
      </c>
      <c r="K79" s="5">
        <f>IF(A79="","",I79-B79*H79)</f>
        <v/>
      </c>
      <c r="L79" s="6">
        <f>IF(A79="","",IFERROR(K79/B79,0))</f>
        <v/>
      </c>
      <c r="M79" s="7">
        <f>IF(A79="","",IFERROR(B79/I79,0))</f>
        <v/>
      </c>
      <c r="N79" s="8">
        <f>IF(A79="","",IF(K79&lt;=0,"Drop",IF(J79&gt;=0.6,"Profit product",IF(J79&gt;=0.5,"Traffic product","Thin - rework"))))</f>
        <v/>
      </c>
    </row>
    <row r="80">
      <c r="B80" s="3" t="n"/>
      <c r="C80" s="3" t="n"/>
      <c r="D80" s="3" t="n"/>
      <c r="E80" s="4" t="n"/>
      <c r="F80" s="4" t="n"/>
      <c r="G80" s="4" t="n"/>
      <c r="H80" s="4" t="n"/>
      <c r="I80" s="5">
        <f>IF(A80="","",B80-C80-D80-B80*(E80+F80+G80))</f>
        <v/>
      </c>
      <c r="J80" s="6">
        <f>IF(A80="","",IFERROR(I80/B80,0))</f>
        <v/>
      </c>
      <c r="K80" s="5">
        <f>IF(A80="","",I80-B80*H80)</f>
        <v/>
      </c>
      <c r="L80" s="6">
        <f>IF(A80="","",IFERROR(K80/B80,0))</f>
        <v/>
      </c>
      <c r="M80" s="7">
        <f>IF(A80="","",IFERROR(B80/I80,0))</f>
        <v/>
      </c>
      <c r="N80" s="8">
        <f>IF(A80="","",IF(K80&lt;=0,"Drop",IF(J80&gt;=0.6,"Profit product",IF(J80&gt;=0.5,"Traffic product","Thin - rework"))))</f>
        <v/>
      </c>
    </row>
    <row r="81">
      <c r="B81" s="3" t="n"/>
      <c r="C81" s="3" t="n"/>
      <c r="D81" s="3" t="n"/>
      <c r="E81" s="4" t="n"/>
      <c r="F81" s="4" t="n"/>
      <c r="G81" s="4" t="n"/>
      <c r="H81" s="4" t="n"/>
      <c r="I81" s="5">
        <f>IF(A81="","",B81-C81-D81-B81*(E81+F81+G81))</f>
        <v/>
      </c>
      <c r="J81" s="6">
        <f>IF(A81="","",IFERROR(I81/B81,0))</f>
        <v/>
      </c>
      <c r="K81" s="5">
        <f>IF(A81="","",I81-B81*H81)</f>
        <v/>
      </c>
      <c r="L81" s="6">
        <f>IF(A81="","",IFERROR(K81/B81,0))</f>
        <v/>
      </c>
      <c r="M81" s="7">
        <f>IF(A81="","",IFERROR(B81/I81,0))</f>
        <v/>
      </c>
      <c r="N81" s="8">
        <f>IF(A81="","",IF(K81&lt;=0,"Drop",IF(J81&gt;=0.6,"Profit product",IF(J81&gt;=0.5,"Traffic product","Thin - rework"))))</f>
        <v/>
      </c>
    </row>
    <row r="82">
      <c r="B82" s="3" t="n"/>
      <c r="C82" s="3" t="n"/>
      <c r="D82" s="3" t="n"/>
      <c r="E82" s="4" t="n"/>
      <c r="F82" s="4" t="n"/>
      <c r="G82" s="4" t="n"/>
      <c r="H82" s="4" t="n"/>
      <c r="I82" s="5">
        <f>IF(A82="","",B82-C82-D82-B82*(E82+F82+G82))</f>
        <v/>
      </c>
      <c r="J82" s="6">
        <f>IF(A82="","",IFERROR(I82/B82,0))</f>
        <v/>
      </c>
      <c r="K82" s="5">
        <f>IF(A82="","",I82-B82*H82)</f>
        <v/>
      </c>
      <c r="L82" s="6">
        <f>IF(A82="","",IFERROR(K82/B82,0))</f>
        <v/>
      </c>
      <c r="M82" s="7">
        <f>IF(A82="","",IFERROR(B82/I82,0))</f>
        <v/>
      </c>
      <c r="N82" s="8">
        <f>IF(A82="","",IF(K82&lt;=0,"Drop",IF(J82&gt;=0.6,"Profit product",IF(J82&gt;=0.5,"Traffic product","Thin - rework"))))</f>
        <v/>
      </c>
    </row>
    <row r="83">
      <c r="B83" s="3" t="n"/>
      <c r="C83" s="3" t="n"/>
      <c r="D83" s="3" t="n"/>
      <c r="E83" s="4" t="n"/>
      <c r="F83" s="4" t="n"/>
      <c r="G83" s="4" t="n"/>
      <c r="H83" s="4" t="n"/>
      <c r="I83" s="5">
        <f>IF(A83="","",B83-C83-D83-B83*(E83+F83+G83))</f>
        <v/>
      </c>
      <c r="J83" s="6">
        <f>IF(A83="","",IFERROR(I83/B83,0))</f>
        <v/>
      </c>
      <c r="K83" s="5">
        <f>IF(A83="","",I83-B83*H83)</f>
        <v/>
      </c>
      <c r="L83" s="6">
        <f>IF(A83="","",IFERROR(K83/B83,0))</f>
        <v/>
      </c>
      <c r="M83" s="7">
        <f>IF(A83="","",IFERROR(B83/I83,0))</f>
        <v/>
      </c>
      <c r="N83" s="8">
        <f>IF(A83="","",IF(K83&lt;=0,"Drop",IF(J83&gt;=0.6,"Profit product",IF(J83&gt;=0.5,"Traffic product","Thin - rework"))))</f>
        <v/>
      </c>
    </row>
    <row r="84">
      <c r="B84" s="3" t="n"/>
      <c r="C84" s="3" t="n"/>
      <c r="D84" s="3" t="n"/>
      <c r="E84" s="4" t="n"/>
      <c r="F84" s="4" t="n"/>
      <c r="G84" s="4" t="n"/>
      <c r="H84" s="4" t="n"/>
      <c r="I84" s="5">
        <f>IF(A84="","",B84-C84-D84-B84*(E84+F84+G84))</f>
        <v/>
      </c>
      <c r="J84" s="6">
        <f>IF(A84="","",IFERROR(I84/B84,0))</f>
        <v/>
      </c>
      <c r="K84" s="5">
        <f>IF(A84="","",I84-B84*H84)</f>
        <v/>
      </c>
      <c r="L84" s="6">
        <f>IF(A84="","",IFERROR(K84/B84,0))</f>
        <v/>
      </c>
      <c r="M84" s="7">
        <f>IF(A84="","",IFERROR(B84/I84,0))</f>
        <v/>
      </c>
      <c r="N84" s="8">
        <f>IF(A84="","",IF(K84&lt;=0,"Drop",IF(J84&gt;=0.6,"Profit product",IF(J84&gt;=0.5,"Traffic product","Thin - rework"))))</f>
        <v/>
      </c>
    </row>
    <row r="85">
      <c r="B85" s="3" t="n"/>
      <c r="C85" s="3" t="n"/>
      <c r="D85" s="3" t="n"/>
      <c r="E85" s="4" t="n"/>
      <c r="F85" s="4" t="n"/>
      <c r="G85" s="4" t="n"/>
      <c r="H85" s="4" t="n"/>
      <c r="I85" s="5">
        <f>IF(A85="","",B85-C85-D85-B85*(E85+F85+G85))</f>
        <v/>
      </c>
      <c r="J85" s="6">
        <f>IF(A85="","",IFERROR(I85/B85,0))</f>
        <v/>
      </c>
      <c r="K85" s="5">
        <f>IF(A85="","",I85-B85*H85)</f>
        <v/>
      </c>
      <c r="L85" s="6">
        <f>IF(A85="","",IFERROR(K85/B85,0))</f>
        <v/>
      </c>
      <c r="M85" s="7">
        <f>IF(A85="","",IFERROR(B85/I85,0))</f>
        <v/>
      </c>
      <c r="N85" s="8">
        <f>IF(A85="","",IF(K85&lt;=0,"Drop",IF(J85&gt;=0.6,"Profit product",IF(J85&gt;=0.5,"Traffic product","Thin - rework"))))</f>
        <v/>
      </c>
    </row>
    <row r="86">
      <c r="B86" s="3" t="n"/>
      <c r="C86" s="3" t="n"/>
      <c r="D86" s="3" t="n"/>
      <c r="E86" s="4" t="n"/>
      <c r="F86" s="4" t="n"/>
      <c r="G86" s="4" t="n"/>
      <c r="H86" s="4" t="n"/>
      <c r="I86" s="5">
        <f>IF(A86="","",B86-C86-D86-B86*(E86+F86+G86))</f>
        <v/>
      </c>
      <c r="J86" s="6">
        <f>IF(A86="","",IFERROR(I86/B86,0))</f>
        <v/>
      </c>
      <c r="K86" s="5">
        <f>IF(A86="","",I86-B86*H86)</f>
        <v/>
      </c>
      <c r="L86" s="6">
        <f>IF(A86="","",IFERROR(K86/B86,0))</f>
        <v/>
      </c>
      <c r="M86" s="7">
        <f>IF(A86="","",IFERROR(B86/I86,0))</f>
        <v/>
      </c>
      <c r="N86" s="8">
        <f>IF(A86="","",IF(K86&lt;=0,"Drop",IF(J86&gt;=0.6,"Profit product",IF(J86&gt;=0.5,"Traffic product","Thin - rework"))))</f>
        <v/>
      </c>
    </row>
    <row r="87">
      <c r="B87" s="3" t="n"/>
      <c r="C87" s="3" t="n"/>
      <c r="D87" s="3" t="n"/>
      <c r="E87" s="4" t="n"/>
      <c r="F87" s="4" t="n"/>
      <c r="G87" s="4" t="n"/>
      <c r="H87" s="4" t="n"/>
      <c r="I87" s="5">
        <f>IF(A87="","",B87-C87-D87-B87*(E87+F87+G87))</f>
        <v/>
      </c>
      <c r="J87" s="6">
        <f>IF(A87="","",IFERROR(I87/B87,0))</f>
        <v/>
      </c>
      <c r="K87" s="5">
        <f>IF(A87="","",I87-B87*H87)</f>
        <v/>
      </c>
      <c r="L87" s="6">
        <f>IF(A87="","",IFERROR(K87/B87,0))</f>
        <v/>
      </c>
      <c r="M87" s="7">
        <f>IF(A87="","",IFERROR(B87/I87,0))</f>
        <v/>
      </c>
      <c r="N87" s="8">
        <f>IF(A87="","",IF(K87&lt;=0,"Drop",IF(J87&gt;=0.6,"Profit product",IF(J87&gt;=0.5,"Traffic product","Thin - rework"))))</f>
        <v/>
      </c>
    </row>
    <row r="88">
      <c r="B88" s="3" t="n"/>
      <c r="C88" s="3" t="n"/>
      <c r="D88" s="3" t="n"/>
      <c r="E88" s="4" t="n"/>
      <c r="F88" s="4" t="n"/>
      <c r="G88" s="4" t="n"/>
      <c r="H88" s="4" t="n"/>
      <c r="I88" s="5">
        <f>IF(A88="","",B88-C88-D88-B88*(E88+F88+G88))</f>
        <v/>
      </c>
      <c r="J88" s="6">
        <f>IF(A88="","",IFERROR(I88/B88,0))</f>
        <v/>
      </c>
      <c r="K88" s="5">
        <f>IF(A88="","",I88-B88*H88)</f>
        <v/>
      </c>
      <c r="L88" s="6">
        <f>IF(A88="","",IFERROR(K88/B88,0))</f>
        <v/>
      </c>
      <c r="M88" s="7">
        <f>IF(A88="","",IFERROR(B88/I88,0))</f>
        <v/>
      </c>
      <c r="N88" s="8">
        <f>IF(A88="","",IF(K88&lt;=0,"Drop",IF(J88&gt;=0.6,"Profit product",IF(J88&gt;=0.5,"Traffic product","Thin - rework"))))</f>
        <v/>
      </c>
    </row>
    <row r="89">
      <c r="B89" s="3" t="n"/>
      <c r="C89" s="3" t="n"/>
      <c r="D89" s="3" t="n"/>
      <c r="E89" s="4" t="n"/>
      <c r="F89" s="4" t="n"/>
      <c r="G89" s="4" t="n"/>
      <c r="H89" s="4" t="n"/>
      <c r="I89" s="5">
        <f>IF(A89="","",B89-C89-D89-B89*(E89+F89+G89))</f>
        <v/>
      </c>
      <c r="J89" s="6">
        <f>IF(A89="","",IFERROR(I89/B89,0))</f>
        <v/>
      </c>
      <c r="K89" s="5">
        <f>IF(A89="","",I89-B89*H89)</f>
        <v/>
      </c>
      <c r="L89" s="6">
        <f>IF(A89="","",IFERROR(K89/B89,0))</f>
        <v/>
      </c>
      <c r="M89" s="7">
        <f>IF(A89="","",IFERROR(B89/I89,0))</f>
        <v/>
      </c>
      <c r="N89" s="8">
        <f>IF(A89="","",IF(K89&lt;=0,"Drop",IF(J89&gt;=0.6,"Profit product",IF(J89&gt;=0.5,"Traffic product","Thin - rework"))))</f>
        <v/>
      </c>
    </row>
    <row r="90">
      <c r="B90" s="3" t="n"/>
      <c r="C90" s="3" t="n"/>
      <c r="D90" s="3" t="n"/>
      <c r="E90" s="4" t="n"/>
      <c r="F90" s="4" t="n"/>
      <c r="G90" s="4" t="n"/>
      <c r="H90" s="4" t="n"/>
      <c r="I90" s="5">
        <f>IF(A90="","",B90-C90-D90-B90*(E90+F90+G90))</f>
        <v/>
      </c>
      <c r="J90" s="6">
        <f>IF(A90="","",IFERROR(I90/B90,0))</f>
        <v/>
      </c>
      <c r="K90" s="5">
        <f>IF(A90="","",I90-B90*H90)</f>
        <v/>
      </c>
      <c r="L90" s="6">
        <f>IF(A90="","",IFERROR(K90/B90,0))</f>
        <v/>
      </c>
      <c r="M90" s="7">
        <f>IF(A90="","",IFERROR(B90/I90,0))</f>
        <v/>
      </c>
      <c r="N90" s="8">
        <f>IF(A90="","",IF(K90&lt;=0,"Drop",IF(J90&gt;=0.6,"Profit product",IF(J90&gt;=0.5,"Traffic product","Thin - rework"))))</f>
        <v/>
      </c>
    </row>
    <row r="91">
      <c r="B91" s="3" t="n"/>
      <c r="C91" s="3" t="n"/>
      <c r="D91" s="3" t="n"/>
      <c r="E91" s="4" t="n"/>
      <c r="F91" s="4" t="n"/>
      <c r="G91" s="4" t="n"/>
      <c r="H91" s="4" t="n"/>
      <c r="I91" s="5">
        <f>IF(A91="","",B91-C91-D91-B91*(E91+F91+G91))</f>
        <v/>
      </c>
      <c r="J91" s="6">
        <f>IF(A91="","",IFERROR(I91/B91,0))</f>
        <v/>
      </c>
      <c r="K91" s="5">
        <f>IF(A91="","",I91-B91*H91)</f>
        <v/>
      </c>
      <c r="L91" s="6">
        <f>IF(A91="","",IFERROR(K91/B91,0))</f>
        <v/>
      </c>
      <c r="M91" s="7">
        <f>IF(A91="","",IFERROR(B91/I91,0))</f>
        <v/>
      </c>
      <c r="N91" s="8">
        <f>IF(A91="","",IF(K91&lt;=0,"Drop",IF(J91&gt;=0.6,"Profit product",IF(J91&gt;=0.5,"Traffic product","Thin - rework"))))</f>
        <v/>
      </c>
    </row>
    <row r="92">
      <c r="B92" s="3" t="n"/>
      <c r="C92" s="3" t="n"/>
      <c r="D92" s="3" t="n"/>
      <c r="E92" s="4" t="n"/>
      <c r="F92" s="4" t="n"/>
      <c r="G92" s="4" t="n"/>
      <c r="H92" s="4" t="n"/>
      <c r="I92" s="5">
        <f>IF(A92="","",B92-C92-D92-B92*(E92+F92+G92))</f>
        <v/>
      </c>
      <c r="J92" s="6">
        <f>IF(A92="","",IFERROR(I92/B92,0))</f>
        <v/>
      </c>
      <c r="K92" s="5">
        <f>IF(A92="","",I92-B92*H92)</f>
        <v/>
      </c>
      <c r="L92" s="6">
        <f>IF(A92="","",IFERROR(K92/B92,0))</f>
        <v/>
      </c>
      <c r="M92" s="7">
        <f>IF(A92="","",IFERROR(B92/I92,0))</f>
        <v/>
      </c>
      <c r="N92" s="8">
        <f>IF(A92="","",IF(K92&lt;=0,"Drop",IF(J92&gt;=0.6,"Profit product",IF(J92&gt;=0.5,"Traffic product","Thin - rework"))))</f>
        <v/>
      </c>
    </row>
    <row r="93">
      <c r="B93" s="3" t="n"/>
      <c r="C93" s="3" t="n"/>
      <c r="D93" s="3" t="n"/>
      <c r="E93" s="4" t="n"/>
      <c r="F93" s="4" t="n"/>
      <c r="G93" s="4" t="n"/>
      <c r="H93" s="4" t="n"/>
      <c r="I93" s="5">
        <f>IF(A93="","",B93-C93-D93-B93*(E93+F93+G93))</f>
        <v/>
      </c>
      <c r="J93" s="6">
        <f>IF(A93="","",IFERROR(I93/B93,0))</f>
        <v/>
      </c>
      <c r="K93" s="5">
        <f>IF(A93="","",I93-B93*H93)</f>
        <v/>
      </c>
      <c r="L93" s="6">
        <f>IF(A93="","",IFERROR(K93/B93,0))</f>
        <v/>
      </c>
      <c r="M93" s="7">
        <f>IF(A93="","",IFERROR(B93/I93,0))</f>
        <v/>
      </c>
      <c r="N93" s="8">
        <f>IF(A93="","",IF(K93&lt;=0,"Drop",IF(J93&gt;=0.6,"Profit product",IF(J93&gt;=0.5,"Traffic product","Thin - rework"))))</f>
        <v/>
      </c>
    </row>
    <row r="94">
      <c r="B94" s="3" t="n"/>
      <c r="C94" s="3" t="n"/>
      <c r="D94" s="3" t="n"/>
      <c r="E94" s="4" t="n"/>
      <c r="F94" s="4" t="n"/>
      <c r="G94" s="4" t="n"/>
      <c r="H94" s="4" t="n"/>
      <c r="I94" s="5">
        <f>IF(A94="","",B94-C94-D94-B94*(E94+F94+G94))</f>
        <v/>
      </c>
      <c r="J94" s="6">
        <f>IF(A94="","",IFERROR(I94/B94,0))</f>
        <v/>
      </c>
      <c r="K94" s="5">
        <f>IF(A94="","",I94-B94*H94)</f>
        <v/>
      </c>
      <c r="L94" s="6">
        <f>IF(A94="","",IFERROR(K94/B94,0))</f>
        <v/>
      </c>
      <c r="M94" s="7">
        <f>IF(A94="","",IFERROR(B94/I94,0))</f>
        <v/>
      </c>
      <c r="N94" s="8">
        <f>IF(A94="","",IF(K94&lt;=0,"Drop",IF(J94&gt;=0.6,"Profit product",IF(J94&gt;=0.5,"Traffic product","Thin - rework"))))</f>
        <v/>
      </c>
    </row>
    <row r="95">
      <c r="B95" s="3" t="n"/>
      <c r="C95" s="3" t="n"/>
      <c r="D95" s="3" t="n"/>
      <c r="E95" s="4" t="n"/>
      <c r="F95" s="4" t="n"/>
      <c r="G95" s="4" t="n"/>
      <c r="H95" s="4" t="n"/>
      <c r="I95" s="5">
        <f>IF(A95="","",B95-C95-D95-B95*(E95+F95+G95))</f>
        <v/>
      </c>
      <c r="J95" s="6">
        <f>IF(A95="","",IFERROR(I95/B95,0))</f>
        <v/>
      </c>
      <c r="K95" s="5">
        <f>IF(A95="","",I95-B95*H95)</f>
        <v/>
      </c>
      <c r="L95" s="6">
        <f>IF(A95="","",IFERROR(K95/B95,0))</f>
        <v/>
      </c>
      <c r="M95" s="7">
        <f>IF(A95="","",IFERROR(B95/I95,0))</f>
        <v/>
      </c>
      <c r="N95" s="8">
        <f>IF(A95="","",IF(K95&lt;=0,"Drop",IF(J95&gt;=0.6,"Profit product",IF(J95&gt;=0.5,"Traffic product","Thin - rework"))))</f>
        <v/>
      </c>
    </row>
    <row r="96">
      <c r="B96" s="3" t="n"/>
      <c r="C96" s="3" t="n"/>
      <c r="D96" s="3" t="n"/>
      <c r="E96" s="4" t="n"/>
      <c r="F96" s="4" t="n"/>
      <c r="G96" s="4" t="n"/>
      <c r="H96" s="4" t="n"/>
      <c r="I96" s="5">
        <f>IF(A96="","",B96-C96-D96-B96*(E96+F96+G96))</f>
        <v/>
      </c>
      <c r="J96" s="6">
        <f>IF(A96="","",IFERROR(I96/B96,0))</f>
        <v/>
      </c>
      <c r="K96" s="5">
        <f>IF(A96="","",I96-B96*H96)</f>
        <v/>
      </c>
      <c r="L96" s="6">
        <f>IF(A96="","",IFERROR(K96/B96,0))</f>
        <v/>
      </c>
      <c r="M96" s="7">
        <f>IF(A96="","",IFERROR(B96/I96,0))</f>
        <v/>
      </c>
      <c r="N96" s="8">
        <f>IF(A96="","",IF(K96&lt;=0,"Drop",IF(J96&gt;=0.6,"Profit product",IF(J96&gt;=0.5,"Traffic product","Thin - rework"))))</f>
        <v/>
      </c>
    </row>
    <row r="97">
      <c r="B97" s="3" t="n"/>
      <c r="C97" s="3" t="n"/>
      <c r="D97" s="3" t="n"/>
      <c r="E97" s="4" t="n"/>
      <c r="F97" s="4" t="n"/>
      <c r="G97" s="4" t="n"/>
      <c r="H97" s="4" t="n"/>
      <c r="I97" s="5">
        <f>IF(A97="","",B97-C97-D97-B97*(E97+F97+G97))</f>
        <v/>
      </c>
      <c r="J97" s="6">
        <f>IF(A97="","",IFERROR(I97/B97,0))</f>
        <v/>
      </c>
      <c r="K97" s="5">
        <f>IF(A97="","",I97-B97*H97)</f>
        <v/>
      </c>
      <c r="L97" s="6">
        <f>IF(A97="","",IFERROR(K97/B97,0))</f>
        <v/>
      </c>
      <c r="M97" s="7">
        <f>IF(A97="","",IFERROR(B97/I97,0))</f>
        <v/>
      </c>
      <c r="N97" s="8">
        <f>IF(A97="","",IF(K97&lt;=0,"Drop",IF(J97&gt;=0.6,"Profit product",IF(J97&gt;=0.5,"Traffic product","Thin - rework"))))</f>
        <v/>
      </c>
    </row>
    <row r="98">
      <c r="B98" s="3" t="n"/>
      <c r="C98" s="3" t="n"/>
      <c r="D98" s="3" t="n"/>
      <c r="E98" s="4" t="n"/>
      <c r="F98" s="4" t="n"/>
      <c r="G98" s="4" t="n"/>
      <c r="H98" s="4" t="n"/>
      <c r="I98" s="5">
        <f>IF(A98="","",B98-C98-D98-B98*(E98+F98+G98))</f>
        <v/>
      </c>
      <c r="J98" s="6">
        <f>IF(A98="","",IFERROR(I98/B98,0))</f>
        <v/>
      </c>
      <c r="K98" s="5">
        <f>IF(A98="","",I98-B98*H98)</f>
        <v/>
      </c>
      <c r="L98" s="6">
        <f>IF(A98="","",IFERROR(K98/B98,0))</f>
        <v/>
      </c>
      <c r="M98" s="7">
        <f>IF(A98="","",IFERROR(B98/I98,0))</f>
        <v/>
      </c>
      <c r="N98" s="8">
        <f>IF(A98="","",IF(K98&lt;=0,"Drop",IF(J98&gt;=0.6,"Profit product",IF(J98&gt;=0.5,"Traffic product","Thin - rework"))))</f>
        <v/>
      </c>
    </row>
    <row r="99">
      <c r="B99" s="3" t="n"/>
      <c r="C99" s="3" t="n"/>
      <c r="D99" s="3" t="n"/>
      <c r="E99" s="4" t="n"/>
      <c r="F99" s="4" t="n"/>
      <c r="G99" s="4" t="n"/>
      <c r="H99" s="4" t="n"/>
      <c r="I99" s="5">
        <f>IF(A99="","",B99-C99-D99-B99*(E99+F99+G99))</f>
        <v/>
      </c>
      <c r="J99" s="6">
        <f>IF(A99="","",IFERROR(I99/B99,0))</f>
        <v/>
      </c>
      <c r="K99" s="5">
        <f>IF(A99="","",I99-B99*H99)</f>
        <v/>
      </c>
      <c r="L99" s="6">
        <f>IF(A99="","",IFERROR(K99/B99,0))</f>
        <v/>
      </c>
      <c r="M99" s="7">
        <f>IF(A99="","",IFERROR(B99/I99,0))</f>
        <v/>
      </c>
      <c r="N99" s="8">
        <f>IF(A99="","",IF(K99&lt;=0,"Drop",IF(J99&gt;=0.6,"Profit product",IF(J99&gt;=0.5,"Traffic product","Thin - rework"))))</f>
        <v/>
      </c>
    </row>
    <row r="100">
      <c r="B100" s="3" t="n"/>
      <c r="C100" s="3" t="n"/>
      <c r="D100" s="3" t="n"/>
      <c r="E100" s="4" t="n"/>
      <c r="F100" s="4" t="n"/>
      <c r="G100" s="4" t="n"/>
      <c r="H100" s="4" t="n"/>
      <c r="I100" s="5">
        <f>IF(A100="","",B100-C100-D100-B100*(E100+F100+G100))</f>
        <v/>
      </c>
      <c r="J100" s="6">
        <f>IF(A100="","",IFERROR(I100/B100,0))</f>
        <v/>
      </c>
      <c r="K100" s="5">
        <f>IF(A100="","",I100-B100*H100)</f>
        <v/>
      </c>
      <c r="L100" s="6">
        <f>IF(A100="","",IFERROR(K100/B100,0))</f>
        <v/>
      </c>
      <c r="M100" s="7">
        <f>IF(A100="","",IFERROR(B100/I100,0))</f>
        <v/>
      </c>
      <c r="N100" s="8">
        <f>IF(A100="","",IF(K100&lt;=0,"Drop",IF(J100&gt;=0.6,"Profit product",IF(J100&gt;=0.5,"Traffic product","Thin - rework"))))</f>
        <v/>
      </c>
    </row>
    <row r="101">
      <c r="B101" s="3" t="n"/>
      <c r="C101" s="3" t="n"/>
      <c r="D101" s="3" t="n"/>
      <c r="E101" s="4" t="n"/>
      <c r="F101" s="4" t="n"/>
      <c r="G101" s="4" t="n"/>
      <c r="H101" s="4" t="n"/>
      <c r="I101" s="5">
        <f>IF(A101="","",B101-C101-D101-B101*(E101+F101+G101))</f>
        <v/>
      </c>
      <c r="J101" s="6">
        <f>IF(A101="","",IFERROR(I101/B101,0))</f>
        <v/>
      </c>
      <c r="K101" s="5">
        <f>IF(A101="","",I101-B101*H101)</f>
        <v/>
      </c>
      <c r="L101" s="6">
        <f>IF(A101="","",IFERROR(K101/B101,0))</f>
        <v/>
      </c>
      <c r="M101" s="7">
        <f>IF(A101="","",IFERROR(B101/I101,0))</f>
        <v/>
      </c>
      <c r="N101" s="8">
        <f>IF(A101="","",IF(K101&lt;=0,"Drop",IF(J101&gt;=0.6,"Profit product",IF(J101&gt;=0.5,"Traffic product","Thin - rework"))))</f>
        <v/>
      </c>
    </row>
    <row r="102">
      <c r="B102" s="3" t="n"/>
      <c r="C102" s="3" t="n"/>
      <c r="D102" s="3" t="n"/>
      <c r="E102" s="4" t="n"/>
      <c r="F102" s="4" t="n"/>
      <c r="G102" s="4" t="n"/>
      <c r="H102" s="4" t="n"/>
      <c r="I102" s="5">
        <f>IF(A102="","",B102-C102-D102-B102*(E102+F102+G102))</f>
        <v/>
      </c>
      <c r="J102" s="6">
        <f>IF(A102="","",IFERROR(I102/B102,0))</f>
        <v/>
      </c>
      <c r="K102" s="5">
        <f>IF(A102="","",I102-B102*H102)</f>
        <v/>
      </c>
      <c r="L102" s="6">
        <f>IF(A102="","",IFERROR(K102/B102,0))</f>
        <v/>
      </c>
      <c r="M102" s="7">
        <f>IF(A102="","",IFERROR(B102/I102,0))</f>
        <v/>
      </c>
      <c r="N102" s="8">
        <f>IF(A102="","",IF(K102&lt;=0,"Drop",IF(J102&gt;=0.6,"Profit product",IF(J102&gt;=0.5,"Traffic product","Thin - rework"))))</f>
        <v/>
      </c>
    </row>
    <row r="103">
      <c r="B103" s="3" t="n"/>
      <c r="C103" s="3" t="n"/>
      <c r="D103" s="3" t="n"/>
      <c r="E103" s="4" t="n"/>
      <c r="F103" s="4" t="n"/>
      <c r="G103" s="4" t="n"/>
      <c r="H103" s="4" t="n"/>
      <c r="I103" s="5">
        <f>IF(A103="","",B103-C103-D103-B103*(E103+F103+G103))</f>
        <v/>
      </c>
      <c r="J103" s="6">
        <f>IF(A103="","",IFERROR(I103/B103,0))</f>
        <v/>
      </c>
      <c r="K103" s="5">
        <f>IF(A103="","",I103-B103*H103)</f>
        <v/>
      </c>
      <c r="L103" s="6">
        <f>IF(A103="","",IFERROR(K103/B103,0))</f>
        <v/>
      </c>
      <c r="M103" s="7">
        <f>IF(A103="","",IFERROR(B103/I103,0))</f>
        <v/>
      </c>
      <c r="N103" s="8">
        <f>IF(A103="","",IF(K103&lt;=0,"Drop",IF(J103&gt;=0.6,"Profit product",IF(J103&gt;=0.5,"Traffic product","Thin - rework"))))</f>
        <v/>
      </c>
    </row>
    <row r="104">
      <c r="B104" s="3" t="n"/>
      <c r="C104" s="3" t="n"/>
      <c r="D104" s="3" t="n"/>
      <c r="E104" s="4" t="n"/>
      <c r="F104" s="4" t="n"/>
      <c r="G104" s="4" t="n"/>
      <c r="H104" s="4" t="n"/>
      <c r="I104" s="5">
        <f>IF(A104="","",B104-C104-D104-B104*(E104+F104+G104))</f>
        <v/>
      </c>
      <c r="J104" s="6">
        <f>IF(A104="","",IFERROR(I104/B104,0))</f>
        <v/>
      </c>
      <c r="K104" s="5">
        <f>IF(A104="","",I104-B104*H104)</f>
        <v/>
      </c>
      <c r="L104" s="6">
        <f>IF(A104="","",IFERROR(K104/B104,0))</f>
        <v/>
      </c>
      <c r="M104" s="7">
        <f>IF(A104="","",IFERROR(B104/I104,0))</f>
        <v/>
      </c>
      <c r="N104" s="8">
        <f>IF(A104="","",IF(K104&lt;=0,"Drop",IF(J104&gt;=0.6,"Profit product",IF(J104&gt;=0.5,"Traffic product","Thin - rework"))))</f>
        <v/>
      </c>
    </row>
    <row r="105">
      <c r="B105" s="3" t="n"/>
      <c r="C105" s="3" t="n"/>
      <c r="D105" s="3" t="n"/>
      <c r="E105" s="4" t="n"/>
      <c r="F105" s="4" t="n"/>
      <c r="G105" s="4" t="n"/>
      <c r="H105" s="4" t="n"/>
      <c r="I105" s="5">
        <f>IF(A105="","",B105-C105-D105-B105*(E105+F105+G105))</f>
        <v/>
      </c>
      <c r="J105" s="6">
        <f>IF(A105="","",IFERROR(I105/B105,0))</f>
        <v/>
      </c>
      <c r="K105" s="5">
        <f>IF(A105="","",I105-B105*H105)</f>
        <v/>
      </c>
      <c r="L105" s="6">
        <f>IF(A105="","",IFERROR(K105/B105,0))</f>
        <v/>
      </c>
      <c r="M105" s="7">
        <f>IF(A105="","",IFERROR(B105/I105,0))</f>
        <v/>
      </c>
      <c r="N105" s="8">
        <f>IF(A105="","",IF(K105&lt;=0,"Drop",IF(J105&gt;=0.6,"Profit product",IF(J105&gt;=0.5,"Traffic product","Thin - rework"))))</f>
        <v/>
      </c>
    </row>
    <row r="106">
      <c r="B106" s="3" t="n"/>
      <c r="C106" s="3" t="n"/>
      <c r="D106" s="3" t="n"/>
      <c r="E106" s="4" t="n"/>
      <c r="F106" s="4" t="n"/>
      <c r="G106" s="4" t="n"/>
      <c r="H106" s="4" t="n"/>
      <c r="I106" s="5">
        <f>IF(A106="","",B106-C106-D106-B106*(E106+F106+G106))</f>
        <v/>
      </c>
      <c r="J106" s="6">
        <f>IF(A106="","",IFERROR(I106/B106,0))</f>
        <v/>
      </c>
      <c r="K106" s="5">
        <f>IF(A106="","",I106-B106*H106)</f>
        <v/>
      </c>
      <c r="L106" s="6">
        <f>IF(A106="","",IFERROR(K106/B106,0))</f>
        <v/>
      </c>
      <c r="M106" s="7">
        <f>IF(A106="","",IFERROR(B106/I106,0))</f>
        <v/>
      </c>
      <c r="N106" s="8">
        <f>IF(A106="","",IF(K106&lt;=0,"Drop",IF(J106&gt;=0.6,"Profit product",IF(J106&gt;=0.5,"Traffic product","Thin - rework"))))</f>
        <v/>
      </c>
    </row>
    <row r="107">
      <c r="B107" s="3" t="n"/>
      <c r="C107" s="3" t="n"/>
      <c r="D107" s="3" t="n"/>
      <c r="E107" s="4" t="n"/>
      <c r="F107" s="4" t="n"/>
      <c r="G107" s="4" t="n"/>
      <c r="H107" s="4" t="n"/>
      <c r="I107" s="5">
        <f>IF(A107="","",B107-C107-D107-B107*(E107+F107+G107))</f>
        <v/>
      </c>
      <c r="J107" s="6">
        <f>IF(A107="","",IFERROR(I107/B107,0))</f>
        <v/>
      </c>
      <c r="K107" s="5">
        <f>IF(A107="","",I107-B107*H107)</f>
        <v/>
      </c>
      <c r="L107" s="6">
        <f>IF(A107="","",IFERROR(K107/B107,0))</f>
        <v/>
      </c>
      <c r="M107" s="7">
        <f>IF(A107="","",IFERROR(B107/I107,0))</f>
        <v/>
      </c>
      <c r="N107" s="8">
        <f>IF(A107="","",IF(K107&lt;=0,"Drop",IF(J107&gt;=0.6,"Profit product",IF(J107&gt;=0.5,"Traffic product","Thin - rework"))))</f>
        <v/>
      </c>
    </row>
    <row r="108">
      <c r="B108" s="3" t="n"/>
      <c r="C108" s="3" t="n"/>
      <c r="D108" s="3" t="n"/>
      <c r="E108" s="4" t="n"/>
      <c r="F108" s="4" t="n"/>
      <c r="G108" s="4" t="n"/>
      <c r="H108" s="4" t="n"/>
      <c r="I108" s="5">
        <f>IF(A108="","",B108-C108-D108-B108*(E108+F108+G108))</f>
        <v/>
      </c>
      <c r="J108" s="6">
        <f>IF(A108="","",IFERROR(I108/B108,0))</f>
        <v/>
      </c>
      <c r="K108" s="5">
        <f>IF(A108="","",I108-B108*H108)</f>
        <v/>
      </c>
      <c r="L108" s="6">
        <f>IF(A108="","",IFERROR(K108/B108,0))</f>
        <v/>
      </c>
      <c r="M108" s="7">
        <f>IF(A108="","",IFERROR(B108/I108,0))</f>
        <v/>
      </c>
      <c r="N108" s="8">
        <f>IF(A108="","",IF(K108&lt;=0,"Drop",IF(J108&gt;=0.6,"Profit product",IF(J108&gt;=0.5,"Traffic product","Thin - rework"))))</f>
        <v/>
      </c>
    </row>
    <row r="109">
      <c r="B109" s="3" t="n"/>
      <c r="C109" s="3" t="n"/>
      <c r="D109" s="3" t="n"/>
      <c r="E109" s="4" t="n"/>
      <c r="F109" s="4" t="n"/>
      <c r="G109" s="4" t="n"/>
      <c r="H109" s="4" t="n"/>
      <c r="I109" s="5">
        <f>IF(A109="","",B109-C109-D109-B109*(E109+F109+G109))</f>
        <v/>
      </c>
      <c r="J109" s="6">
        <f>IF(A109="","",IFERROR(I109/B109,0))</f>
        <v/>
      </c>
      <c r="K109" s="5">
        <f>IF(A109="","",I109-B109*H109)</f>
        <v/>
      </c>
      <c r="L109" s="6">
        <f>IF(A109="","",IFERROR(K109/B109,0))</f>
        <v/>
      </c>
      <c r="M109" s="7">
        <f>IF(A109="","",IFERROR(B109/I109,0))</f>
        <v/>
      </c>
      <c r="N109" s="8">
        <f>IF(A109="","",IF(K109&lt;=0,"Drop",IF(J109&gt;=0.6,"Profit product",IF(J109&gt;=0.5,"Traffic product","Thin - rework"))))</f>
        <v/>
      </c>
    </row>
    <row r="110">
      <c r="B110" s="3" t="n"/>
      <c r="C110" s="3" t="n"/>
      <c r="D110" s="3" t="n"/>
      <c r="E110" s="4" t="n"/>
      <c r="F110" s="4" t="n"/>
      <c r="G110" s="4" t="n"/>
      <c r="H110" s="4" t="n"/>
      <c r="I110" s="5">
        <f>IF(A110="","",B110-C110-D110-B110*(E110+F110+G110))</f>
        <v/>
      </c>
      <c r="J110" s="6">
        <f>IF(A110="","",IFERROR(I110/B110,0))</f>
        <v/>
      </c>
      <c r="K110" s="5">
        <f>IF(A110="","",I110-B110*H110)</f>
        <v/>
      </c>
      <c r="L110" s="6">
        <f>IF(A110="","",IFERROR(K110/B110,0))</f>
        <v/>
      </c>
      <c r="M110" s="7">
        <f>IF(A110="","",IFERROR(B110/I110,0))</f>
        <v/>
      </c>
      <c r="N110" s="8">
        <f>IF(A110="","",IF(K110&lt;=0,"Drop",IF(J110&gt;=0.6,"Profit product",IF(J110&gt;=0.5,"Traffic product","Thin - rework"))))</f>
        <v/>
      </c>
    </row>
    <row r="111">
      <c r="B111" s="3" t="n"/>
      <c r="C111" s="3" t="n"/>
      <c r="D111" s="3" t="n"/>
      <c r="E111" s="4" t="n"/>
      <c r="F111" s="4" t="n"/>
      <c r="G111" s="4" t="n"/>
      <c r="H111" s="4" t="n"/>
      <c r="I111" s="5">
        <f>IF(A111="","",B111-C111-D111-B111*(E111+F111+G111))</f>
        <v/>
      </c>
      <c r="J111" s="6">
        <f>IF(A111="","",IFERROR(I111/B111,0))</f>
        <v/>
      </c>
      <c r="K111" s="5">
        <f>IF(A111="","",I111-B111*H111)</f>
        <v/>
      </c>
      <c r="L111" s="6">
        <f>IF(A111="","",IFERROR(K111/B111,0))</f>
        <v/>
      </c>
      <c r="M111" s="7">
        <f>IF(A111="","",IFERROR(B111/I111,0))</f>
        <v/>
      </c>
      <c r="N111" s="8">
        <f>IF(A111="","",IF(K111&lt;=0,"Drop",IF(J111&gt;=0.6,"Profit product",IF(J111&gt;=0.5,"Traffic product","Thin - rework"))))</f>
        <v/>
      </c>
    </row>
    <row r="112">
      <c r="B112" s="3" t="n"/>
      <c r="C112" s="3" t="n"/>
      <c r="D112" s="3" t="n"/>
      <c r="E112" s="4" t="n"/>
      <c r="F112" s="4" t="n"/>
      <c r="G112" s="4" t="n"/>
      <c r="H112" s="4" t="n"/>
      <c r="I112" s="5">
        <f>IF(A112="","",B112-C112-D112-B112*(E112+F112+G112))</f>
        <v/>
      </c>
      <c r="J112" s="6">
        <f>IF(A112="","",IFERROR(I112/B112,0))</f>
        <v/>
      </c>
      <c r="K112" s="5">
        <f>IF(A112="","",I112-B112*H112)</f>
        <v/>
      </c>
      <c r="L112" s="6">
        <f>IF(A112="","",IFERROR(K112/B112,0))</f>
        <v/>
      </c>
      <c r="M112" s="7">
        <f>IF(A112="","",IFERROR(B112/I112,0))</f>
        <v/>
      </c>
      <c r="N112" s="8">
        <f>IF(A112="","",IF(K112&lt;=0,"Drop",IF(J112&gt;=0.6,"Profit product",IF(J112&gt;=0.5,"Traffic product","Thin - rework"))))</f>
        <v/>
      </c>
    </row>
    <row r="113">
      <c r="B113" s="3" t="n"/>
      <c r="C113" s="3" t="n"/>
      <c r="D113" s="3" t="n"/>
      <c r="E113" s="4" t="n"/>
      <c r="F113" s="4" t="n"/>
      <c r="G113" s="4" t="n"/>
      <c r="H113" s="4" t="n"/>
      <c r="I113" s="5">
        <f>IF(A113="","",B113-C113-D113-B113*(E113+F113+G113))</f>
        <v/>
      </c>
      <c r="J113" s="6">
        <f>IF(A113="","",IFERROR(I113/B113,0))</f>
        <v/>
      </c>
      <c r="K113" s="5">
        <f>IF(A113="","",I113-B113*H113)</f>
        <v/>
      </c>
      <c r="L113" s="6">
        <f>IF(A113="","",IFERROR(K113/B113,0))</f>
        <v/>
      </c>
      <c r="M113" s="7">
        <f>IF(A113="","",IFERROR(B113/I113,0))</f>
        <v/>
      </c>
      <c r="N113" s="8">
        <f>IF(A113="","",IF(K113&lt;=0,"Drop",IF(J113&gt;=0.6,"Profit product",IF(J113&gt;=0.5,"Traffic product","Thin - rework"))))</f>
        <v/>
      </c>
    </row>
    <row r="114">
      <c r="B114" s="3" t="n"/>
      <c r="C114" s="3" t="n"/>
      <c r="D114" s="3" t="n"/>
      <c r="E114" s="4" t="n"/>
      <c r="F114" s="4" t="n"/>
      <c r="G114" s="4" t="n"/>
      <c r="H114" s="4" t="n"/>
      <c r="I114" s="5">
        <f>IF(A114="","",B114-C114-D114-B114*(E114+F114+G114))</f>
        <v/>
      </c>
      <c r="J114" s="6">
        <f>IF(A114="","",IFERROR(I114/B114,0))</f>
        <v/>
      </c>
      <c r="K114" s="5">
        <f>IF(A114="","",I114-B114*H114)</f>
        <v/>
      </c>
      <c r="L114" s="6">
        <f>IF(A114="","",IFERROR(K114/B114,0))</f>
        <v/>
      </c>
      <c r="M114" s="7">
        <f>IF(A114="","",IFERROR(B114/I114,0))</f>
        <v/>
      </c>
      <c r="N114" s="8">
        <f>IF(A114="","",IF(K114&lt;=0,"Drop",IF(J114&gt;=0.6,"Profit product",IF(J114&gt;=0.5,"Traffic product","Thin - rework"))))</f>
        <v/>
      </c>
    </row>
    <row r="115">
      <c r="B115" s="3" t="n"/>
      <c r="C115" s="3" t="n"/>
      <c r="D115" s="3" t="n"/>
      <c r="E115" s="4" t="n"/>
      <c r="F115" s="4" t="n"/>
      <c r="G115" s="4" t="n"/>
      <c r="H115" s="4" t="n"/>
      <c r="I115" s="5">
        <f>IF(A115="","",B115-C115-D115-B115*(E115+F115+G115))</f>
        <v/>
      </c>
      <c r="J115" s="6">
        <f>IF(A115="","",IFERROR(I115/B115,0))</f>
        <v/>
      </c>
      <c r="K115" s="5">
        <f>IF(A115="","",I115-B115*H115)</f>
        <v/>
      </c>
      <c r="L115" s="6">
        <f>IF(A115="","",IFERROR(K115/B115,0))</f>
        <v/>
      </c>
      <c r="M115" s="7">
        <f>IF(A115="","",IFERROR(B115/I115,0))</f>
        <v/>
      </c>
      <c r="N115" s="8">
        <f>IF(A115="","",IF(K115&lt;=0,"Drop",IF(J115&gt;=0.6,"Profit product",IF(J115&gt;=0.5,"Traffic product","Thin - rework"))))</f>
        <v/>
      </c>
    </row>
    <row r="116">
      <c r="B116" s="3" t="n"/>
      <c r="C116" s="3" t="n"/>
      <c r="D116" s="3" t="n"/>
      <c r="E116" s="4" t="n"/>
      <c r="F116" s="4" t="n"/>
      <c r="G116" s="4" t="n"/>
      <c r="H116" s="4" t="n"/>
      <c r="I116" s="5">
        <f>IF(A116="","",B116-C116-D116-B116*(E116+F116+G116))</f>
        <v/>
      </c>
      <c r="J116" s="6">
        <f>IF(A116="","",IFERROR(I116/B116,0))</f>
        <v/>
      </c>
      <c r="K116" s="5">
        <f>IF(A116="","",I116-B116*H116)</f>
        <v/>
      </c>
      <c r="L116" s="6">
        <f>IF(A116="","",IFERROR(K116/B116,0))</f>
        <v/>
      </c>
      <c r="M116" s="7">
        <f>IF(A116="","",IFERROR(B116/I116,0))</f>
        <v/>
      </c>
      <c r="N116" s="8">
        <f>IF(A116="","",IF(K116&lt;=0,"Drop",IF(J116&gt;=0.6,"Profit product",IF(J116&gt;=0.5,"Traffic product","Thin - rework"))))</f>
        <v/>
      </c>
    </row>
    <row r="117">
      <c r="B117" s="3" t="n"/>
      <c r="C117" s="3" t="n"/>
      <c r="D117" s="3" t="n"/>
      <c r="E117" s="4" t="n"/>
      <c r="F117" s="4" t="n"/>
      <c r="G117" s="4" t="n"/>
      <c r="H117" s="4" t="n"/>
      <c r="I117" s="5">
        <f>IF(A117="","",B117-C117-D117-B117*(E117+F117+G117))</f>
        <v/>
      </c>
      <c r="J117" s="6">
        <f>IF(A117="","",IFERROR(I117/B117,0))</f>
        <v/>
      </c>
      <c r="K117" s="5">
        <f>IF(A117="","",I117-B117*H117)</f>
        <v/>
      </c>
      <c r="L117" s="6">
        <f>IF(A117="","",IFERROR(K117/B117,0))</f>
        <v/>
      </c>
      <c r="M117" s="7">
        <f>IF(A117="","",IFERROR(B117/I117,0))</f>
        <v/>
      </c>
      <c r="N117" s="8">
        <f>IF(A117="","",IF(K117&lt;=0,"Drop",IF(J117&gt;=0.6,"Profit product",IF(J117&gt;=0.5,"Traffic product","Thin - rework"))))</f>
        <v/>
      </c>
    </row>
    <row r="118">
      <c r="B118" s="3" t="n"/>
      <c r="C118" s="3" t="n"/>
      <c r="D118" s="3" t="n"/>
      <c r="E118" s="4" t="n"/>
      <c r="F118" s="4" t="n"/>
      <c r="G118" s="4" t="n"/>
      <c r="H118" s="4" t="n"/>
      <c r="I118" s="5">
        <f>IF(A118="","",B118-C118-D118-B118*(E118+F118+G118))</f>
        <v/>
      </c>
      <c r="J118" s="6">
        <f>IF(A118="","",IFERROR(I118/B118,0))</f>
        <v/>
      </c>
      <c r="K118" s="5">
        <f>IF(A118="","",I118-B118*H118)</f>
        <v/>
      </c>
      <c r="L118" s="6">
        <f>IF(A118="","",IFERROR(K118/B118,0))</f>
        <v/>
      </c>
      <c r="M118" s="7">
        <f>IF(A118="","",IFERROR(B118/I118,0))</f>
        <v/>
      </c>
      <c r="N118" s="8">
        <f>IF(A118="","",IF(K118&lt;=0,"Drop",IF(J118&gt;=0.6,"Profit product",IF(J118&gt;=0.5,"Traffic product","Thin - rework"))))</f>
        <v/>
      </c>
    </row>
    <row r="119">
      <c r="B119" s="3" t="n"/>
      <c r="C119" s="3" t="n"/>
      <c r="D119" s="3" t="n"/>
      <c r="E119" s="4" t="n"/>
      <c r="F119" s="4" t="n"/>
      <c r="G119" s="4" t="n"/>
      <c r="H119" s="4" t="n"/>
      <c r="I119" s="5">
        <f>IF(A119="","",B119-C119-D119-B119*(E119+F119+G119))</f>
        <v/>
      </c>
      <c r="J119" s="6">
        <f>IF(A119="","",IFERROR(I119/B119,0))</f>
        <v/>
      </c>
      <c r="K119" s="5">
        <f>IF(A119="","",I119-B119*H119)</f>
        <v/>
      </c>
      <c r="L119" s="6">
        <f>IF(A119="","",IFERROR(K119/B119,0))</f>
        <v/>
      </c>
      <c r="M119" s="7">
        <f>IF(A119="","",IFERROR(B119/I119,0))</f>
        <v/>
      </c>
      <c r="N119" s="8">
        <f>IF(A119="","",IF(K119&lt;=0,"Drop",IF(J119&gt;=0.6,"Profit product",IF(J119&gt;=0.5,"Traffic product","Thin - rework"))))</f>
        <v/>
      </c>
    </row>
    <row r="120">
      <c r="B120" s="3" t="n"/>
      <c r="C120" s="3" t="n"/>
      <c r="D120" s="3" t="n"/>
      <c r="E120" s="4" t="n"/>
      <c r="F120" s="4" t="n"/>
      <c r="G120" s="4" t="n"/>
      <c r="H120" s="4" t="n"/>
      <c r="I120" s="5">
        <f>IF(A120="","",B120-C120-D120-B120*(E120+F120+G120))</f>
        <v/>
      </c>
      <c r="J120" s="6">
        <f>IF(A120="","",IFERROR(I120/B120,0))</f>
        <v/>
      </c>
      <c r="K120" s="5">
        <f>IF(A120="","",I120-B120*H120)</f>
        <v/>
      </c>
      <c r="L120" s="6">
        <f>IF(A120="","",IFERROR(K120/B120,0))</f>
        <v/>
      </c>
      <c r="M120" s="7">
        <f>IF(A120="","",IFERROR(B120/I120,0))</f>
        <v/>
      </c>
      <c r="N120" s="8">
        <f>IF(A120="","",IF(K120&lt;=0,"Drop",IF(J120&gt;=0.6,"Profit product",IF(J120&gt;=0.5,"Traffic product","Thin - rework"))))</f>
        <v/>
      </c>
    </row>
    <row r="121">
      <c r="B121" s="3" t="n"/>
      <c r="C121" s="3" t="n"/>
      <c r="D121" s="3" t="n"/>
      <c r="E121" s="4" t="n"/>
      <c r="F121" s="4" t="n"/>
      <c r="G121" s="4" t="n"/>
      <c r="H121" s="4" t="n"/>
      <c r="I121" s="5">
        <f>IF(A121="","",B121-C121-D121-B121*(E121+F121+G121))</f>
        <v/>
      </c>
      <c r="J121" s="6">
        <f>IF(A121="","",IFERROR(I121/B121,0))</f>
        <v/>
      </c>
      <c r="K121" s="5">
        <f>IF(A121="","",I121-B121*H121)</f>
        <v/>
      </c>
      <c r="L121" s="6">
        <f>IF(A121="","",IFERROR(K121/B121,0))</f>
        <v/>
      </c>
      <c r="M121" s="7">
        <f>IF(A121="","",IFERROR(B121/I121,0))</f>
        <v/>
      </c>
      <c r="N121" s="8">
        <f>IF(A121="","",IF(K121&lt;=0,"Drop",IF(J121&gt;=0.6,"Profit product",IF(J121&gt;=0.5,"Traffic product","Thin - rework"))))</f>
        <v/>
      </c>
    </row>
    <row r="122">
      <c r="B122" s="3" t="n"/>
      <c r="C122" s="3" t="n"/>
      <c r="D122" s="3" t="n"/>
      <c r="E122" s="4" t="n"/>
      <c r="F122" s="4" t="n"/>
      <c r="G122" s="4" t="n"/>
      <c r="H122" s="4" t="n"/>
      <c r="I122" s="5">
        <f>IF(A122="","",B122-C122-D122-B122*(E122+F122+G122))</f>
        <v/>
      </c>
      <c r="J122" s="6">
        <f>IF(A122="","",IFERROR(I122/B122,0))</f>
        <v/>
      </c>
      <c r="K122" s="5">
        <f>IF(A122="","",I122-B122*H122)</f>
        <v/>
      </c>
      <c r="L122" s="6">
        <f>IF(A122="","",IFERROR(K122/B122,0))</f>
        <v/>
      </c>
      <c r="M122" s="7">
        <f>IF(A122="","",IFERROR(B122/I122,0))</f>
        <v/>
      </c>
      <c r="N122" s="8">
        <f>IF(A122="","",IF(K122&lt;=0,"Drop",IF(J122&gt;=0.6,"Profit product",IF(J122&gt;=0.5,"Traffic product","Thin - rework"))))</f>
        <v/>
      </c>
    </row>
    <row r="123">
      <c r="B123" s="3" t="n"/>
      <c r="C123" s="3" t="n"/>
      <c r="D123" s="3" t="n"/>
      <c r="E123" s="4" t="n"/>
      <c r="F123" s="4" t="n"/>
      <c r="G123" s="4" t="n"/>
      <c r="H123" s="4" t="n"/>
      <c r="I123" s="5">
        <f>IF(A123="","",B123-C123-D123-B123*(E123+F123+G123))</f>
        <v/>
      </c>
      <c r="J123" s="6">
        <f>IF(A123="","",IFERROR(I123/B123,0))</f>
        <v/>
      </c>
      <c r="K123" s="5">
        <f>IF(A123="","",I123-B123*H123)</f>
        <v/>
      </c>
      <c r="L123" s="6">
        <f>IF(A123="","",IFERROR(K123/B123,0))</f>
        <v/>
      </c>
      <c r="M123" s="7">
        <f>IF(A123="","",IFERROR(B123/I123,0))</f>
        <v/>
      </c>
      <c r="N123" s="8">
        <f>IF(A123="","",IF(K123&lt;=0,"Drop",IF(J123&gt;=0.6,"Profit product",IF(J123&gt;=0.5,"Traffic product","Thin - rework"))))</f>
        <v/>
      </c>
    </row>
    <row r="124">
      <c r="B124" s="3" t="n"/>
      <c r="C124" s="3" t="n"/>
      <c r="D124" s="3" t="n"/>
      <c r="E124" s="4" t="n"/>
      <c r="F124" s="4" t="n"/>
      <c r="G124" s="4" t="n"/>
      <c r="H124" s="4" t="n"/>
      <c r="I124" s="5">
        <f>IF(A124="","",B124-C124-D124-B124*(E124+F124+G124))</f>
        <v/>
      </c>
      <c r="J124" s="6">
        <f>IF(A124="","",IFERROR(I124/B124,0))</f>
        <v/>
      </c>
      <c r="K124" s="5">
        <f>IF(A124="","",I124-B124*H124)</f>
        <v/>
      </c>
      <c r="L124" s="6">
        <f>IF(A124="","",IFERROR(K124/B124,0))</f>
        <v/>
      </c>
      <c r="M124" s="7">
        <f>IF(A124="","",IFERROR(B124/I124,0))</f>
        <v/>
      </c>
      <c r="N124" s="8">
        <f>IF(A124="","",IF(K124&lt;=0,"Drop",IF(J124&gt;=0.6,"Profit product",IF(J124&gt;=0.5,"Traffic product","Thin - rework"))))</f>
        <v/>
      </c>
    </row>
    <row r="125">
      <c r="B125" s="3" t="n"/>
      <c r="C125" s="3" t="n"/>
      <c r="D125" s="3" t="n"/>
      <c r="E125" s="4" t="n"/>
      <c r="F125" s="4" t="n"/>
      <c r="G125" s="4" t="n"/>
      <c r="H125" s="4" t="n"/>
      <c r="I125" s="5">
        <f>IF(A125="","",B125-C125-D125-B125*(E125+F125+G125))</f>
        <v/>
      </c>
      <c r="J125" s="6">
        <f>IF(A125="","",IFERROR(I125/B125,0))</f>
        <v/>
      </c>
      <c r="K125" s="5">
        <f>IF(A125="","",I125-B125*H125)</f>
        <v/>
      </c>
      <c r="L125" s="6">
        <f>IF(A125="","",IFERROR(K125/B125,0))</f>
        <v/>
      </c>
      <c r="M125" s="7">
        <f>IF(A125="","",IFERROR(B125/I125,0))</f>
        <v/>
      </c>
      <c r="N125" s="8">
        <f>IF(A125="","",IF(K125&lt;=0,"Drop",IF(J125&gt;=0.6,"Profit product",IF(J125&gt;=0.5,"Traffic product","Thin - rework"))))</f>
        <v/>
      </c>
    </row>
    <row r="126">
      <c r="B126" s="3" t="n"/>
      <c r="C126" s="3" t="n"/>
      <c r="D126" s="3" t="n"/>
      <c r="E126" s="4" t="n"/>
      <c r="F126" s="4" t="n"/>
      <c r="G126" s="4" t="n"/>
      <c r="H126" s="4" t="n"/>
      <c r="I126" s="5">
        <f>IF(A126="","",B126-C126-D126-B126*(E126+F126+G126))</f>
        <v/>
      </c>
      <c r="J126" s="6">
        <f>IF(A126="","",IFERROR(I126/B126,0))</f>
        <v/>
      </c>
      <c r="K126" s="5">
        <f>IF(A126="","",I126-B126*H126)</f>
        <v/>
      </c>
      <c r="L126" s="6">
        <f>IF(A126="","",IFERROR(K126/B126,0))</f>
        <v/>
      </c>
      <c r="M126" s="7">
        <f>IF(A126="","",IFERROR(B126/I126,0))</f>
        <v/>
      </c>
      <c r="N126" s="8">
        <f>IF(A126="","",IF(K126&lt;=0,"Drop",IF(J126&gt;=0.6,"Profit product",IF(J126&gt;=0.5,"Traffic product","Thin - rework"))))</f>
        <v/>
      </c>
    </row>
    <row r="127">
      <c r="B127" s="3" t="n"/>
      <c r="C127" s="3" t="n"/>
      <c r="D127" s="3" t="n"/>
      <c r="E127" s="4" t="n"/>
      <c r="F127" s="4" t="n"/>
      <c r="G127" s="4" t="n"/>
      <c r="H127" s="4" t="n"/>
      <c r="I127" s="5">
        <f>IF(A127="","",B127-C127-D127-B127*(E127+F127+G127))</f>
        <v/>
      </c>
      <c r="J127" s="6">
        <f>IF(A127="","",IFERROR(I127/B127,0))</f>
        <v/>
      </c>
      <c r="K127" s="5">
        <f>IF(A127="","",I127-B127*H127)</f>
        <v/>
      </c>
      <c r="L127" s="6">
        <f>IF(A127="","",IFERROR(K127/B127,0))</f>
        <v/>
      </c>
      <c r="M127" s="7">
        <f>IF(A127="","",IFERROR(B127/I127,0))</f>
        <v/>
      </c>
      <c r="N127" s="8">
        <f>IF(A127="","",IF(K127&lt;=0,"Drop",IF(J127&gt;=0.6,"Profit product",IF(J127&gt;=0.5,"Traffic product","Thin - rework"))))</f>
        <v/>
      </c>
    </row>
    <row r="128">
      <c r="B128" s="3" t="n"/>
      <c r="C128" s="3" t="n"/>
      <c r="D128" s="3" t="n"/>
      <c r="E128" s="4" t="n"/>
      <c r="F128" s="4" t="n"/>
      <c r="G128" s="4" t="n"/>
      <c r="H128" s="4" t="n"/>
      <c r="I128" s="5">
        <f>IF(A128="","",B128-C128-D128-B128*(E128+F128+G128))</f>
        <v/>
      </c>
      <c r="J128" s="6">
        <f>IF(A128="","",IFERROR(I128/B128,0))</f>
        <v/>
      </c>
      <c r="K128" s="5">
        <f>IF(A128="","",I128-B128*H128)</f>
        <v/>
      </c>
      <c r="L128" s="6">
        <f>IF(A128="","",IFERROR(K128/B128,0))</f>
        <v/>
      </c>
      <c r="M128" s="7">
        <f>IF(A128="","",IFERROR(B128/I128,0))</f>
        <v/>
      </c>
      <c r="N128" s="8">
        <f>IF(A128="","",IF(K128&lt;=0,"Drop",IF(J128&gt;=0.6,"Profit product",IF(J128&gt;=0.5,"Traffic product","Thin - rework"))))</f>
        <v/>
      </c>
    </row>
    <row r="129">
      <c r="B129" s="3" t="n"/>
      <c r="C129" s="3" t="n"/>
      <c r="D129" s="3" t="n"/>
      <c r="E129" s="4" t="n"/>
      <c r="F129" s="4" t="n"/>
      <c r="G129" s="4" t="n"/>
      <c r="H129" s="4" t="n"/>
      <c r="I129" s="5">
        <f>IF(A129="","",B129-C129-D129-B129*(E129+F129+G129))</f>
        <v/>
      </c>
      <c r="J129" s="6">
        <f>IF(A129="","",IFERROR(I129/B129,0))</f>
        <v/>
      </c>
      <c r="K129" s="5">
        <f>IF(A129="","",I129-B129*H129)</f>
        <v/>
      </c>
      <c r="L129" s="6">
        <f>IF(A129="","",IFERROR(K129/B129,0))</f>
        <v/>
      </c>
      <c r="M129" s="7">
        <f>IF(A129="","",IFERROR(B129/I129,0))</f>
        <v/>
      </c>
      <c r="N129" s="8">
        <f>IF(A129="","",IF(K129&lt;=0,"Drop",IF(J129&gt;=0.6,"Profit product",IF(J129&gt;=0.5,"Traffic product","Thin - rework"))))</f>
        <v/>
      </c>
    </row>
    <row r="130">
      <c r="B130" s="3" t="n"/>
      <c r="C130" s="3" t="n"/>
      <c r="D130" s="3" t="n"/>
      <c r="E130" s="4" t="n"/>
      <c r="F130" s="4" t="n"/>
      <c r="G130" s="4" t="n"/>
      <c r="H130" s="4" t="n"/>
      <c r="I130" s="5">
        <f>IF(A130="","",B130-C130-D130-B130*(E130+F130+G130))</f>
        <v/>
      </c>
      <c r="J130" s="6">
        <f>IF(A130="","",IFERROR(I130/B130,0))</f>
        <v/>
      </c>
      <c r="K130" s="5">
        <f>IF(A130="","",I130-B130*H130)</f>
        <v/>
      </c>
      <c r="L130" s="6">
        <f>IF(A130="","",IFERROR(K130/B130,0))</f>
        <v/>
      </c>
      <c r="M130" s="7">
        <f>IF(A130="","",IFERROR(B130/I130,0))</f>
        <v/>
      </c>
      <c r="N130" s="8">
        <f>IF(A130="","",IF(K130&lt;=0,"Drop",IF(J130&gt;=0.6,"Profit product",IF(J130&gt;=0.5,"Traffic product","Thin - rework"))))</f>
        <v/>
      </c>
    </row>
    <row r="131">
      <c r="B131" s="3" t="n"/>
      <c r="C131" s="3" t="n"/>
      <c r="D131" s="3" t="n"/>
      <c r="E131" s="4" t="n"/>
      <c r="F131" s="4" t="n"/>
      <c r="G131" s="4" t="n"/>
      <c r="H131" s="4" t="n"/>
      <c r="I131" s="5">
        <f>IF(A131="","",B131-C131-D131-B131*(E131+F131+G131))</f>
        <v/>
      </c>
      <c r="J131" s="6">
        <f>IF(A131="","",IFERROR(I131/B131,0))</f>
        <v/>
      </c>
      <c r="K131" s="5">
        <f>IF(A131="","",I131-B131*H131)</f>
        <v/>
      </c>
      <c r="L131" s="6">
        <f>IF(A131="","",IFERROR(K131/B131,0))</f>
        <v/>
      </c>
      <c r="M131" s="7">
        <f>IF(A131="","",IFERROR(B131/I131,0))</f>
        <v/>
      </c>
      <c r="N131" s="8">
        <f>IF(A131="","",IF(K131&lt;=0,"Drop",IF(J131&gt;=0.6,"Profit product",IF(J131&gt;=0.5,"Traffic product","Thin - rework"))))</f>
        <v/>
      </c>
    </row>
    <row r="132">
      <c r="B132" s="3" t="n"/>
      <c r="C132" s="3" t="n"/>
      <c r="D132" s="3" t="n"/>
      <c r="E132" s="4" t="n"/>
      <c r="F132" s="4" t="n"/>
      <c r="G132" s="4" t="n"/>
      <c r="H132" s="4" t="n"/>
      <c r="I132" s="5">
        <f>IF(A132="","",B132-C132-D132-B132*(E132+F132+G132))</f>
        <v/>
      </c>
      <c r="J132" s="6">
        <f>IF(A132="","",IFERROR(I132/B132,0))</f>
        <v/>
      </c>
      <c r="K132" s="5">
        <f>IF(A132="","",I132-B132*H132)</f>
        <v/>
      </c>
      <c r="L132" s="6">
        <f>IF(A132="","",IFERROR(K132/B132,0))</f>
        <v/>
      </c>
      <c r="M132" s="7">
        <f>IF(A132="","",IFERROR(B132/I132,0))</f>
        <v/>
      </c>
      <c r="N132" s="8">
        <f>IF(A132="","",IF(K132&lt;=0,"Drop",IF(J132&gt;=0.6,"Profit product",IF(J132&gt;=0.5,"Traffic product","Thin - rework"))))</f>
        <v/>
      </c>
    </row>
    <row r="133">
      <c r="B133" s="3" t="n"/>
      <c r="C133" s="3" t="n"/>
      <c r="D133" s="3" t="n"/>
      <c r="E133" s="4" t="n"/>
      <c r="F133" s="4" t="n"/>
      <c r="G133" s="4" t="n"/>
      <c r="H133" s="4" t="n"/>
      <c r="I133" s="5">
        <f>IF(A133="","",B133-C133-D133-B133*(E133+F133+G133))</f>
        <v/>
      </c>
      <c r="J133" s="6">
        <f>IF(A133="","",IFERROR(I133/B133,0))</f>
        <v/>
      </c>
      <c r="K133" s="5">
        <f>IF(A133="","",I133-B133*H133)</f>
        <v/>
      </c>
      <c r="L133" s="6">
        <f>IF(A133="","",IFERROR(K133/B133,0))</f>
        <v/>
      </c>
      <c r="M133" s="7">
        <f>IF(A133="","",IFERROR(B133/I133,0))</f>
        <v/>
      </c>
      <c r="N133" s="8">
        <f>IF(A133="","",IF(K133&lt;=0,"Drop",IF(J133&gt;=0.6,"Profit product",IF(J133&gt;=0.5,"Traffic product","Thin - rework"))))</f>
        <v/>
      </c>
    </row>
    <row r="134">
      <c r="B134" s="3" t="n"/>
      <c r="C134" s="3" t="n"/>
      <c r="D134" s="3" t="n"/>
      <c r="E134" s="4" t="n"/>
      <c r="F134" s="4" t="n"/>
      <c r="G134" s="4" t="n"/>
      <c r="H134" s="4" t="n"/>
      <c r="I134" s="5">
        <f>IF(A134="","",B134-C134-D134-B134*(E134+F134+G134))</f>
        <v/>
      </c>
      <c r="J134" s="6">
        <f>IF(A134="","",IFERROR(I134/B134,0))</f>
        <v/>
      </c>
      <c r="K134" s="5">
        <f>IF(A134="","",I134-B134*H134)</f>
        <v/>
      </c>
      <c r="L134" s="6">
        <f>IF(A134="","",IFERROR(K134/B134,0))</f>
        <v/>
      </c>
      <c r="M134" s="7">
        <f>IF(A134="","",IFERROR(B134/I134,0))</f>
        <v/>
      </c>
      <c r="N134" s="8">
        <f>IF(A134="","",IF(K134&lt;=0,"Drop",IF(J134&gt;=0.6,"Profit product",IF(J134&gt;=0.5,"Traffic product","Thin - rework"))))</f>
        <v/>
      </c>
    </row>
    <row r="135">
      <c r="B135" s="3" t="n"/>
      <c r="C135" s="3" t="n"/>
      <c r="D135" s="3" t="n"/>
      <c r="E135" s="4" t="n"/>
      <c r="F135" s="4" t="n"/>
      <c r="G135" s="4" t="n"/>
      <c r="H135" s="4" t="n"/>
      <c r="I135" s="5">
        <f>IF(A135="","",B135-C135-D135-B135*(E135+F135+G135))</f>
        <v/>
      </c>
      <c r="J135" s="6">
        <f>IF(A135="","",IFERROR(I135/B135,0))</f>
        <v/>
      </c>
      <c r="K135" s="5">
        <f>IF(A135="","",I135-B135*H135)</f>
        <v/>
      </c>
      <c r="L135" s="6">
        <f>IF(A135="","",IFERROR(K135/B135,0))</f>
        <v/>
      </c>
      <c r="M135" s="7">
        <f>IF(A135="","",IFERROR(B135/I135,0))</f>
        <v/>
      </c>
      <c r="N135" s="8">
        <f>IF(A135="","",IF(K135&lt;=0,"Drop",IF(J135&gt;=0.6,"Profit product",IF(J135&gt;=0.5,"Traffic product","Thin - rework"))))</f>
        <v/>
      </c>
    </row>
    <row r="136">
      <c r="B136" s="3" t="n"/>
      <c r="C136" s="3" t="n"/>
      <c r="D136" s="3" t="n"/>
      <c r="E136" s="4" t="n"/>
      <c r="F136" s="4" t="n"/>
      <c r="G136" s="4" t="n"/>
      <c r="H136" s="4" t="n"/>
      <c r="I136" s="5">
        <f>IF(A136="","",B136-C136-D136-B136*(E136+F136+G136))</f>
        <v/>
      </c>
      <c r="J136" s="6">
        <f>IF(A136="","",IFERROR(I136/B136,0))</f>
        <v/>
      </c>
      <c r="K136" s="5">
        <f>IF(A136="","",I136-B136*H136)</f>
        <v/>
      </c>
      <c r="L136" s="6">
        <f>IF(A136="","",IFERROR(K136/B136,0))</f>
        <v/>
      </c>
      <c r="M136" s="7">
        <f>IF(A136="","",IFERROR(B136/I136,0))</f>
        <v/>
      </c>
      <c r="N136" s="8">
        <f>IF(A136="","",IF(K136&lt;=0,"Drop",IF(J136&gt;=0.6,"Profit product",IF(J136&gt;=0.5,"Traffic product","Thin - rework"))))</f>
        <v/>
      </c>
    </row>
    <row r="137">
      <c r="B137" s="3" t="n"/>
      <c r="C137" s="3" t="n"/>
      <c r="D137" s="3" t="n"/>
      <c r="E137" s="4" t="n"/>
      <c r="F137" s="4" t="n"/>
      <c r="G137" s="4" t="n"/>
      <c r="H137" s="4" t="n"/>
      <c r="I137" s="5">
        <f>IF(A137="","",B137-C137-D137-B137*(E137+F137+G137))</f>
        <v/>
      </c>
      <c r="J137" s="6">
        <f>IF(A137="","",IFERROR(I137/B137,0))</f>
        <v/>
      </c>
      <c r="K137" s="5">
        <f>IF(A137="","",I137-B137*H137)</f>
        <v/>
      </c>
      <c r="L137" s="6">
        <f>IF(A137="","",IFERROR(K137/B137,0))</f>
        <v/>
      </c>
      <c r="M137" s="7">
        <f>IF(A137="","",IFERROR(B137/I137,0))</f>
        <v/>
      </c>
      <c r="N137" s="8">
        <f>IF(A137="","",IF(K137&lt;=0,"Drop",IF(J137&gt;=0.6,"Profit product",IF(J137&gt;=0.5,"Traffic product","Thin - rework"))))</f>
        <v/>
      </c>
    </row>
    <row r="138">
      <c r="B138" s="3" t="n"/>
      <c r="C138" s="3" t="n"/>
      <c r="D138" s="3" t="n"/>
      <c r="E138" s="4" t="n"/>
      <c r="F138" s="4" t="n"/>
      <c r="G138" s="4" t="n"/>
      <c r="H138" s="4" t="n"/>
      <c r="I138" s="5">
        <f>IF(A138="","",B138-C138-D138-B138*(E138+F138+G138))</f>
        <v/>
      </c>
      <c r="J138" s="6">
        <f>IF(A138="","",IFERROR(I138/B138,0))</f>
        <v/>
      </c>
      <c r="K138" s="5">
        <f>IF(A138="","",I138-B138*H138)</f>
        <v/>
      </c>
      <c r="L138" s="6">
        <f>IF(A138="","",IFERROR(K138/B138,0))</f>
        <v/>
      </c>
      <c r="M138" s="7">
        <f>IF(A138="","",IFERROR(B138/I138,0))</f>
        <v/>
      </c>
      <c r="N138" s="8">
        <f>IF(A138="","",IF(K138&lt;=0,"Drop",IF(J138&gt;=0.6,"Profit product",IF(J138&gt;=0.5,"Traffic product","Thin - rework"))))</f>
        <v/>
      </c>
    </row>
    <row r="139">
      <c r="B139" s="3" t="n"/>
      <c r="C139" s="3" t="n"/>
      <c r="D139" s="3" t="n"/>
      <c r="E139" s="4" t="n"/>
      <c r="F139" s="4" t="n"/>
      <c r="G139" s="4" t="n"/>
      <c r="H139" s="4" t="n"/>
      <c r="I139" s="5">
        <f>IF(A139="","",B139-C139-D139-B139*(E139+F139+G139))</f>
        <v/>
      </c>
      <c r="J139" s="6">
        <f>IF(A139="","",IFERROR(I139/B139,0))</f>
        <v/>
      </c>
      <c r="K139" s="5">
        <f>IF(A139="","",I139-B139*H139)</f>
        <v/>
      </c>
      <c r="L139" s="6">
        <f>IF(A139="","",IFERROR(K139/B139,0))</f>
        <v/>
      </c>
      <c r="M139" s="7">
        <f>IF(A139="","",IFERROR(B139/I139,0))</f>
        <v/>
      </c>
      <c r="N139" s="8">
        <f>IF(A139="","",IF(K139&lt;=0,"Drop",IF(J139&gt;=0.6,"Profit product",IF(J139&gt;=0.5,"Traffic product","Thin - rework"))))</f>
        <v/>
      </c>
    </row>
    <row r="140">
      <c r="B140" s="3" t="n"/>
      <c r="C140" s="3" t="n"/>
      <c r="D140" s="3" t="n"/>
      <c r="E140" s="4" t="n"/>
      <c r="F140" s="4" t="n"/>
      <c r="G140" s="4" t="n"/>
      <c r="H140" s="4" t="n"/>
      <c r="I140" s="5">
        <f>IF(A140="","",B140-C140-D140-B140*(E140+F140+G140))</f>
        <v/>
      </c>
      <c r="J140" s="6">
        <f>IF(A140="","",IFERROR(I140/B140,0))</f>
        <v/>
      </c>
      <c r="K140" s="5">
        <f>IF(A140="","",I140-B140*H140)</f>
        <v/>
      </c>
      <c r="L140" s="6">
        <f>IF(A140="","",IFERROR(K140/B140,0))</f>
        <v/>
      </c>
      <c r="M140" s="7">
        <f>IF(A140="","",IFERROR(B140/I140,0))</f>
        <v/>
      </c>
      <c r="N140" s="8">
        <f>IF(A140="","",IF(K140&lt;=0,"Drop",IF(J140&gt;=0.6,"Profit product",IF(J140&gt;=0.5,"Traffic product","Thin - rework"))))</f>
        <v/>
      </c>
    </row>
    <row r="141">
      <c r="B141" s="3" t="n"/>
      <c r="C141" s="3" t="n"/>
      <c r="D141" s="3" t="n"/>
      <c r="E141" s="4" t="n"/>
      <c r="F141" s="4" t="n"/>
      <c r="G141" s="4" t="n"/>
      <c r="H141" s="4" t="n"/>
      <c r="I141" s="5">
        <f>IF(A141="","",B141-C141-D141-B141*(E141+F141+G141))</f>
        <v/>
      </c>
      <c r="J141" s="6">
        <f>IF(A141="","",IFERROR(I141/B141,0))</f>
        <v/>
      </c>
      <c r="K141" s="5">
        <f>IF(A141="","",I141-B141*H141)</f>
        <v/>
      </c>
      <c r="L141" s="6">
        <f>IF(A141="","",IFERROR(K141/B141,0))</f>
        <v/>
      </c>
      <c r="M141" s="7">
        <f>IF(A141="","",IFERROR(B141/I141,0))</f>
        <v/>
      </c>
      <c r="N141" s="8">
        <f>IF(A141="","",IF(K141&lt;=0,"Drop",IF(J141&gt;=0.6,"Profit product",IF(J141&gt;=0.5,"Traffic product","Thin - rework"))))</f>
        <v/>
      </c>
    </row>
    <row r="142">
      <c r="B142" s="3" t="n"/>
      <c r="C142" s="3" t="n"/>
      <c r="D142" s="3" t="n"/>
      <c r="E142" s="4" t="n"/>
      <c r="F142" s="4" t="n"/>
      <c r="G142" s="4" t="n"/>
      <c r="H142" s="4" t="n"/>
      <c r="I142" s="5">
        <f>IF(A142="","",B142-C142-D142-B142*(E142+F142+G142))</f>
        <v/>
      </c>
      <c r="J142" s="6">
        <f>IF(A142="","",IFERROR(I142/B142,0))</f>
        <v/>
      </c>
      <c r="K142" s="5">
        <f>IF(A142="","",I142-B142*H142)</f>
        <v/>
      </c>
      <c r="L142" s="6">
        <f>IF(A142="","",IFERROR(K142/B142,0))</f>
        <v/>
      </c>
      <c r="M142" s="7">
        <f>IF(A142="","",IFERROR(B142/I142,0))</f>
        <v/>
      </c>
      <c r="N142" s="8">
        <f>IF(A142="","",IF(K142&lt;=0,"Drop",IF(J142&gt;=0.6,"Profit product",IF(J142&gt;=0.5,"Traffic product","Thin - rework"))))</f>
        <v/>
      </c>
    </row>
    <row r="143">
      <c r="B143" s="3" t="n"/>
      <c r="C143" s="3" t="n"/>
      <c r="D143" s="3" t="n"/>
      <c r="E143" s="4" t="n"/>
      <c r="F143" s="4" t="n"/>
      <c r="G143" s="4" t="n"/>
      <c r="H143" s="4" t="n"/>
      <c r="I143" s="5">
        <f>IF(A143="","",B143-C143-D143-B143*(E143+F143+G143))</f>
        <v/>
      </c>
      <c r="J143" s="6">
        <f>IF(A143="","",IFERROR(I143/B143,0))</f>
        <v/>
      </c>
      <c r="K143" s="5">
        <f>IF(A143="","",I143-B143*H143)</f>
        <v/>
      </c>
      <c r="L143" s="6">
        <f>IF(A143="","",IFERROR(K143/B143,0))</f>
        <v/>
      </c>
      <c r="M143" s="7">
        <f>IF(A143="","",IFERROR(B143/I143,0))</f>
        <v/>
      </c>
      <c r="N143" s="8">
        <f>IF(A143="","",IF(K143&lt;=0,"Drop",IF(J143&gt;=0.6,"Profit product",IF(J143&gt;=0.5,"Traffic product","Thin - rework"))))</f>
        <v/>
      </c>
    </row>
    <row r="144">
      <c r="B144" s="3" t="n"/>
      <c r="C144" s="3" t="n"/>
      <c r="D144" s="3" t="n"/>
      <c r="E144" s="4" t="n"/>
      <c r="F144" s="4" t="n"/>
      <c r="G144" s="4" t="n"/>
      <c r="H144" s="4" t="n"/>
      <c r="I144" s="5">
        <f>IF(A144="","",B144-C144-D144-B144*(E144+F144+G144))</f>
        <v/>
      </c>
      <c r="J144" s="6">
        <f>IF(A144="","",IFERROR(I144/B144,0))</f>
        <v/>
      </c>
      <c r="K144" s="5">
        <f>IF(A144="","",I144-B144*H144)</f>
        <v/>
      </c>
      <c r="L144" s="6">
        <f>IF(A144="","",IFERROR(K144/B144,0))</f>
        <v/>
      </c>
      <c r="M144" s="7">
        <f>IF(A144="","",IFERROR(B144/I144,0))</f>
        <v/>
      </c>
      <c r="N144" s="8">
        <f>IF(A144="","",IF(K144&lt;=0,"Drop",IF(J144&gt;=0.6,"Profit product",IF(J144&gt;=0.5,"Traffic product","Thin - rework"))))</f>
        <v/>
      </c>
    </row>
    <row r="145">
      <c r="B145" s="3" t="n"/>
      <c r="C145" s="3" t="n"/>
      <c r="D145" s="3" t="n"/>
      <c r="E145" s="4" t="n"/>
      <c r="F145" s="4" t="n"/>
      <c r="G145" s="4" t="n"/>
      <c r="H145" s="4" t="n"/>
      <c r="I145" s="5">
        <f>IF(A145="","",B145-C145-D145-B145*(E145+F145+G145))</f>
        <v/>
      </c>
      <c r="J145" s="6">
        <f>IF(A145="","",IFERROR(I145/B145,0))</f>
        <v/>
      </c>
      <c r="K145" s="5">
        <f>IF(A145="","",I145-B145*H145)</f>
        <v/>
      </c>
      <c r="L145" s="6">
        <f>IF(A145="","",IFERROR(K145/B145,0))</f>
        <v/>
      </c>
      <c r="M145" s="7">
        <f>IF(A145="","",IFERROR(B145/I145,0))</f>
        <v/>
      </c>
      <c r="N145" s="8">
        <f>IF(A145="","",IF(K145&lt;=0,"Drop",IF(J145&gt;=0.6,"Profit product",IF(J145&gt;=0.5,"Traffic product","Thin - rework"))))</f>
        <v/>
      </c>
    </row>
    <row r="146">
      <c r="B146" s="3" t="n"/>
      <c r="C146" s="3" t="n"/>
      <c r="D146" s="3" t="n"/>
      <c r="E146" s="4" t="n"/>
      <c r="F146" s="4" t="n"/>
      <c r="G146" s="4" t="n"/>
      <c r="H146" s="4" t="n"/>
      <c r="I146" s="5">
        <f>IF(A146="","",B146-C146-D146-B146*(E146+F146+G146))</f>
        <v/>
      </c>
      <c r="J146" s="6">
        <f>IF(A146="","",IFERROR(I146/B146,0))</f>
        <v/>
      </c>
      <c r="K146" s="5">
        <f>IF(A146="","",I146-B146*H146)</f>
        <v/>
      </c>
      <c r="L146" s="6">
        <f>IF(A146="","",IFERROR(K146/B146,0))</f>
        <v/>
      </c>
      <c r="M146" s="7">
        <f>IF(A146="","",IFERROR(B146/I146,0))</f>
        <v/>
      </c>
      <c r="N146" s="8">
        <f>IF(A146="","",IF(K146&lt;=0,"Drop",IF(J146&gt;=0.6,"Profit product",IF(J146&gt;=0.5,"Traffic product","Thin - rework"))))</f>
        <v/>
      </c>
    </row>
    <row r="147">
      <c r="B147" s="3" t="n"/>
      <c r="C147" s="3" t="n"/>
      <c r="D147" s="3" t="n"/>
      <c r="E147" s="4" t="n"/>
      <c r="F147" s="4" t="n"/>
      <c r="G147" s="4" t="n"/>
      <c r="H147" s="4" t="n"/>
      <c r="I147" s="5">
        <f>IF(A147="","",B147-C147-D147-B147*(E147+F147+G147))</f>
        <v/>
      </c>
      <c r="J147" s="6">
        <f>IF(A147="","",IFERROR(I147/B147,0))</f>
        <v/>
      </c>
      <c r="K147" s="5">
        <f>IF(A147="","",I147-B147*H147)</f>
        <v/>
      </c>
      <c r="L147" s="6">
        <f>IF(A147="","",IFERROR(K147/B147,0))</f>
        <v/>
      </c>
      <c r="M147" s="7">
        <f>IF(A147="","",IFERROR(B147/I147,0))</f>
        <v/>
      </c>
      <c r="N147" s="8">
        <f>IF(A147="","",IF(K147&lt;=0,"Drop",IF(J147&gt;=0.6,"Profit product",IF(J147&gt;=0.5,"Traffic product","Thin - rework"))))</f>
        <v/>
      </c>
    </row>
    <row r="148">
      <c r="B148" s="3" t="n"/>
      <c r="C148" s="3" t="n"/>
      <c r="D148" s="3" t="n"/>
      <c r="E148" s="4" t="n"/>
      <c r="F148" s="4" t="n"/>
      <c r="G148" s="4" t="n"/>
      <c r="H148" s="4" t="n"/>
      <c r="I148" s="5">
        <f>IF(A148="","",B148-C148-D148-B148*(E148+F148+G148))</f>
        <v/>
      </c>
      <c r="J148" s="6">
        <f>IF(A148="","",IFERROR(I148/B148,0))</f>
        <v/>
      </c>
      <c r="K148" s="5">
        <f>IF(A148="","",I148-B148*H148)</f>
        <v/>
      </c>
      <c r="L148" s="6">
        <f>IF(A148="","",IFERROR(K148/B148,0))</f>
        <v/>
      </c>
      <c r="M148" s="7">
        <f>IF(A148="","",IFERROR(B148/I148,0))</f>
        <v/>
      </c>
      <c r="N148" s="8">
        <f>IF(A148="","",IF(K148&lt;=0,"Drop",IF(J148&gt;=0.6,"Profit product",IF(J148&gt;=0.5,"Traffic product","Thin - rework"))))</f>
        <v/>
      </c>
    </row>
    <row r="149">
      <c r="B149" s="3" t="n"/>
      <c r="C149" s="3" t="n"/>
      <c r="D149" s="3" t="n"/>
      <c r="E149" s="4" t="n"/>
      <c r="F149" s="4" t="n"/>
      <c r="G149" s="4" t="n"/>
      <c r="H149" s="4" t="n"/>
      <c r="I149" s="5">
        <f>IF(A149="","",B149-C149-D149-B149*(E149+F149+G149))</f>
        <v/>
      </c>
      <c r="J149" s="6">
        <f>IF(A149="","",IFERROR(I149/B149,0))</f>
        <v/>
      </c>
      <c r="K149" s="5">
        <f>IF(A149="","",I149-B149*H149)</f>
        <v/>
      </c>
      <c r="L149" s="6">
        <f>IF(A149="","",IFERROR(K149/B149,0))</f>
        <v/>
      </c>
      <c r="M149" s="7">
        <f>IF(A149="","",IFERROR(B149/I149,0))</f>
        <v/>
      </c>
      <c r="N149" s="8">
        <f>IF(A149="","",IF(K149&lt;=0,"Drop",IF(J149&gt;=0.6,"Profit product",IF(J149&gt;=0.5,"Traffic product","Thin - rework"))))</f>
        <v/>
      </c>
    </row>
    <row r="150">
      <c r="B150" s="3" t="n"/>
      <c r="C150" s="3" t="n"/>
      <c r="D150" s="3" t="n"/>
      <c r="E150" s="4" t="n"/>
      <c r="F150" s="4" t="n"/>
      <c r="G150" s="4" t="n"/>
      <c r="H150" s="4" t="n"/>
      <c r="I150" s="5">
        <f>IF(A150="","",B150-C150-D150-B150*(E150+F150+G150))</f>
        <v/>
      </c>
      <c r="J150" s="6">
        <f>IF(A150="","",IFERROR(I150/B150,0))</f>
        <v/>
      </c>
      <c r="K150" s="5">
        <f>IF(A150="","",I150-B150*H150)</f>
        <v/>
      </c>
      <c r="L150" s="6">
        <f>IF(A150="","",IFERROR(K150/B150,0))</f>
        <v/>
      </c>
      <c r="M150" s="7">
        <f>IF(A150="","",IFERROR(B150/I150,0))</f>
        <v/>
      </c>
      <c r="N150" s="8">
        <f>IF(A150="","",IF(K150&lt;=0,"Drop",IF(J150&gt;=0.6,"Profit product",IF(J150&gt;=0.5,"Traffic product","Thin - rework"))))</f>
        <v/>
      </c>
    </row>
    <row r="151">
      <c r="B151" s="3" t="n"/>
      <c r="C151" s="3" t="n"/>
      <c r="D151" s="3" t="n"/>
      <c r="E151" s="4" t="n"/>
      <c r="F151" s="4" t="n"/>
      <c r="G151" s="4" t="n"/>
      <c r="H151" s="4" t="n"/>
      <c r="I151" s="5">
        <f>IF(A151="","",B151-C151-D151-B151*(E151+F151+G151))</f>
        <v/>
      </c>
      <c r="J151" s="6">
        <f>IF(A151="","",IFERROR(I151/B151,0))</f>
        <v/>
      </c>
      <c r="K151" s="5">
        <f>IF(A151="","",I151-B151*H151)</f>
        <v/>
      </c>
      <c r="L151" s="6">
        <f>IF(A151="","",IFERROR(K151/B151,0))</f>
        <v/>
      </c>
      <c r="M151" s="7">
        <f>IF(A151="","",IFERROR(B151/I151,0))</f>
        <v/>
      </c>
      <c r="N151" s="8">
        <f>IF(A151="","",IF(K151&lt;=0,"Drop",IF(J151&gt;=0.6,"Profit product",IF(J151&gt;=0.5,"Traffic product","Thin - rework"))))</f>
        <v/>
      </c>
    </row>
    <row r="152">
      <c r="B152" s="3" t="n"/>
      <c r="C152" s="3" t="n"/>
      <c r="D152" s="3" t="n"/>
      <c r="E152" s="4" t="n"/>
      <c r="F152" s="4" t="n"/>
      <c r="G152" s="4" t="n"/>
      <c r="H152" s="4" t="n"/>
      <c r="I152" s="5">
        <f>IF(A152="","",B152-C152-D152-B152*(E152+F152+G152))</f>
        <v/>
      </c>
      <c r="J152" s="6">
        <f>IF(A152="","",IFERROR(I152/B152,0))</f>
        <v/>
      </c>
      <c r="K152" s="5">
        <f>IF(A152="","",I152-B152*H152)</f>
        <v/>
      </c>
      <c r="L152" s="6">
        <f>IF(A152="","",IFERROR(K152/B152,0))</f>
        <v/>
      </c>
      <c r="M152" s="7">
        <f>IF(A152="","",IFERROR(B152/I152,0))</f>
        <v/>
      </c>
      <c r="N152" s="8">
        <f>IF(A152="","",IF(K152&lt;=0,"Drop",IF(J152&gt;=0.6,"Profit product",IF(J152&gt;=0.5,"Traffic product","Thin - rework"))))</f>
        <v/>
      </c>
    </row>
    <row r="153">
      <c r="B153" s="3" t="n"/>
      <c r="C153" s="3" t="n"/>
      <c r="D153" s="3" t="n"/>
      <c r="E153" s="4" t="n"/>
      <c r="F153" s="4" t="n"/>
      <c r="G153" s="4" t="n"/>
      <c r="H153" s="4" t="n"/>
      <c r="I153" s="5">
        <f>IF(A153="","",B153-C153-D153-B153*(E153+F153+G153))</f>
        <v/>
      </c>
      <c r="J153" s="6">
        <f>IF(A153="","",IFERROR(I153/B153,0))</f>
        <v/>
      </c>
      <c r="K153" s="5">
        <f>IF(A153="","",I153-B153*H153)</f>
        <v/>
      </c>
      <c r="L153" s="6">
        <f>IF(A153="","",IFERROR(K153/B153,0))</f>
        <v/>
      </c>
      <c r="M153" s="7">
        <f>IF(A153="","",IFERROR(B153/I153,0))</f>
        <v/>
      </c>
      <c r="N153" s="8">
        <f>IF(A153="","",IF(K153&lt;=0,"Drop",IF(J153&gt;=0.6,"Profit product",IF(J153&gt;=0.5,"Traffic product","Thin - rework"))))</f>
        <v/>
      </c>
    </row>
    <row r="154">
      <c r="B154" s="3" t="n"/>
      <c r="C154" s="3" t="n"/>
      <c r="D154" s="3" t="n"/>
      <c r="E154" s="4" t="n"/>
      <c r="F154" s="4" t="n"/>
      <c r="G154" s="4" t="n"/>
      <c r="H154" s="4" t="n"/>
      <c r="I154" s="5">
        <f>IF(A154="","",B154-C154-D154-B154*(E154+F154+G154))</f>
        <v/>
      </c>
      <c r="J154" s="6">
        <f>IF(A154="","",IFERROR(I154/B154,0))</f>
        <v/>
      </c>
      <c r="K154" s="5">
        <f>IF(A154="","",I154-B154*H154)</f>
        <v/>
      </c>
      <c r="L154" s="6">
        <f>IF(A154="","",IFERROR(K154/B154,0))</f>
        <v/>
      </c>
      <c r="M154" s="7">
        <f>IF(A154="","",IFERROR(B154/I154,0))</f>
        <v/>
      </c>
      <c r="N154" s="8">
        <f>IF(A154="","",IF(K154&lt;=0,"Drop",IF(J154&gt;=0.6,"Profit product",IF(J154&gt;=0.5,"Traffic product","Thin - rework"))))</f>
        <v/>
      </c>
    </row>
    <row r="155">
      <c r="B155" s="3" t="n"/>
      <c r="C155" s="3" t="n"/>
      <c r="D155" s="3" t="n"/>
      <c r="E155" s="4" t="n"/>
      <c r="F155" s="4" t="n"/>
      <c r="G155" s="4" t="n"/>
      <c r="H155" s="4" t="n"/>
      <c r="I155" s="5">
        <f>IF(A155="","",B155-C155-D155-B155*(E155+F155+G155))</f>
        <v/>
      </c>
      <c r="J155" s="6">
        <f>IF(A155="","",IFERROR(I155/B155,0))</f>
        <v/>
      </c>
      <c r="K155" s="5">
        <f>IF(A155="","",I155-B155*H155)</f>
        <v/>
      </c>
      <c r="L155" s="6">
        <f>IF(A155="","",IFERROR(K155/B155,0))</f>
        <v/>
      </c>
      <c r="M155" s="7">
        <f>IF(A155="","",IFERROR(B155/I155,0))</f>
        <v/>
      </c>
      <c r="N155" s="8">
        <f>IF(A155="","",IF(K155&lt;=0,"Drop",IF(J155&gt;=0.6,"Profit product",IF(J155&gt;=0.5,"Traffic product","Thin - rework"))))</f>
        <v/>
      </c>
    </row>
    <row r="156">
      <c r="B156" s="3" t="n"/>
      <c r="C156" s="3" t="n"/>
      <c r="D156" s="3" t="n"/>
      <c r="E156" s="4" t="n"/>
      <c r="F156" s="4" t="n"/>
      <c r="G156" s="4" t="n"/>
      <c r="H156" s="4" t="n"/>
      <c r="I156" s="5">
        <f>IF(A156="","",B156-C156-D156-B156*(E156+F156+G156))</f>
        <v/>
      </c>
      <c r="J156" s="6">
        <f>IF(A156="","",IFERROR(I156/B156,0))</f>
        <v/>
      </c>
      <c r="K156" s="5">
        <f>IF(A156="","",I156-B156*H156)</f>
        <v/>
      </c>
      <c r="L156" s="6">
        <f>IF(A156="","",IFERROR(K156/B156,0))</f>
        <v/>
      </c>
      <c r="M156" s="7">
        <f>IF(A156="","",IFERROR(B156/I156,0))</f>
        <v/>
      </c>
      <c r="N156" s="8">
        <f>IF(A156="","",IF(K156&lt;=0,"Drop",IF(J156&gt;=0.6,"Profit product",IF(J156&gt;=0.5,"Traffic product","Thin - rework"))))</f>
        <v/>
      </c>
    </row>
    <row r="157">
      <c r="B157" s="3" t="n"/>
      <c r="C157" s="3" t="n"/>
      <c r="D157" s="3" t="n"/>
      <c r="E157" s="4" t="n"/>
      <c r="F157" s="4" t="n"/>
      <c r="G157" s="4" t="n"/>
      <c r="H157" s="4" t="n"/>
      <c r="I157" s="5">
        <f>IF(A157="","",B157-C157-D157-B157*(E157+F157+G157))</f>
        <v/>
      </c>
      <c r="J157" s="6">
        <f>IF(A157="","",IFERROR(I157/B157,0))</f>
        <v/>
      </c>
      <c r="K157" s="5">
        <f>IF(A157="","",I157-B157*H157)</f>
        <v/>
      </c>
      <c r="L157" s="6">
        <f>IF(A157="","",IFERROR(K157/B157,0))</f>
        <v/>
      </c>
      <c r="M157" s="7">
        <f>IF(A157="","",IFERROR(B157/I157,0))</f>
        <v/>
      </c>
      <c r="N157" s="8">
        <f>IF(A157="","",IF(K157&lt;=0,"Drop",IF(J157&gt;=0.6,"Profit product",IF(J157&gt;=0.5,"Traffic product","Thin - rework"))))</f>
        <v/>
      </c>
    </row>
    <row r="158">
      <c r="B158" s="3" t="n"/>
      <c r="C158" s="3" t="n"/>
      <c r="D158" s="3" t="n"/>
      <c r="E158" s="4" t="n"/>
      <c r="F158" s="4" t="n"/>
      <c r="G158" s="4" t="n"/>
      <c r="H158" s="4" t="n"/>
      <c r="I158" s="5">
        <f>IF(A158="","",B158-C158-D158-B158*(E158+F158+G158))</f>
        <v/>
      </c>
      <c r="J158" s="6">
        <f>IF(A158="","",IFERROR(I158/B158,0))</f>
        <v/>
      </c>
      <c r="K158" s="5">
        <f>IF(A158="","",I158-B158*H158)</f>
        <v/>
      </c>
      <c r="L158" s="6">
        <f>IF(A158="","",IFERROR(K158/B158,0))</f>
        <v/>
      </c>
      <c r="M158" s="7">
        <f>IF(A158="","",IFERROR(B158/I158,0))</f>
        <v/>
      </c>
      <c r="N158" s="8">
        <f>IF(A158="","",IF(K158&lt;=0,"Drop",IF(J158&gt;=0.6,"Profit product",IF(J158&gt;=0.5,"Traffic product","Thin - rework"))))</f>
        <v/>
      </c>
    </row>
    <row r="159">
      <c r="B159" s="3" t="n"/>
      <c r="C159" s="3" t="n"/>
      <c r="D159" s="3" t="n"/>
      <c r="E159" s="4" t="n"/>
      <c r="F159" s="4" t="n"/>
      <c r="G159" s="4" t="n"/>
      <c r="H159" s="4" t="n"/>
      <c r="I159" s="5">
        <f>IF(A159="","",B159-C159-D159-B159*(E159+F159+G159))</f>
        <v/>
      </c>
      <c r="J159" s="6">
        <f>IF(A159="","",IFERROR(I159/B159,0))</f>
        <v/>
      </c>
      <c r="K159" s="5">
        <f>IF(A159="","",I159-B159*H159)</f>
        <v/>
      </c>
      <c r="L159" s="6">
        <f>IF(A159="","",IFERROR(K159/B159,0))</f>
        <v/>
      </c>
      <c r="M159" s="7">
        <f>IF(A159="","",IFERROR(B159/I159,0))</f>
        <v/>
      </c>
      <c r="N159" s="8">
        <f>IF(A159="","",IF(K159&lt;=0,"Drop",IF(J159&gt;=0.6,"Profit product",IF(J159&gt;=0.5,"Traffic product","Thin - rework"))))</f>
        <v/>
      </c>
    </row>
    <row r="160">
      <c r="B160" s="3" t="n"/>
      <c r="C160" s="3" t="n"/>
      <c r="D160" s="3" t="n"/>
      <c r="E160" s="4" t="n"/>
      <c r="F160" s="4" t="n"/>
      <c r="G160" s="4" t="n"/>
      <c r="H160" s="4" t="n"/>
      <c r="I160" s="5">
        <f>IF(A160="","",B160-C160-D160-B160*(E160+F160+G160))</f>
        <v/>
      </c>
      <c r="J160" s="6">
        <f>IF(A160="","",IFERROR(I160/B160,0))</f>
        <v/>
      </c>
      <c r="K160" s="5">
        <f>IF(A160="","",I160-B160*H160)</f>
        <v/>
      </c>
      <c r="L160" s="6">
        <f>IF(A160="","",IFERROR(K160/B160,0))</f>
        <v/>
      </c>
      <c r="M160" s="7">
        <f>IF(A160="","",IFERROR(B160/I160,0))</f>
        <v/>
      </c>
      <c r="N160" s="8">
        <f>IF(A160="","",IF(K160&lt;=0,"Drop",IF(J160&gt;=0.6,"Profit product",IF(J160&gt;=0.5,"Traffic product","Thin - rework"))))</f>
        <v/>
      </c>
    </row>
    <row r="161">
      <c r="B161" s="3" t="n"/>
      <c r="C161" s="3" t="n"/>
      <c r="D161" s="3" t="n"/>
      <c r="E161" s="4" t="n"/>
      <c r="F161" s="4" t="n"/>
      <c r="G161" s="4" t="n"/>
      <c r="H161" s="4" t="n"/>
      <c r="I161" s="5">
        <f>IF(A161="","",B161-C161-D161-B161*(E161+F161+G161))</f>
        <v/>
      </c>
      <c r="J161" s="6">
        <f>IF(A161="","",IFERROR(I161/B161,0))</f>
        <v/>
      </c>
      <c r="K161" s="5">
        <f>IF(A161="","",I161-B161*H161)</f>
        <v/>
      </c>
      <c r="L161" s="6">
        <f>IF(A161="","",IFERROR(K161/B161,0))</f>
        <v/>
      </c>
      <c r="M161" s="7">
        <f>IF(A161="","",IFERROR(B161/I161,0))</f>
        <v/>
      </c>
      <c r="N161" s="8">
        <f>IF(A161="","",IF(K161&lt;=0,"Drop",IF(J161&gt;=0.6,"Profit product",IF(J161&gt;=0.5,"Traffic product","Thin - rework"))))</f>
        <v/>
      </c>
    </row>
    <row r="162">
      <c r="B162" s="3" t="n"/>
      <c r="C162" s="3" t="n"/>
      <c r="D162" s="3" t="n"/>
      <c r="E162" s="4" t="n"/>
      <c r="F162" s="4" t="n"/>
      <c r="G162" s="4" t="n"/>
      <c r="H162" s="4" t="n"/>
      <c r="I162" s="5">
        <f>IF(A162="","",B162-C162-D162-B162*(E162+F162+G162))</f>
        <v/>
      </c>
      <c r="J162" s="6">
        <f>IF(A162="","",IFERROR(I162/B162,0))</f>
        <v/>
      </c>
      <c r="K162" s="5">
        <f>IF(A162="","",I162-B162*H162)</f>
        <v/>
      </c>
      <c r="L162" s="6">
        <f>IF(A162="","",IFERROR(K162/B162,0))</f>
        <v/>
      </c>
      <c r="M162" s="7">
        <f>IF(A162="","",IFERROR(B162/I162,0))</f>
        <v/>
      </c>
      <c r="N162" s="8">
        <f>IF(A162="","",IF(K162&lt;=0,"Drop",IF(J162&gt;=0.6,"Profit product",IF(J162&gt;=0.5,"Traffic product","Thin - rework"))))</f>
        <v/>
      </c>
    </row>
    <row r="163">
      <c r="B163" s="3" t="n"/>
      <c r="C163" s="3" t="n"/>
      <c r="D163" s="3" t="n"/>
      <c r="E163" s="4" t="n"/>
      <c r="F163" s="4" t="n"/>
      <c r="G163" s="4" t="n"/>
      <c r="H163" s="4" t="n"/>
      <c r="I163" s="5">
        <f>IF(A163="","",B163-C163-D163-B163*(E163+F163+G163))</f>
        <v/>
      </c>
      <c r="J163" s="6">
        <f>IF(A163="","",IFERROR(I163/B163,0))</f>
        <v/>
      </c>
      <c r="K163" s="5">
        <f>IF(A163="","",I163-B163*H163)</f>
        <v/>
      </c>
      <c r="L163" s="6">
        <f>IF(A163="","",IFERROR(K163/B163,0))</f>
        <v/>
      </c>
      <c r="M163" s="7">
        <f>IF(A163="","",IFERROR(B163/I163,0))</f>
        <v/>
      </c>
      <c r="N163" s="8">
        <f>IF(A163="","",IF(K163&lt;=0,"Drop",IF(J163&gt;=0.6,"Profit product",IF(J163&gt;=0.5,"Traffic product","Thin - rework"))))</f>
        <v/>
      </c>
    </row>
    <row r="164">
      <c r="B164" s="3" t="n"/>
      <c r="C164" s="3" t="n"/>
      <c r="D164" s="3" t="n"/>
      <c r="E164" s="4" t="n"/>
      <c r="F164" s="4" t="n"/>
      <c r="G164" s="4" t="n"/>
      <c r="H164" s="4" t="n"/>
      <c r="I164" s="5">
        <f>IF(A164="","",B164-C164-D164-B164*(E164+F164+G164))</f>
        <v/>
      </c>
      <c r="J164" s="6">
        <f>IF(A164="","",IFERROR(I164/B164,0))</f>
        <v/>
      </c>
      <c r="K164" s="5">
        <f>IF(A164="","",I164-B164*H164)</f>
        <v/>
      </c>
      <c r="L164" s="6">
        <f>IF(A164="","",IFERROR(K164/B164,0))</f>
        <v/>
      </c>
      <c r="M164" s="7">
        <f>IF(A164="","",IFERROR(B164/I164,0))</f>
        <v/>
      </c>
      <c r="N164" s="8">
        <f>IF(A164="","",IF(K164&lt;=0,"Drop",IF(J164&gt;=0.6,"Profit product",IF(J164&gt;=0.5,"Traffic product","Thin - rework"))))</f>
        <v/>
      </c>
    </row>
    <row r="165">
      <c r="B165" s="3" t="n"/>
      <c r="C165" s="3" t="n"/>
      <c r="D165" s="3" t="n"/>
      <c r="E165" s="4" t="n"/>
      <c r="F165" s="4" t="n"/>
      <c r="G165" s="4" t="n"/>
      <c r="H165" s="4" t="n"/>
      <c r="I165" s="5">
        <f>IF(A165="","",B165-C165-D165-B165*(E165+F165+G165))</f>
        <v/>
      </c>
      <c r="J165" s="6">
        <f>IF(A165="","",IFERROR(I165/B165,0))</f>
        <v/>
      </c>
      <c r="K165" s="5">
        <f>IF(A165="","",I165-B165*H165)</f>
        <v/>
      </c>
      <c r="L165" s="6">
        <f>IF(A165="","",IFERROR(K165/B165,0))</f>
        <v/>
      </c>
      <c r="M165" s="7">
        <f>IF(A165="","",IFERROR(B165/I165,0))</f>
        <v/>
      </c>
      <c r="N165" s="8">
        <f>IF(A165="","",IF(K165&lt;=0,"Drop",IF(J165&gt;=0.6,"Profit product",IF(J165&gt;=0.5,"Traffic product","Thin - rework"))))</f>
        <v/>
      </c>
    </row>
    <row r="166">
      <c r="B166" s="3" t="n"/>
      <c r="C166" s="3" t="n"/>
      <c r="D166" s="3" t="n"/>
      <c r="E166" s="4" t="n"/>
      <c r="F166" s="4" t="n"/>
      <c r="G166" s="4" t="n"/>
      <c r="H166" s="4" t="n"/>
      <c r="I166" s="5">
        <f>IF(A166="","",B166-C166-D166-B166*(E166+F166+G166))</f>
        <v/>
      </c>
      <c r="J166" s="6">
        <f>IF(A166="","",IFERROR(I166/B166,0))</f>
        <v/>
      </c>
      <c r="K166" s="5">
        <f>IF(A166="","",I166-B166*H166)</f>
        <v/>
      </c>
      <c r="L166" s="6">
        <f>IF(A166="","",IFERROR(K166/B166,0))</f>
        <v/>
      </c>
      <c r="M166" s="7">
        <f>IF(A166="","",IFERROR(B166/I166,0))</f>
        <v/>
      </c>
      <c r="N166" s="8">
        <f>IF(A166="","",IF(K166&lt;=0,"Drop",IF(J166&gt;=0.6,"Profit product",IF(J166&gt;=0.5,"Traffic product","Thin - rework"))))</f>
        <v/>
      </c>
    </row>
    <row r="167">
      <c r="B167" s="3" t="n"/>
      <c r="C167" s="3" t="n"/>
      <c r="D167" s="3" t="n"/>
      <c r="E167" s="4" t="n"/>
      <c r="F167" s="4" t="n"/>
      <c r="G167" s="4" t="n"/>
      <c r="H167" s="4" t="n"/>
      <c r="I167" s="5">
        <f>IF(A167="","",B167-C167-D167-B167*(E167+F167+G167))</f>
        <v/>
      </c>
      <c r="J167" s="6">
        <f>IF(A167="","",IFERROR(I167/B167,0))</f>
        <v/>
      </c>
      <c r="K167" s="5">
        <f>IF(A167="","",I167-B167*H167)</f>
        <v/>
      </c>
      <c r="L167" s="6">
        <f>IF(A167="","",IFERROR(K167/B167,0))</f>
        <v/>
      </c>
      <c r="M167" s="7">
        <f>IF(A167="","",IFERROR(B167/I167,0))</f>
        <v/>
      </c>
      <c r="N167" s="8">
        <f>IF(A167="","",IF(K167&lt;=0,"Drop",IF(J167&gt;=0.6,"Profit product",IF(J167&gt;=0.5,"Traffic product","Thin - rework"))))</f>
        <v/>
      </c>
    </row>
    <row r="168">
      <c r="B168" s="3" t="n"/>
      <c r="C168" s="3" t="n"/>
      <c r="D168" s="3" t="n"/>
      <c r="E168" s="4" t="n"/>
      <c r="F168" s="4" t="n"/>
      <c r="G168" s="4" t="n"/>
      <c r="H168" s="4" t="n"/>
      <c r="I168" s="5">
        <f>IF(A168="","",B168-C168-D168-B168*(E168+F168+G168))</f>
        <v/>
      </c>
      <c r="J168" s="6">
        <f>IF(A168="","",IFERROR(I168/B168,0))</f>
        <v/>
      </c>
      <c r="K168" s="5">
        <f>IF(A168="","",I168-B168*H168)</f>
        <v/>
      </c>
      <c r="L168" s="6">
        <f>IF(A168="","",IFERROR(K168/B168,0))</f>
        <v/>
      </c>
      <c r="M168" s="7">
        <f>IF(A168="","",IFERROR(B168/I168,0))</f>
        <v/>
      </c>
      <c r="N168" s="8">
        <f>IF(A168="","",IF(K168&lt;=0,"Drop",IF(J168&gt;=0.6,"Profit product",IF(J168&gt;=0.5,"Traffic product","Thin - rework"))))</f>
        <v/>
      </c>
    </row>
    <row r="169">
      <c r="B169" s="3" t="n"/>
      <c r="C169" s="3" t="n"/>
      <c r="D169" s="3" t="n"/>
      <c r="E169" s="4" t="n"/>
      <c r="F169" s="4" t="n"/>
      <c r="G169" s="4" t="n"/>
      <c r="H169" s="4" t="n"/>
      <c r="I169" s="5">
        <f>IF(A169="","",B169-C169-D169-B169*(E169+F169+G169))</f>
        <v/>
      </c>
      <c r="J169" s="6">
        <f>IF(A169="","",IFERROR(I169/B169,0))</f>
        <v/>
      </c>
      <c r="K169" s="5">
        <f>IF(A169="","",I169-B169*H169)</f>
        <v/>
      </c>
      <c r="L169" s="6">
        <f>IF(A169="","",IFERROR(K169/B169,0))</f>
        <v/>
      </c>
      <c r="M169" s="7">
        <f>IF(A169="","",IFERROR(B169/I169,0))</f>
        <v/>
      </c>
      <c r="N169" s="8">
        <f>IF(A169="","",IF(K169&lt;=0,"Drop",IF(J169&gt;=0.6,"Profit product",IF(J169&gt;=0.5,"Traffic product","Thin - rework"))))</f>
        <v/>
      </c>
    </row>
    <row r="170">
      <c r="B170" s="3" t="n"/>
      <c r="C170" s="3" t="n"/>
      <c r="D170" s="3" t="n"/>
      <c r="E170" s="4" t="n"/>
      <c r="F170" s="4" t="n"/>
      <c r="G170" s="4" t="n"/>
      <c r="H170" s="4" t="n"/>
      <c r="I170" s="5">
        <f>IF(A170="","",B170-C170-D170-B170*(E170+F170+G170))</f>
        <v/>
      </c>
      <c r="J170" s="6">
        <f>IF(A170="","",IFERROR(I170/B170,0))</f>
        <v/>
      </c>
      <c r="K170" s="5">
        <f>IF(A170="","",I170-B170*H170)</f>
        <v/>
      </c>
      <c r="L170" s="6">
        <f>IF(A170="","",IFERROR(K170/B170,0))</f>
        <v/>
      </c>
      <c r="M170" s="7">
        <f>IF(A170="","",IFERROR(B170/I170,0))</f>
        <v/>
      </c>
      <c r="N170" s="8">
        <f>IF(A170="","",IF(K170&lt;=0,"Drop",IF(J170&gt;=0.6,"Profit product",IF(J170&gt;=0.5,"Traffic product","Thin - rework"))))</f>
        <v/>
      </c>
    </row>
    <row r="171">
      <c r="B171" s="3" t="n"/>
      <c r="C171" s="3" t="n"/>
      <c r="D171" s="3" t="n"/>
      <c r="E171" s="4" t="n"/>
      <c r="F171" s="4" t="n"/>
      <c r="G171" s="4" t="n"/>
      <c r="H171" s="4" t="n"/>
      <c r="I171" s="5">
        <f>IF(A171="","",B171-C171-D171-B171*(E171+F171+G171))</f>
        <v/>
      </c>
      <c r="J171" s="6">
        <f>IF(A171="","",IFERROR(I171/B171,0))</f>
        <v/>
      </c>
      <c r="K171" s="5">
        <f>IF(A171="","",I171-B171*H171)</f>
        <v/>
      </c>
      <c r="L171" s="6">
        <f>IF(A171="","",IFERROR(K171/B171,0))</f>
        <v/>
      </c>
      <c r="M171" s="7">
        <f>IF(A171="","",IFERROR(B171/I171,0))</f>
        <v/>
      </c>
      <c r="N171" s="8">
        <f>IF(A171="","",IF(K171&lt;=0,"Drop",IF(J171&gt;=0.6,"Profit product",IF(J171&gt;=0.5,"Traffic product","Thin - rework"))))</f>
        <v/>
      </c>
    </row>
    <row r="172">
      <c r="B172" s="3" t="n"/>
      <c r="C172" s="3" t="n"/>
      <c r="D172" s="3" t="n"/>
      <c r="E172" s="4" t="n"/>
      <c r="F172" s="4" t="n"/>
      <c r="G172" s="4" t="n"/>
      <c r="H172" s="4" t="n"/>
      <c r="I172" s="5">
        <f>IF(A172="","",B172-C172-D172-B172*(E172+F172+G172))</f>
        <v/>
      </c>
      <c r="J172" s="6">
        <f>IF(A172="","",IFERROR(I172/B172,0))</f>
        <v/>
      </c>
      <c r="K172" s="5">
        <f>IF(A172="","",I172-B172*H172)</f>
        <v/>
      </c>
      <c r="L172" s="6">
        <f>IF(A172="","",IFERROR(K172/B172,0))</f>
        <v/>
      </c>
      <c r="M172" s="7">
        <f>IF(A172="","",IFERROR(B172/I172,0))</f>
        <v/>
      </c>
      <c r="N172" s="8">
        <f>IF(A172="","",IF(K172&lt;=0,"Drop",IF(J172&gt;=0.6,"Profit product",IF(J172&gt;=0.5,"Traffic product","Thin - rework"))))</f>
        <v/>
      </c>
    </row>
    <row r="173">
      <c r="B173" s="3" t="n"/>
      <c r="C173" s="3" t="n"/>
      <c r="D173" s="3" t="n"/>
      <c r="E173" s="4" t="n"/>
      <c r="F173" s="4" t="n"/>
      <c r="G173" s="4" t="n"/>
      <c r="H173" s="4" t="n"/>
      <c r="I173" s="5">
        <f>IF(A173="","",B173-C173-D173-B173*(E173+F173+G173))</f>
        <v/>
      </c>
      <c r="J173" s="6">
        <f>IF(A173="","",IFERROR(I173/B173,0))</f>
        <v/>
      </c>
      <c r="K173" s="5">
        <f>IF(A173="","",I173-B173*H173)</f>
        <v/>
      </c>
      <c r="L173" s="6">
        <f>IF(A173="","",IFERROR(K173/B173,0))</f>
        <v/>
      </c>
      <c r="M173" s="7">
        <f>IF(A173="","",IFERROR(B173/I173,0))</f>
        <v/>
      </c>
      <c r="N173" s="8">
        <f>IF(A173="","",IF(K173&lt;=0,"Drop",IF(J173&gt;=0.6,"Profit product",IF(J173&gt;=0.5,"Traffic product","Thin - rework"))))</f>
        <v/>
      </c>
    </row>
    <row r="174">
      <c r="B174" s="3" t="n"/>
      <c r="C174" s="3" t="n"/>
      <c r="D174" s="3" t="n"/>
      <c r="E174" s="4" t="n"/>
      <c r="F174" s="4" t="n"/>
      <c r="G174" s="4" t="n"/>
      <c r="H174" s="4" t="n"/>
      <c r="I174" s="5">
        <f>IF(A174="","",B174-C174-D174-B174*(E174+F174+G174))</f>
        <v/>
      </c>
      <c r="J174" s="6">
        <f>IF(A174="","",IFERROR(I174/B174,0))</f>
        <v/>
      </c>
      <c r="K174" s="5">
        <f>IF(A174="","",I174-B174*H174)</f>
        <v/>
      </c>
      <c r="L174" s="6">
        <f>IF(A174="","",IFERROR(K174/B174,0))</f>
        <v/>
      </c>
      <c r="M174" s="7">
        <f>IF(A174="","",IFERROR(B174/I174,0))</f>
        <v/>
      </c>
      <c r="N174" s="8">
        <f>IF(A174="","",IF(K174&lt;=0,"Drop",IF(J174&gt;=0.6,"Profit product",IF(J174&gt;=0.5,"Traffic product","Thin - rework"))))</f>
        <v/>
      </c>
    </row>
    <row r="175">
      <c r="B175" s="3" t="n"/>
      <c r="C175" s="3" t="n"/>
      <c r="D175" s="3" t="n"/>
      <c r="E175" s="4" t="n"/>
      <c r="F175" s="4" t="n"/>
      <c r="G175" s="4" t="n"/>
      <c r="H175" s="4" t="n"/>
      <c r="I175" s="5">
        <f>IF(A175="","",B175-C175-D175-B175*(E175+F175+G175))</f>
        <v/>
      </c>
      <c r="J175" s="6">
        <f>IF(A175="","",IFERROR(I175/B175,0))</f>
        <v/>
      </c>
      <c r="K175" s="5">
        <f>IF(A175="","",I175-B175*H175)</f>
        <v/>
      </c>
      <c r="L175" s="6">
        <f>IF(A175="","",IFERROR(K175/B175,0))</f>
        <v/>
      </c>
      <c r="M175" s="7">
        <f>IF(A175="","",IFERROR(B175/I175,0))</f>
        <v/>
      </c>
      <c r="N175" s="8">
        <f>IF(A175="","",IF(K175&lt;=0,"Drop",IF(J175&gt;=0.6,"Profit product",IF(J175&gt;=0.5,"Traffic product","Thin - rework"))))</f>
        <v/>
      </c>
    </row>
    <row r="176">
      <c r="B176" s="3" t="n"/>
      <c r="C176" s="3" t="n"/>
      <c r="D176" s="3" t="n"/>
      <c r="E176" s="4" t="n"/>
      <c r="F176" s="4" t="n"/>
      <c r="G176" s="4" t="n"/>
      <c r="H176" s="4" t="n"/>
      <c r="I176" s="5">
        <f>IF(A176="","",B176-C176-D176-B176*(E176+F176+G176))</f>
        <v/>
      </c>
      <c r="J176" s="6">
        <f>IF(A176="","",IFERROR(I176/B176,0))</f>
        <v/>
      </c>
      <c r="K176" s="5">
        <f>IF(A176="","",I176-B176*H176)</f>
        <v/>
      </c>
      <c r="L176" s="6">
        <f>IF(A176="","",IFERROR(K176/B176,0))</f>
        <v/>
      </c>
      <c r="M176" s="7">
        <f>IF(A176="","",IFERROR(B176/I176,0))</f>
        <v/>
      </c>
      <c r="N176" s="8">
        <f>IF(A176="","",IF(K176&lt;=0,"Drop",IF(J176&gt;=0.6,"Profit product",IF(J176&gt;=0.5,"Traffic product","Thin - rework"))))</f>
        <v/>
      </c>
    </row>
    <row r="177">
      <c r="B177" s="3" t="n"/>
      <c r="C177" s="3" t="n"/>
      <c r="D177" s="3" t="n"/>
      <c r="E177" s="4" t="n"/>
      <c r="F177" s="4" t="n"/>
      <c r="G177" s="4" t="n"/>
      <c r="H177" s="4" t="n"/>
      <c r="I177" s="5">
        <f>IF(A177="","",B177-C177-D177-B177*(E177+F177+G177))</f>
        <v/>
      </c>
      <c r="J177" s="6">
        <f>IF(A177="","",IFERROR(I177/B177,0))</f>
        <v/>
      </c>
      <c r="K177" s="5">
        <f>IF(A177="","",I177-B177*H177)</f>
        <v/>
      </c>
      <c r="L177" s="6">
        <f>IF(A177="","",IFERROR(K177/B177,0))</f>
        <v/>
      </c>
      <c r="M177" s="7">
        <f>IF(A177="","",IFERROR(B177/I177,0))</f>
        <v/>
      </c>
      <c r="N177" s="8">
        <f>IF(A177="","",IF(K177&lt;=0,"Drop",IF(J177&gt;=0.6,"Profit product",IF(J177&gt;=0.5,"Traffic product","Thin - rework"))))</f>
        <v/>
      </c>
    </row>
    <row r="178">
      <c r="B178" s="3" t="n"/>
      <c r="C178" s="3" t="n"/>
      <c r="D178" s="3" t="n"/>
      <c r="E178" s="4" t="n"/>
      <c r="F178" s="4" t="n"/>
      <c r="G178" s="4" t="n"/>
      <c r="H178" s="4" t="n"/>
      <c r="I178" s="5">
        <f>IF(A178="","",B178-C178-D178-B178*(E178+F178+G178))</f>
        <v/>
      </c>
      <c r="J178" s="6">
        <f>IF(A178="","",IFERROR(I178/B178,0))</f>
        <v/>
      </c>
      <c r="K178" s="5">
        <f>IF(A178="","",I178-B178*H178)</f>
        <v/>
      </c>
      <c r="L178" s="6">
        <f>IF(A178="","",IFERROR(K178/B178,0))</f>
        <v/>
      </c>
      <c r="M178" s="7">
        <f>IF(A178="","",IFERROR(B178/I178,0))</f>
        <v/>
      </c>
      <c r="N178" s="8">
        <f>IF(A178="","",IF(K178&lt;=0,"Drop",IF(J178&gt;=0.6,"Profit product",IF(J178&gt;=0.5,"Traffic product","Thin - rework"))))</f>
        <v/>
      </c>
    </row>
    <row r="179">
      <c r="B179" s="3" t="n"/>
      <c r="C179" s="3" t="n"/>
      <c r="D179" s="3" t="n"/>
      <c r="E179" s="4" t="n"/>
      <c r="F179" s="4" t="n"/>
      <c r="G179" s="4" t="n"/>
      <c r="H179" s="4" t="n"/>
      <c r="I179" s="5">
        <f>IF(A179="","",B179-C179-D179-B179*(E179+F179+G179))</f>
        <v/>
      </c>
      <c r="J179" s="6">
        <f>IF(A179="","",IFERROR(I179/B179,0))</f>
        <v/>
      </c>
      <c r="K179" s="5">
        <f>IF(A179="","",I179-B179*H179)</f>
        <v/>
      </c>
      <c r="L179" s="6">
        <f>IF(A179="","",IFERROR(K179/B179,0))</f>
        <v/>
      </c>
      <c r="M179" s="7">
        <f>IF(A179="","",IFERROR(B179/I179,0))</f>
        <v/>
      </c>
      <c r="N179" s="8">
        <f>IF(A179="","",IF(K179&lt;=0,"Drop",IF(J179&gt;=0.6,"Profit product",IF(J179&gt;=0.5,"Traffic product","Thin - rework"))))</f>
        <v/>
      </c>
    </row>
    <row r="180">
      <c r="B180" s="3" t="n"/>
      <c r="C180" s="3" t="n"/>
      <c r="D180" s="3" t="n"/>
      <c r="E180" s="4" t="n"/>
      <c r="F180" s="4" t="n"/>
      <c r="G180" s="4" t="n"/>
      <c r="H180" s="4" t="n"/>
      <c r="I180" s="5">
        <f>IF(A180="","",B180-C180-D180-B180*(E180+F180+G180))</f>
        <v/>
      </c>
      <c r="J180" s="6">
        <f>IF(A180="","",IFERROR(I180/B180,0))</f>
        <v/>
      </c>
      <c r="K180" s="5">
        <f>IF(A180="","",I180-B180*H180)</f>
        <v/>
      </c>
      <c r="L180" s="6">
        <f>IF(A180="","",IFERROR(K180/B180,0))</f>
        <v/>
      </c>
      <c r="M180" s="7">
        <f>IF(A180="","",IFERROR(B180/I180,0))</f>
        <v/>
      </c>
      <c r="N180" s="8">
        <f>IF(A180="","",IF(K180&lt;=0,"Drop",IF(J180&gt;=0.6,"Profit product",IF(J180&gt;=0.5,"Traffic product","Thin - rework"))))</f>
        <v/>
      </c>
    </row>
    <row r="181">
      <c r="B181" s="3" t="n"/>
      <c r="C181" s="3" t="n"/>
      <c r="D181" s="3" t="n"/>
      <c r="E181" s="4" t="n"/>
      <c r="F181" s="4" t="n"/>
      <c r="G181" s="4" t="n"/>
      <c r="H181" s="4" t="n"/>
      <c r="I181" s="5">
        <f>IF(A181="","",B181-C181-D181-B181*(E181+F181+G181))</f>
        <v/>
      </c>
      <c r="J181" s="6">
        <f>IF(A181="","",IFERROR(I181/B181,0))</f>
        <v/>
      </c>
      <c r="K181" s="5">
        <f>IF(A181="","",I181-B181*H181)</f>
        <v/>
      </c>
      <c r="L181" s="6">
        <f>IF(A181="","",IFERROR(K181/B181,0))</f>
        <v/>
      </c>
      <c r="M181" s="7">
        <f>IF(A181="","",IFERROR(B181/I181,0))</f>
        <v/>
      </c>
      <c r="N181" s="8">
        <f>IF(A181="","",IF(K181&lt;=0,"Drop",IF(J181&gt;=0.6,"Profit product",IF(J181&gt;=0.5,"Traffic product","Thin - rework"))))</f>
        <v/>
      </c>
    </row>
    <row r="182">
      <c r="B182" s="3" t="n"/>
      <c r="C182" s="3" t="n"/>
      <c r="D182" s="3" t="n"/>
      <c r="E182" s="4" t="n"/>
      <c r="F182" s="4" t="n"/>
      <c r="G182" s="4" t="n"/>
      <c r="H182" s="4" t="n"/>
      <c r="I182" s="5">
        <f>IF(A182="","",B182-C182-D182-B182*(E182+F182+G182))</f>
        <v/>
      </c>
      <c r="J182" s="6">
        <f>IF(A182="","",IFERROR(I182/B182,0))</f>
        <v/>
      </c>
      <c r="K182" s="5">
        <f>IF(A182="","",I182-B182*H182)</f>
        <v/>
      </c>
      <c r="L182" s="6">
        <f>IF(A182="","",IFERROR(K182/B182,0))</f>
        <v/>
      </c>
      <c r="M182" s="7">
        <f>IF(A182="","",IFERROR(B182/I182,0))</f>
        <v/>
      </c>
      <c r="N182" s="8">
        <f>IF(A182="","",IF(K182&lt;=0,"Drop",IF(J182&gt;=0.6,"Profit product",IF(J182&gt;=0.5,"Traffic product","Thin - rework"))))</f>
        <v/>
      </c>
    </row>
    <row r="183">
      <c r="B183" s="3" t="n"/>
      <c r="C183" s="3" t="n"/>
      <c r="D183" s="3" t="n"/>
      <c r="E183" s="4" t="n"/>
      <c r="F183" s="4" t="n"/>
      <c r="G183" s="4" t="n"/>
      <c r="H183" s="4" t="n"/>
      <c r="I183" s="5">
        <f>IF(A183="","",B183-C183-D183-B183*(E183+F183+G183))</f>
        <v/>
      </c>
      <c r="J183" s="6">
        <f>IF(A183="","",IFERROR(I183/B183,0))</f>
        <v/>
      </c>
      <c r="K183" s="5">
        <f>IF(A183="","",I183-B183*H183)</f>
        <v/>
      </c>
      <c r="L183" s="6">
        <f>IF(A183="","",IFERROR(K183/B183,0))</f>
        <v/>
      </c>
      <c r="M183" s="7">
        <f>IF(A183="","",IFERROR(B183/I183,0))</f>
        <v/>
      </c>
      <c r="N183" s="8">
        <f>IF(A183="","",IF(K183&lt;=0,"Drop",IF(J183&gt;=0.6,"Profit product",IF(J183&gt;=0.5,"Traffic product","Thin - rework"))))</f>
        <v/>
      </c>
    </row>
    <row r="184">
      <c r="B184" s="3" t="n"/>
      <c r="C184" s="3" t="n"/>
      <c r="D184" s="3" t="n"/>
      <c r="E184" s="4" t="n"/>
      <c r="F184" s="4" t="n"/>
      <c r="G184" s="4" t="n"/>
      <c r="H184" s="4" t="n"/>
      <c r="I184" s="5">
        <f>IF(A184="","",B184-C184-D184-B184*(E184+F184+G184))</f>
        <v/>
      </c>
      <c r="J184" s="6">
        <f>IF(A184="","",IFERROR(I184/B184,0))</f>
        <v/>
      </c>
      <c r="K184" s="5">
        <f>IF(A184="","",I184-B184*H184)</f>
        <v/>
      </c>
      <c r="L184" s="6">
        <f>IF(A184="","",IFERROR(K184/B184,0))</f>
        <v/>
      </c>
      <c r="M184" s="7">
        <f>IF(A184="","",IFERROR(B184/I184,0))</f>
        <v/>
      </c>
      <c r="N184" s="8">
        <f>IF(A184="","",IF(K184&lt;=0,"Drop",IF(J184&gt;=0.6,"Profit product",IF(J184&gt;=0.5,"Traffic product","Thin - rework"))))</f>
        <v/>
      </c>
    </row>
    <row r="185">
      <c r="B185" s="3" t="n"/>
      <c r="C185" s="3" t="n"/>
      <c r="D185" s="3" t="n"/>
      <c r="E185" s="4" t="n"/>
      <c r="F185" s="4" t="n"/>
      <c r="G185" s="4" t="n"/>
      <c r="H185" s="4" t="n"/>
      <c r="I185" s="5">
        <f>IF(A185="","",B185-C185-D185-B185*(E185+F185+G185))</f>
        <v/>
      </c>
      <c r="J185" s="6">
        <f>IF(A185="","",IFERROR(I185/B185,0))</f>
        <v/>
      </c>
      <c r="K185" s="5">
        <f>IF(A185="","",I185-B185*H185)</f>
        <v/>
      </c>
      <c r="L185" s="6">
        <f>IF(A185="","",IFERROR(K185/B185,0))</f>
        <v/>
      </c>
      <c r="M185" s="7">
        <f>IF(A185="","",IFERROR(B185/I185,0))</f>
        <v/>
      </c>
      <c r="N185" s="8">
        <f>IF(A185="","",IF(K185&lt;=0,"Drop",IF(J185&gt;=0.6,"Profit product",IF(J185&gt;=0.5,"Traffic product","Thin - rework"))))</f>
        <v/>
      </c>
    </row>
    <row r="186">
      <c r="B186" s="3" t="n"/>
      <c r="C186" s="3" t="n"/>
      <c r="D186" s="3" t="n"/>
      <c r="E186" s="4" t="n"/>
      <c r="F186" s="4" t="n"/>
      <c r="G186" s="4" t="n"/>
      <c r="H186" s="4" t="n"/>
      <c r="I186" s="5">
        <f>IF(A186="","",B186-C186-D186-B186*(E186+F186+G186))</f>
        <v/>
      </c>
      <c r="J186" s="6">
        <f>IF(A186="","",IFERROR(I186/B186,0))</f>
        <v/>
      </c>
      <c r="K186" s="5">
        <f>IF(A186="","",I186-B186*H186)</f>
        <v/>
      </c>
      <c r="L186" s="6">
        <f>IF(A186="","",IFERROR(K186/B186,0))</f>
        <v/>
      </c>
      <c r="M186" s="7">
        <f>IF(A186="","",IFERROR(B186/I186,0))</f>
        <v/>
      </c>
      <c r="N186" s="8">
        <f>IF(A186="","",IF(K186&lt;=0,"Drop",IF(J186&gt;=0.6,"Profit product",IF(J186&gt;=0.5,"Traffic product","Thin - rework"))))</f>
        <v/>
      </c>
    </row>
    <row r="187">
      <c r="B187" s="3" t="n"/>
      <c r="C187" s="3" t="n"/>
      <c r="D187" s="3" t="n"/>
      <c r="E187" s="4" t="n"/>
      <c r="F187" s="4" t="n"/>
      <c r="G187" s="4" t="n"/>
      <c r="H187" s="4" t="n"/>
      <c r="I187" s="5">
        <f>IF(A187="","",B187-C187-D187-B187*(E187+F187+G187))</f>
        <v/>
      </c>
      <c r="J187" s="6">
        <f>IF(A187="","",IFERROR(I187/B187,0))</f>
        <v/>
      </c>
      <c r="K187" s="5">
        <f>IF(A187="","",I187-B187*H187)</f>
        <v/>
      </c>
      <c r="L187" s="6">
        <f>IF(A187="","",IFERROR(K187/B187,0))</f>
        <v/>
      </c>
      <c r="M187" s="7">
        <f>IF(A187="","",IFERROR(B187/I187,0))</f>
        <v/>
      </c>
      <c r="N187" s="8">
        <f>IF(A187="","",IF(K187&lt;=0,"Drop",IF(J187&gt;=0.6,"Profit product",IF(J187&gt;=0.5,"Traffic product","Thin - rework"))))</f>
        <v/>
      </c>
    </row>
    <row r="188">
      <c r="B188" s="3" t="n"/>
      <c r="C188" s="3" t="n"/>
      <c r="D188" s="3" t="n"/>
      <c r="E188" s="4" t="n"/>
      <c r="F188" s="4" t="n"/>
      <c r="G188" s="4" t="n"/>
      <c r="H188" s="4" t="n"/>
      <c r="I188" s="5">
        <f>IF(A188="","",B188-C188-D188-B188*(E188+F188+G188))</f>
        <v/>
      </c>
      <c r="J188" s="6">
        <f>IF(A188="","",IFERROR(I188/B188,0))</f>
        <v/>
      </c>
      <c r="K188" s="5">
        <f>IF(A188="","",I188-B188*H188)</f>
        <v/>
      </c>
      <c r="L188" s="6">
        <f>IF(A188="","",IFERROR(K188/B188,0))</f>
        <v/>
      </c>
      <c r="M188" s="7">
        <f>IF(A188="","",IFERROR(B188/I188,0))</f>
        <v/>
      </c>
      <c r="N188" s="8">
        <f>IF(A188="","",IF(K188&lt;=0,"Drop",IF(J188&gt;=0.6,"Profit product",IF(J188&gt;=0.5,"Traffic product","Thin - rework"))))</f>
        <v/>
      </c>
    </row>
    <row r="189">
      <c r="B189" s="3" t="n"/>
      <c r="C189" s="3" t="n"/>
      <c r="D189" s="3" t="n"/>
      <c r="E189" s="4" t="n"/>
      <c r="F189" s="4" t="n"/>
      <c r="G189" s="4" t="n"/>
      <c r="H189" s="4" t="n"/>
      <c r="I189" s="5">
        <f>IF(A189="","",B189-C189-D189-B189*(E189+F189+G189))</f>
        <v/>
      </c>
      <c r="J189" s="6">
        <f>IF(A189="","",IFERROR(I189/B189,0))</f>
        <v/>
      </c>
      <c r="K189" s="5">
        <f>IF(A189="","",I189-B189*H189)</f>
        <v/>
      </c>
      <c r="L189" s="6">
        <f>IF(A189="","",IFERROR(K189/B189,0))</f>
        <v/>
      </c>
      <c r="M189" s="7">
        <f>IF(A189="","",IFERROR(B189/I189,0))</f>
        <v/>
      </c>
      <c r="N189" s="8">
        <f>IF(A189="","",IF(K189&lt;=0,"Drop",IF(J189&gt;=0.6,"Profit product",IF(J189&gt;=0.5,"Traffic product","Thin - rework"))))</f>
        <v/>
      </c>
    </row>
    <row r="190">
      <c r="B190" s="3" t="n"/>
      <c r="C190" s="3" t="n"/>
      <c r="D190" s="3" t="n"/>
      <c r="E190" s="4" t="n"/>
      <c r="F190" s="4" t="n"/>
      <c r="G190" s="4" t="n"/>
      <c r="H190" s="4" t="n"/>
      <c r="I190" s="5">
        <f>IF(A190="","",B190-C190-D190-B190*(E190+F190+G190))</f>
        <v/>
      </c>
      <c r="J190" s="6">
        <f>IF(A190="","",IFERROR(I190/B190,0))</f>
        <v/>
      </c>
      <c r="K190" s="5">
        <f>IF(A190="","",I190-B190*H190)</f>
        <v/>
      </c>
      <c r="L190" s="6">
        <f>IF(A190="","",IFERROR(K190/B190,0))</f>
        <v/>
      </c>
      <c r="M190" s="7">
        <f>IF(A190="","",IFERROR(B190/I190,0))</f>
        <v/>
      </c>
      <c r="N190" s="8">
        <f>IF(A190="","",IF(K190&lt;=0,"Drop",IF(J190&gt;=0.6,"Profit product",IF(J190&gt;=0.5,"Traffic product","Thin - rework"))))</f>
        <v/>
      </c>
    </row>
    <row r="191">
      <c r="B191" s="3" t="n"/>
      <c r="C191" s="3" t="n"/>
      <c r="D191" s="3" t="n"/>
      <c r="E191" s="4" t="n"/>
      <c r="F191" s="4" t="n"/>
      <c r="G191" s="4" t="n"/>
      <c r="H191" s="4" t="n"/>
      <c r="I191" s="5">
        <f>IF(A191="","",B191-C191-D191-B191*(E191+F191+G191))</f>
        <v/>
      </c>
      <c r="J191" s="6">
        <f>IF(A191="","",IFERROR(I191/B191,0))</f>
        <v/>
      </c>
      <c r="K191" s="5">
        <f>IF(A191="","",I191-B191*H191)</f>
        <v/>
      </c>
      <c r="L191" s="6">
        <f>IF(A191="","",IFERROR(K191/B191,0))</f>
        <v/>
      </c>
      <c r="M191" s="7">
        <f>IF(A191="","",IFERROR(B191/I191,0))</f>
        <v/>
      </c>
      <c r="N191" s="8">
        <f>IF(A191="","",IF(K191&lt;=0,"Drop",IF(J191&gt;=0.6,"Profit product",IF(J191&gt;=0.5,"Traffic product","Thin - rework"))))</f>
        <v/>
      </c>
    </row>
    <row r="192">
      <c r="B192" s="3" t="n"/>
      <c r="C192" s="3" t="n"/>
      <c r="D192" s="3" t="n"/>
      <c r="E192" s="4" t="n"/>
      <c r="F192" s="4" t="n"/>
      <c r="G192" s="4" t="n"/>
      <c r="H192" s="4" t="n"/>
      <c r="I192" s="5">
        <f>IF(A192="","",B192-C192-D192-B192*(E192+F192+G192))</f>
        <v/>
      </c>
      <c r="J192" s="6">
        <f>IF(A192="","",IFERROR(I192/B192,0))</f>
        <v/>
      </c>
      <c r="K192" s="5">
        <f>IF(A192="","",I192-B192*H192)</f>
        <v/>
      </c>
      <c r="L192" s="6">
        <f>IF(A192="","",IFERROR(K192/B192,0))</f>
        <v/>
      </c>
      <c r="M192" s="7">
        <f>IF(A192="","",IFERROR(B192/I192,0))</f>
        <v/>
      </c>
      <c r="N192" s="8">
        <f>IF(A192="","",IF(K192&lt;=0,"Drop",IF(J192&gt;=0.6,"Profit product",IF(J192&gt;=0.5,"Traffic product","Thin - rework"))))</f>
        <v/>
      </c>
    </row>
    <row r="193">
      <c r="B193" s="3" t="n"/>
      <c r="C193" s="3" t="n"/>
      <c r="D193" s="3" t="n"/>
      <c r="E193" s="4" t="n"/>
      <c r="F193" s="4" t="n"/>
      <c r="G193" s="4" t="n"/>
      <c r="H193" s="4" t="n"/>
      <c r="I193" s="5">
        <f>IF(A193="","",B193-C193-D193-B193*(E193+F193+G193))</f>
        <v/>
      </c>
      <c r="J193" s="6">
        <f>IF(A193="","",IFERROR(I193/B193,0))</f>
        <v/>
      </c>
      <c r="K193" s="5">
        <f>IF(A193="","",I193-B193*H193)</f>
        <v/>
      </c>
      <c r="L193" s="6">
        <f>IF(A193="","",IFERROR(K193/B193,0))</f>
        <v/>
      </c>
      <c r="M193" s="7">
        <f>IF(A193="","",IFERROR(B193/I193,0))</f>
        <v/>
      </c>
      <c r="N193" s="8">
        <f>IF(A193="","",IF(K193&lt;=0,"Drop",IF(J193&gt;=0.6,"Profit product",IF(J193&gt;=0.5,"Traffic product","Thin - rework"))))</f>
        <v/>
      </c>
    </row>
    <row r="194">
      <c r="B194" s="3" t="n"/>
      <c r="C194" s="3" t="n"/>
      <c r="D194" s="3" t="n"/>
      <c r="E194" s="4" t="n"/>
      <c r="F194" s="4" t="n"/>
      <c r="G194" s="4" t="n"/>
      <c r="H194" s="4" t="n"/>
      <c r="I194" s="5">
        <f>IF(A194="","",B194-C194-D194-B194*(E194+F194+G194))</f>
        <v/>
      </c>
      <c r="J194" s="6">
        <f>IF(A194="","",IFERROR(I194/B194,0))</f>
        <v/>
      </c>
      <c r="K194" s="5">
        <f>IF(A194="","",I194-B194*H194)</f>
        <v/>
      </c>
      <c r="L194" s="6">
        <f>IF(A194="","",IFERROR(K194/B194,0))</f>
        <v/>
      </c>
      <c r="M194" s="7">
        <f>IF(A194="","",IFERROR(B194/I194,0))</f>
        <v/>
      </c>
      <c r="N194" s="8">
        <f>IF(A194="","",IF(K194&lt;=0,"Drop",IF(J194&gt;=0.6,"Profit product",IF(J194&gt;=0.5,"Traffic product","Thin - rework"))))</f>
        <v/>
      </c>
    </row>
    <row r="195">
      <c r="B195" s="3" t="n"/>
      <c r="C195" s="3" t="n"/>
      <c r="D195" s="3" t="n"/>
      <c r="E195" s="4" t="n"/>
      <c r="F195" s="4" t="n"/>
      <c r="G195" s="4" t="n"/>
      <c r="H195" s="4" t="n"/>
      <c r="I195" s="5">
        <f>IF(A195="","",B195-C195-D195-B195*(E195+F195+G195))</f>
        <v/>
      </c>
      <c r="J195" s="6">
        <f>IF(A195="","",IFERROR(I195/B195,0))</f>
        <v/>
      </c>
      <c r="K195" s="5">
        <f>IF(A195="","",I195-B195*H195)</f>
        <v/>
      </c>
      <c r="L195" s="6">
        <f>IF(A195="","",IFERROR(K195/B195,0))</f>
        <v/>
      </c>
      <c r="M195" s="7">
        <f>IF(A195="","",IFERROR(B195/I195,0))</f>
        <v/>
      </c>
      <c r="N195" s="8">
        <f>IF(A195="","",IF(K195&lt;=0,"Drop",IF(J195&gt;=0.6,"Profit product",IF(J195&gt;=0.5,"Traffic product","Thin - rework"))))</f>
        <v/>
      </c>
    </row>
    <row r="196">
      <c r="B196" s="3" t="n"/>
      <c r="C196" s="3" t="n"/>
      <c r="D196" s="3" t="n"/>
      <c r="E196" s="4" t="n"/>
      <c r="F196" s="4" t="n"/>
      <c r="G196" s="4" t="n"/>
      <c r="H196" s="4" t="n"/>
      <c r="I196" s="5">
        <f>IF(A196="","",B196-C196-D196-B196*(E196+F196+G196))</f>
        <v/>
      </c>
      <c r="J196" s="6">
        <f>IF(A196="","",IFERROR(I196/B196,0))</f>
        <v/>
      </c>
      <c r="K196" s="5">
        <f>IF(A196="","",I196-B196*H196)</f>
        <v/>
      </c>
      <c r="L196" s="6">
        <f>IF(A196="","",IFERROR(K196/B196,0))</f>
        <v/>
      </c>
      <c r="M196" s="7">
        <f>IF(A196="","",IFERROR(B196/I196,0))</f>
        <v/>
      </c>
      <c r="N196" s="8">
        <f>IF(A196="","",IF(K196&lt;=0,"Drop",IF(J196&gt;=0.6,"Profit product",IF(J196&gt;=0.5,"Traffic product","Thin - rework"))))</f>
        <v/>
      </c>
    </row>
    <row r="197">
      <c r="B197" s="3" t="n"/>
      <c r="C197" s="3" t="n"/>
      <c r="D197" s="3" t="n"/>
      <c r="E197" s="4" t="n"/>
      <c r="F197" s="4" t="n"/>
      <c r="G197" s="4" t="n"/>
      <c r="H197" s="4" t="n"/>
      <c r="I197" s="5">
        <f>IF(A197="","",B197-C197-D197-B197*(E197+F197+G197))</f>
        <v/>
      </c>
      <c r="J197" s="6">
        <f>IF(A197="","",IFERROR(I197/B197,0))</f>
        <v/>
      </c>
      <c r="K197" s="5">
        <f>IF(A197="","",I197-B197*H197)</f>
        <v/>
      </c>
      <c r="L197" s="6">
        <f>IF(A197="","",IFERROR(K197/B197,0))</f>
        <v/>
      </c>
      <c r="M197" s="7">
        <f>IF(A197="","",IFERROR(B197/I197,0))</f>
        <v/>
      </c>
      <c r="N197" s="8">
        <f>IF(A197="","",IF(K197&lt;=0,"Drop",IF(J197&gt;=0.6,"Profit product",IF(J197&gt;=0.5,"Traffic product","Thin - rework"))))</f>
        <v/>
      </c>
    </row>
    <row r="198">
      <c r="B198" s="3" t="n"/>
      <c r="C198" s="3" t="n"/>
      <c r="D198" s="3" t="n"/>
      <c r="E198" s="4" t="n"/>
      <c r="F198" s="4" t="n"/>
      <c r="G198" s="4" t="n"/>
      <c r="H198" s="4" t="n"/>
      <c r="I198" s="5">
        <f>IF(A198="","",B198-C198-D198-B198*(E198+F198+G198))</f>
        <v/>
      </c>
      <c r="J198" s="6">
        <f>IF(A198="","",IFERROR(I198/B198,0))</f>
        <v/>
      </c>
      <c r="K198" s="5">
        <f>IF(A198="","",I198-B198*H198)</f>
        <v/>
      </c>
      <c r="L198" s="6">
        <f>IF(A198="","",IFERROR(K198/B198,0))</f>
        <v/>
      </c>
      <c r="M198" s="7">
        <f>IF(A198="","",IFERROR(B198/I198,0))</f>
        <v/>
      </c>
      <c r="N198" s="8">
        <f>IF(A198="","",IF(K198&lt;=0,"Drop",IF(J198&gt;=0.6,"Profit product",IF(J198&gt;=0.5,"Traffic product","Thin - rework"))))</f>
        <v/>
      </c>
    </row>
    <row r="199">
      <c r="B199" s="3" t="n"/>
      <c r="C199" s="3" t="n"/>
      <c r="D199" s="3" t="n"/>
      <c r="E199" s="4" t="n"/>
      <c r="F199" s="4" t="n"/>
      <c r="G199" s="4" t="n"/>
      <c r="H199" s="4" t="n"/>
      <c r="I199" s="5">
        <f>IF(A199="","",B199-C199-D199-B199*(E199+F199+G199))</f>
        <v/>
      </c>
      <c r="J199" s="6">
        <f>IF(A199="","",IFERROR(I199/B199,0))</f>
        <v/>
      </c>
      <c r="K199" s="5">
        <f>IF(A199="","",I199-B199*H199)</f>
        <v/>
      </c>
      <c r="L199" s="6">
        <f>IF(A199="","",IFERROR(K199/B199,0))</f>
        <v/>
      </c>
      <c r="M199" s="7">
        <f>IF(A199="","",IFERROR(B199/I199,0))</f>
        <v/>
      </c>
      <c r="N199" s="8">
        <f>IF(A199="","",IF(K199&lt;=0,"Drop",IF(J199&gt;=0.6,"Profit product",IF(J199&gt;=0.5,"Traffic product","Thin - rework"))))</f>
        <v/>
      </c>
    </row>
    <row r="200">
      <c r="B200" s="3" t="n"/>
      <c r="C200" s="3" t="n"/>
      <c r="D200" s="3" t="n"/>
      <c r="E200" s="4" t="n"/>
      <c r="F200" s="4" t="n"/>
      <c r="G200" s="4" t="n"/>
      <c r="H200" s="4" t="n"/>
      <c r="I200" s="5">
        <f>IF(A200="","",B200-C200-D200-B200*(E200+F200+G200))</f>
        <v/>
      </c>
      <c r="J200" s="6">
        <f>IF(A200="","",IFERROR(I200/B200,0))</f>
        <v/>
      </c>
      <c r="K200" s="5">
        <f>IF(A200="","",I200-B200*H200)</f>
        <v/>
      </c>
      <c r="L200" s="6">
        <f>IF(A200="","",IFERROR(K200/B200,0))</f>
        <v/>
      </c>
      <c r="M200" s="7">
        <f>IF(A200="","",IFERROR(B200/I200,0))</f>
        <v/>
      </c>
      <c r="N200" s="8">
        <f>IF(A200="","",IF(K200&lt;=0,"Drop",IF(J200&gt;=0.6,"Profit product",IF(J200&gt;=0.5,"Traffic product","Thin - rework"))))</f>
        <v/>
      </c>
    </row>
    <row r="201">
      <c r="B201" s="3" t="n"/>
      <c r="C201" s="3" t="n"/>
      <c r="D201" s="3" t="n"/>
      <c r="E201" s="4" t="n"/>
      <c r="F201" s="4" t="n"/>
      <c r="G201" s="4" t="n"/>
      <c r="H201" s="4" t="n"/>
      <c r="I201" s="5">
        <f>IF(A201="","",B201-C201-D201-B201*(E201+F201+G201))</f>
        <v/>
      </c>
      <c r="J201" s="6">
        <f>IF(A201="","",IFERROR(I201/B201,0))</f>
        <v/>
      </c>
      <c r="K201" s="5">
        <f>IF(A201="","",I201-B201*H201)</f>
        <v/>
      </c>
      <c r="L201" s="6">
        <f>IF(A201="","",IFERROR(K201/B201,0))</f>
        <v/>
      </c>
      <c r="M201" s="7">
        <f>IF(A201="","",IFERROR(B201/I201,0))</f>
        <v/>
      </c>
      <c r="N201" s="8">
        <f>IF(A201="","",IF(K201&lt;=0,"Drop",IF(J201&gt;=0.6,"Profit product",IF(J201&gt;=0.5,"Traffic product","Thin - rework"))))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9" t="inlineStr">
        <is>
          <t>aiOS Grok Edition · Unit Economics (price → margin)</t>
        </is>
      </c>
    </row>
    <row r="2">
      <c r="A2" t="inlineStr">
        <is>
          <t>Work backwards from price: production, logistics, platform &amp; payment fees, refunds, marketing reserve → operating margin. Same rule as Offer Scorecard: GM ≥60% with positive consumer surplus = Profit product; 50–60% = Traffic product; below 50% = Thin (rework); no margin left = Drop.</t>
        </is>
      </c>
    </row>
    <row r="3">
      <c r="A3" t="inlineStr">
        <is>
          <t>Module 01 · see modules/ in https://github.com/daocoding/aios</t>
        </is>
      </c>
    </row>
    <row r="4">
      <c r="A4" t="inlineStr">
        <is>
          <t>Columns marked ƒ are formulas. Rows 2-4 hold examples; delete them before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2026-10-16T12:09:09Z</dcterms:created>
  <dcterms:modified xmlns:dcterms="http://purl.org/dc/terms/" xmlns:xsi="http://www.w3.org/2001/XMLSchema-instance" xsi:type="dcterms:W3CDTF">2026-10-16T12:09:09Z</dcterms:modified>
</cp:coreProperties>
</file>