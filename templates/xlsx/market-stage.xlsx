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tage &amp; Fi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24.28571428571428" customWidth="1" min="9" max="9"/>
    <col width="37.14285714285715" customWidth="1" min="10" max="10"/>
    <col width="15.71428571428571" customWidth="1" min="11" max="11"/>
    <col width="15.71428571428571" customWidth="1" min="12" max="12"/>
    <col width="37.14285714285715" customWidth="1" min="13" max="13"/>
    <col width="15.71428571428571" customWidth="1" min="14" max="14"/>
    <col width="37.14285714285715" customWidth="1" min="15" max="15"/>
    <col width="34.28571428571428" customWidth="1" min="16" max="16"/>
  </cols>
  <sheetData>
    <row r="1" ht="48" customHeight="1">
      <c r="A1" s="1" t="inlineStr">
        <is>
          <t>Market / channel</t>
        </is>
      </c>
      <c r="B1" s="1" t="inlineStr">
        <is>
          <t>Market stage (CC: 1 creator outreach e.g. Latin America, newly opened EU markets · 2 short video + paid e.g. US · 3 live, private traffic, brand e.g. Southeast Asia · 4 owned audience = aiOS addition)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1" t="inlineStr">
        <is>
          <t>Supply-chain capability fit (1-5): can you source, make and restock this at the needed price, quality and speed?</t>
        </is>
      </c>
      <c r="I1" s="1" t="inlineStr">
        <is>
          <t>Your background</t>
        </is>
      </c>
      <c r="J1" s="2" t="inlineStr">
        <is>
          <t>CC's suggested route for that background ƒ</t>
        </is>
      </c>
      <c r="K1" s="2" t="inlineStr">
        <is>
          <t>Fit score (aiOS default weighting) ƒ</t>
        </is>
      </c>
      <c r="L1" s="2" t="inlineStr">
        <is>
          <t>Supply-chain gate ƒ</t>
        </is>
      </c>
      <c r="M1" s="2" t="inlineStr">
        <is>
          <t>Implied play ƒ</t>
        </is>
      </c>
      <c r="N1" s="1" t="inlineStr">
        <is>
          <t>Creator ladder in this market (1 cold start · 2 growth · 3 competitive · 4 relationship assets)</t>
        </is>
      </c>
      <c r="O1" s="2" t="inlineStr">
        <is>
          <t>Creator play ƒ</t>
        </is>
      </c>
      <c r="P1" s="1" t="inlineStr">
        <is>
          <t>Tacit knowledge / local norms to learn</t>
        </is>
      </c>
    </row>
    <row r="2">
      <c r="A2" t="inlineStr">
        <is>
          <t>Example: newly opened market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t="n">
        <v>4</v>
      </c>
      <c r="I2" t="inlineStr">
        <is>
          <t>Marketplace-only seller</t>
        </is>
      </c>
      <c r="J2" s="3">
        <f>IF(A2="","",IF(I2="Content-commerce veteran","Mature content markets (CC: US + Southeast Asia)",IF(I2="Marketplace-only seller","US + newly opened markets (crowded mature markets punish beginners)",IF(I2="Marketplace-validated products","US + Southeast Asia: open a new channel on proven products",""))))</f>
        <v/>
      </c>
      <c r="K2" s="3">
        <f>IF(A2="","",ROUND((C2+D2+2*F2+H2)-(E2+G2)/2,1))</f>
        <v/>
      </c>
      <c r="L2" s="3">
        <f>IF(A2="","",IF(H2=0,"Rate supply fit",IF(H2&lt;3,"Fix supply first - don't enter yet","OK")))</f>
        <v/>
      </c>
      <c r="M2" s="3">
        <f>IF(A2="","",IF(B2="1","Creator outreach and seeding; hire partnerships",IF(B2="2","Own short video + paid; hire shoot/edit + media buyer",IF(B2="3","Live selling, private traffic (community), brand; multi-channel",IF(B2="4","(aiOS addition) Owned audience: community, direct list, repeat purchase","")))))</f>
        <v/>
      </c>
      <c r="N2" t="inlineStr">
        <is>
          <t>1</t>
        </is>
      </c>
      <c r="O2" s="3">
        <f>IF(A2="","",IF(N2="1","Prove scripts + sampling; don't chase ROI",IF(N2="2","Build a creator pool; test by niche/audience/deal",IF(N2="3","Rates rising: judge by ROI + retention",IF(N2="4","Long-term partners as local distributors","")))))</f>
        <v/>
      </c>
      <c r="P2" t="inlineStr">
        <is>
          <t>Plug/size standards, returns norms</t>
        </is>
      </c>
    </row>
    <row r="3">
      <c r="J3" s="3">
        <f>IF(A3="","",IF(I3="Content-commerce veteran","Mature content markets (CC: US + Southeast Asia)",IF(I3="Marketplace-only seller","US + newly opened markets (crowded mature markets punish beginners)",IF(I3="Marketplace-validated products","US + Southeast Asia: open a new channel on proven products",""))))</f>
        <v/>
      </c>
      <c r="K3" s="3">
        <f>IF(A3="","",ROUND((C3+D3+2*F3+H3)-(E3+G3)/2,1))</f>
        <v/>
      </c>
      <c r="L3" s="3">
        <f>IF(A3="","",IF(H3=0,"Rate supply fit",IF(H3&lt;3,"Fix supply first - don't enter yet","OK")))</f>
        <v/>
      </c>
      <c r="M3" s="3">
        <f>IF(A3="","",IF(B3="1","Creator outreach and seeding; hire partnerships",IF(B3="2","Own short video + paid; hire shoot/edit + media buyer",IF(B3="3","Live selling, private traffic (community), brand; multi-channel",IF(B3="4","(aiOS addition) Owned audience: community, direct list, repeat purchase","")))))</f>
        <v/>
      </c>
      <c r="O3" s="3">
        <f>IF(A3="","",IF(N3="1","Prove scripts + sampling; don't chase ROI",IF(N3="2","Build a creator pool; test by niche/audience/deal",IF(N3="3","Rates rising: judge by ROI + retention",IF(N3="4","Long-term partners as local distributors","")))))</f>
        <v/>
      </c>
    </row>
    <row r="4">
      <c r="J4" s="3">
        <f>IF(A4="","",IF(I4="Content-commerce veteran","Mature content markets (CC: US + Southeast Asia)",IF(I4="Marketplace-only seller","US + newly opened markets (crowded mature markets punish beginners)",IF(I4="Marketplace-validated products","US + Southeast Asia: open a new channel on proven products",""))))</f>
        <v/>
      </c>
      <c r="K4" s="3">
        <f>IF(A4="","",ROUND((C4+D4+2*F4+H4)-(E4+G4)/2,1))</f>
        <v/>
      </c>
      <c r="L4" s="3">
        <f>IF(A4="","",IF(H4=0,"Rate supply fit",IF(H4&lt;3,"Fix supply first - don't enter yet","OK")))</f>
        <v/>
      </c>
      <c r="M4" s="3">
        <f>IF(A4="","",IF(B4="1","Creator outreach and seeding; hire partnerships",IF(B4="2","Own short video + paid; hire shoot/edit + media buyer",IF(B4="3","Live selling, private traffic (community), brand; multi-channel",IF(B4="4","(aiOS addition) Owned audience: community, direct list, repeat purchase","")))))</f>
        <v/>
      </c>
      <c r="O4" s="3">
        <f>IF(A4="","",IF(N4="1","Prove scripts + sampling; don't chase ROI",IF(N4="2","Build a creator pool; test by niche/audience/deal",IF(N4="3","Rates rising: judge by ROI + retention",IF(N4="4","Long-term partners as local distributors","")))))</f>
        <v/>
      </c>
    </row>
    <row r="5">
      <c r="J5" s="3">
        <f>IF(A5="","",IF(I5="Content-commerce veteran","Mature content markets (CC: US + Southeast Asia)",IF(I5="Marketplace-only seller","US + newly opened markets (crowded mature markets punish beginners)",IF(I5="Marketplace-validated products","US + Southeast Asia: open a new channel on proven products",""))))</f>
        <v/>
      </c>
      <c r="K5" s="3">
        <f>IF(A5="","",ROUND((C5+D5+2*F5+H5)-(E5+G5)/2,1))</f>
        <v/>
      </c>
      <c r="L5" s="3">
        <f>IF(A5="","",IF(H5=0,"Rate supply fit",IF(H5&lt;3,"Fix supply first - don't enter yet","OK")))</f>
        <v/>
      </c>
      <c r="M5" s="3">
        <f>IF(A5="","",IF(B5="1","Creator outreach and seeding; hire partnerships",IF(B5="2","Own short video + paid; hire shoot/edit + media buyer",IF(B5="3","Live selling, private traffic (community), brand; multi-channel",IF(B5="4","(aiOS addition) Owned audience: community, direct list, repeat purchase","")))))</f>
        <v/>
      </c>
      <c r="O5" s="3">
        <f>IF(A5="","",IF(N5="1","Prove scripts + sampling; don't chase ROI",IF(N5="2","Build a creator pool; test by niche/audience/deal",IF(N5="3","Rates rising: judge by ROI + retention",IF(N5="4","Long-term partners as local distributors","")))))</f>
        <v/>
      </c>
    </row>
    <row r="6">
      <c r="J6" s="3">
        <f>IF(A6="","",IF(I6="Content-commerce veteran","Mature content markets (CC: US + Southeast Asia)",IF(I6="Marketplace-only seller","US + newly opened markets (crowded mature markets punish beginners)",IF(I6="Marketplace-validated products","US + Southeast Asia: open a new channel on proven products",""))))</f>
        <v/>
      </c>
      <c r="K6" s="3">
        <f>IF(A6="","",ROUND((C6+D6+2*F6+H6)-(E6+G6)/2,1))</f>
        <v/>
      </c>
      <c r="L6" s="3">
        <f>IF(A6="","",IF(H6=0,"Rate supply fit",IF(H6&lt;3,"Fix supply first - don't enter yet","OK")))</f>
        <v/>
      </c>
      <c r="M6" s="3">
        <f>IF(A6="","",IF(B6="1","Creator outreach and seeding; hire partnerships",IF(B6="2","Own short video + paid; hire shoot/edit + media buyer",IF(B6="3","Live selling, private traffic (community), brand; multi-channel",IF(B6="4","(aiOS addition) Owned audience: community, direct list, repeat purchase","")))))</f>
        <v/>
      </c>
      <c r="O6" s="3">
        <f>IF(A6="","",IF(N6="1","Prove scripts + sampling; don't chase ROI",IF(N6="2","Build a creator pool; test by niche/audience/deal",IF(N6="3","Rates rising: judge by ROI + retention",IF(N6="4","Long-term partners as local distributors","")))))</f>
        <v/>
      </c>
    </row>
    <row r="7">
      <c r="J7" s="3">
        <f>IF(A7="","",IF(I7="Content-commerce veteran","Mature content markets (CC: US + Southeast Asia)",IF(I7="Marketplace-only seller","US + newly opened markets (crowded mature markets punish beginners)",IF(I7="Marketplace-validated products","US + Southeast Asia: open a new channel on proven products",""))))</f>
        <v/>
      </c>
      <c r="K7" s="3">
        <f>IF(A7="","",ROUND((C7+D7+2*F7+H7)-(E7+G7)/2,1))</f>
        <v/>
      </c>
      <c r="L7" s="3">
        <f>IF(A7="","",IF(H7=0,"Rate supply fit",IF(H7&lt;3,"Fix supply first - don't enter yet","OK")))</f>
        <v/>
      </c>
      <c r="M7" s="3">
        <f>IF(A7="","",IF(B7="1","Creator outreach and seeding; hire partnerships",IF(B7="2","Own short video + paid; hire shoot/edit + media buyer",IF(B7="3","Live selling, private traffic (community), brand; multi-channel",IF(B7="4","(aiOS addition) Owned audience: community, direct list, repeat purchase","")))))</f>
        <v/>
      </c>
      <c r="O7" s="3">
        <f>IF(A7="","",IF(N7="1","Prove scripts + sampling; don't chase ROI",IF(N7="2","Build a creator pool; test by niche/audience/deal",IF(N7="3","Rates rising: judge by ROI + retention",IF(N7="4","Long-term partners as local distributors","")))))</f>
        <v/>
      </c>
    </row>
    <row r="8">
      <c r="J8" s="3">
        <f>IF(A8="","",IF(I8="Content-commerce veteran","Mature content markets (CC: US + Southeast Asia)",IF(I8="Marketplace-only seller","US + newly opened markets (crowded mature markets punish beginners)",IF(I8="Marketplace-validated products","US + Southeast Asia: open a new channel on proven products",""))))</f>
        <v/>
      </c>
      <c r="K8" s="3">
        <f>IF(A8="","",ROUND((C8+D8+2*F8+H8)-(E8+G8)/2,1))</f>
        <v/>
      </c>
      <c r="L8" s="3">
        <f>IF(A8="","",IF(H8=0,"Rate supply fit",IF(H8&lt;3,"Fix supply first - don't enter yet","OK")))</f>
        <v/>
      </c>
      <c r="M8" s="3">
        <f>IF(A8="","",IF(B8="1","Creator outreach and seeding; hire partnerships",IF(B8="2","Own short video + paid; hire shoot/edit + media buyer",IF(B8="3","Live selling, private traffic (community), brand; multi-channel",IF(B8="4","(aiOS addition) Owned audience: community, direct list, repeat purchase","")))))</f>
        <v/>
      </c>
      <c r="O8" s="3">
        <f>IF(A8="","",IF(N8="1","Prove scripts + sampling; don't chase ROI",IF(N8="2","Build a creator pool; test by niche/audience/deal",IF(N8="3","Rates rising: judge by ROI + retention",IF(N8="4","Long-term partners as local distributors","")))))</f>
        <v/>
      </c>
    </row>
    <row r="9">
      <c r="J9" s="3">
        <f>IF(A9="","",IF(I9="Content-commerce veteran","Mature content markets (CC: US + Southeast Asia)",IF(I9="Marketplace-only seller","US + newly opened markets (crowded mature markets punish beginners)",IF(I9="Marketplace-validated products","US + Southeast Asia: open a new channel on proven products",""))))</f>
        <v/>
      </c>
      <c r="K9" s="3">
        <f>IF(A9="","",ROUND((C9+D9+2*F9+H9)-(E9+G9)/2,1))</f>
        <v/>
      </c>
      <c r="L9" s="3">
        <f>IF(A9="","",IF(H9=0,"Rate supply fit",IF(H9&lt;3,"Fix supply first - don't enter yet","OK")))</f>
        <v/>
      </c>
      <c r="M9" s="3">
        <f>IF(A9="","",IF(B9="1","Creator outreach and seeding; hire partnerships",IF(B9="2","Own short video + paid; hire shoot/edit + media buyer",IF(B9="3","Live selling, private traffic (community), brand; multi-channel",IF(B9="4","(aiOS addition) Owned audience: community, direct list, repeat purchase","")))))</f>
        <v/>
      </c>
      <c r="O9" s="3">
        <f>IF(A9="","",IF(N9="1","Prove scripts + sampling; don't chase ROI",IF(N9="2","Build a creator pool; test by niche/audience/deal",IF(N9="3","Rates rising: judge by ROI + retention",IF(N9="4","Long-term partners as local distributors","")))))</f>
        <v/>
      </c>
    </row>
    <row r="10">
      <c r="J10" s="3">
        <f>IF(A10="","",IF(I10="Content-commerce veteran","Mature content markets (CC: US + Southeast Asia)",IF(I10="Marketplace-only seller","US + newly opened markets (crowded mature markets punish beginners)",IF(I10="Marketplace-validated products","US + Southeast Asia: open a new channel on proven products",""))))</f>
        <v/>
      </c>
      <c r="K10" s="3">
        <f>IF(A10="","",ROUND((C10+D10+2*F10+H10)-(E10+G10)/2,1))</f>
        <v/>
      </c>
      <c r="L10" s="3">
        <f>IF(A10="","",IF(H10=0,"Rate supply fit",IF(H10&lt;3,"Fix supply first - don't enter yet","OK")))</f>
        <v/>
      </c>
      <c r="M10" s="3">
        <f>IF(A10="","",IF(B10="1","Creator outreach and seeding; hire partnerships",IF(B10="2","Own short video + paid; hire shoot/edit + media buyer",IF(B10="3","Live selling, private traffic (community), brand; multi-channel",IF(B10="4","(aiOS addition) Owned audience: community, direct list, repeat purchase","")))))</f>
        <v/>
      </c>
      <c r="O10" s="3">
        <f>IF(A10="","",IF(N10="1","Prove scripts + sampling; don't chase ROI",IF(N10="2","Build a creator pool; test by niche/audience/deal",IF(N10="3","Rates rising: judge by ROI + retention",IF(N10="4","Long-term partners as local distributors","")))))</f>
        <v/>
      </c>
    </row>
    <row r="11">
      <c r="J11" s="3">
        <f>IF(A11="","",IF(I11="Content-commerce veteran","Mature content markets (CC: US + Southeast Asia)",IF(I11="Marketplace-only seller","US + newly opened markets (crowded mature markets punish beginners)",IF(I11="Marketplace-validated products","US + Southeast Asia: open a new channel on proven products",""))))</f>
        <v/>
      </c>
      <c r="K11" s="3">
        <f>IF(A11="","",ROUND((C11+D11+2*F11+H11)-(E11+G11)/2,1))</f>
        <v/>
      </c>
      <c r="L11" s="3">
        <f>IF(A11="","",IF(H11=0,"Rate supply fit",IF(H11&lt;3,"Fix supply first - don't enter yet","OK")))</f>
        <v/>
      </c>
      <c r="M11" s="3">
        <f>IF(A11="","",IF(B11="1","Creator outreach and seeding; hire partnerships",IF(B11="2","Own short video + paid; hire shoot/edit + media buyer",IF(B11="3","Live selling, private traffic (community), brand; multi-channel",IF(B11="4","(aiOS addition) Owned audience: community, direct list, repeat purchase","")))))</f>
        <v/>
      </c>
      <c r="O11" s="3">
        <f>IF(A11="","",IF(N11="1","Prove scripts + sampling; don't chase ROI",IF(N11="2","Build a creator pool; test by niche/audience/deal",IF(N11="3","Rates rising: judge by ROI + retention",IF(N11="4","Long-term partners as local distributors","")))))</f>
        <v/>
      </c>
    </row>
    <row r="12">
      <c r="J12" s="3">
        <f>IF(A12="","",IF(I12="Content-commerce veteran","Mature content markets (CC: US + Southeast Asia)",IF(I12="Marketplace-only seller","US + newly opened markets (crowded mature markets punish beginners)",IF(I12="Marketplace-validated products","US + Southeast Asia: open a new channel on proven products",""))))</f>
        <v/>
      </c>
      <c r="K12" s="3">
        <f>IF(A12="","",ROUND((C12+D12+2*F12+H12)-(E12+G12)/2,1))</f>
        <v/>
      </c>
      <c r="L12" s="3">
        <f>IF(A12="","",IF(H12=0,"Rate supply fit",IF(H12&lt;3,"Fix supply first - don't enter yet","OK")))</f>
        <v/>
      </c>
      <c r="M12" s="3">
        <f>IF(A12="","",IF(B12="1","Creator outreach and seeding; hire partnerships",IF(B12="2","Own short video + paid; hire shoot/edit + media buyer",IF(B12="3","Live selling, private traffic (community), brand; multi-channel",IF(B12="4","(aiOS addition) Owned audience: community, direct list, repeat purchase","")))))</f>
        <v/>
      </c>
      <c r="O12" s="3">
        <f>IF(A12="","",IF(N12="1","Prove scripts + sampling; don't chase ROI",IF(N12="2","Build a creator pool; test by niche/audience/deal",IF(N12="3","Rates rising: judge by ROI + retention",IF(N12="4","Long-term partners as local distributors","")))))</f>
        <v/>
      </c>
    </row>
    <row r="13">
      <c r="J13" s="3">
        <f>IF(A13="","",IF(I13="Content-commerce veteran","Mature content markets (CC: US + Southeast Asia)",IF(I13="Marketplace-only seller","US + newly opened markets (crowded mature markets punish beginners)",IF(I13="Marketplace-validated products","US + Southeast Asia: open a new channel on proven products",""))))</f>
        <v/>
      </c>
      <c r="K13" s="3">
        <f>IF(A13="","",ROUND((C13+D13+2*F13+H13)-(E13+G13)/2,1))</f>
        <v/>
      </c>
      <c r="L13" s="3">
        <f>IF(A13="","",IF(H13=0,"Rate supply fit",IF(H13&lt;3,"Fix supply first - don't enter yet","OK")))</f>
        <v/>
      </c>
      <c r="M13" s="3">
        <f>IF(A13="","",IF(B13="1","Creator outreach and seeding; hire partnerships",IF(B13="2","Own short video + paid; hire shoot/edit + media buyer",IF(B13="3","Live selling, private traffic (community), brand; multi-channel",IF(B13="4","(aiOS addition) Owned audience: community, direct list, repeat purchase","")))))</f>
        <v/>
      </c>
      <c r="O13" s="3">
        <f>IF(A13="","",IF(N13="1","Prove scripts + sampling; don't chase ROI",IF(N13="2","Build a creator pool; test by niche/audience/deal",IF(N13="3","Rates rising: judge by ROI + retention",IF(N13="4","Long-term partners as local distributors","")))))</f>
        <v/>
      </c>
    </row>
    <row r="14">
      <c r="J14" s="3">
        <f>IF(A14="","",IF(I14="Content-commerce veteran","Mature content markets (CC: US + Southeast Asia)",IF(I14="Marketplace-only seller","US + newly opened markets (crowded mature markets punish beginners)",IF(I14="Marketplace-validated products","US + Southeast Asia: open a new channel on proven products",""))))</f>
        <v/>
      </c>
      <c r="K14" s="3">
        <f>IF(A14="","",ROUND((C14+D14+2*F14+H14)-(E14+G14)/2,1))</f>
        <v/>
      </c>
      <c r="L14" s="3">
        <f>IF(A14="","",IF(H14=0,"Rate supply fit",IF(H14&lt;3,"Fix supply first - don't enter yet","OK")))</f>
        <v/>
      </c>
      <c r="M14" s="3">
        <f>IF(A14="","",IF(B14="1","Creator outreach and seeding; hire partnerships",IF(B14="2","Own short video + paid; hire shoot/edit + media buyer",IF(B14="3","Live selling, private traffic (community), brand; multi-channel",IF(B14="4","(aiOS addition) Owned audience: community, direct list, repeat purchase","")))))</f>
        <v/>
      </c>
      <c r="O14" s="3">
        <f>IF(A14="","",IF(N14="1","Prove scripts + sampling; don't chase ROI",IF(N14="2","Build a creator pool; test by niche/audience/deal",IF(N14="3","Rates rising: judge by ROI + retention",IF(N14="4","Long-term partners as local distributors","")))))</f>
        <v/>
      </c>
    </row>
    <row r="15">
      <c r="J15" s="3">
        <f>IF(A15="","",IF(I15="Content-commerce veteran","Mature content markets (CC: US + Southeast Asia)",IF(I15="Marketplace-only seller","US + newly opened markets (crowded mature markets punish beginners)",IF(I15="Marketplace-validated products","US + Southeast Asia: open a new channel on proven products",""))))</f>
        <v/>
      </c>
      <c r="K15" s="3">
        <f>IF(A15="","",ROUND((C15+D15+2*F15+H15)-(E15+G15)/2,1))</f>
        <v/>
      </c>
      <c r="L15" s="3">
        <f>IF(A15="","",IF(H15=0,"Rate supply fit",IF(H15&lt;3,"Fix supply first - don't enter yet","OK")))</f>
        <v/>
      </c>
      <c r="M15" s="3">
        <f>IF(A15="","",IF(B15="1","Creator outreach and seeding; hire partnerships",IF(B15="2","Own short video + paid; hire shoot/edit + media buyer",IF(B15="3","Live selling, private traffic (community), brand; multi-channel",IF(B15="4","(aiOS addition) Owned audience: community, direct list, repeat purchase","")))))</f>
        <v/>
      </c>
      <c r="O15" s="3">
        <f>IF(A15="","",IF(N15="1","Prove scripts + sampling; don't chase ROI",IF(N15="2","Build a creator pool; test by niche/audience/deal",IF(N15="3","Rates rising: judge by ROI + retention",IF(N15="4","Long-term partners as local distributors","")))))</f>
        <v/>
      </c>
    </row>
    <row r="16">
      <c r="J16" s="3">
        <f>IF(A16="","",IF(I16="Content-commerce veteran","Mature content markets (CC: US + Southeast Asia)",IF(I16="Marketplace-only seller","US + newly opened markets (crowded mature markets punish beginners)",IF(I16="Marketplace-validated products","US + Southeast Asia: open a new channel on proven products",""))))</f>
        <v/>
      </c>
      <c r="K16" s="3">
        <f>IF(A16="","",ROUND((C16+D16+2*F16+H16)-(E16+G16)/2,1))</f>
        <v/>
      </c>
      <c r="L16" s="3">
        <f>IF(A16="","",IF(H16=0,"Rate supply fit",IF(H16&lt;3,"Fix supply first - don't enter yet","OK")))</f>
        <v/>
      </c>
      <c r="M16" s="3">
        <f>IF(A16="","",IF(B16="1","Creator outreach and seeding; hire partnerships",IF(B16="2","Own short video + paid; hire shoot/edit + media buyer",IF(B16="3","Live selling, private traffic (community), brand; multi-channel",IF(B16="4","(aiOS addition) Owned audience: community, direct list, repeat purchase","")))))</f>
        <v/>
      </c>
      <c r="O16" s="3">
        <f>IF(A16="","",IF(N16="1","Prove scripts + sampling; don't chase ROI",IF(N16="2","Build a creator pool; test by niche/audience/deal",IF(N16="3","Rates rising: judge by ROI + retention",IF(N16="4","Long-term partners as local distributors","")))))</f>
        <v/>
      </c>
    </row>
    <row r="17">
      <c r="J17" s="3">
        <f>IF(A17="","",IF(I17="Content-commerce veteran","Mature content markets (CC: US + Southeast Asia)",IF(I17="Marketplace-only seller","US + newly opened markets (crowded mature markets punish beginners)",IF(I17="Marketplace-validated products","US + Southeast Asia: open a new channel on proven products",""))))</f>
        <v/>
      </c>
      <c r="K17" s="3">
        <f>IF(A17="","",ROUND((C17+D17+2*F17+H17)-(E17+G17)/2,1))</f>
        <v/>
      </c>
      <c r="L17" s="3">
        <f>IF(A17="","",IF(H17=0,"Rate supply fit",IF(H17&lt;3,"Fix supply first - don't enter yet","OK")))</f>
        <v/>
      </c>
      <c r="M17" s="3">
        <f>IF(A17="","",IF(B17="1","Creator outreach and seeding; hire partnerships",IF(B17="2","Own short video + paid; hire shoot/edit + media buyer",IF(B17="3","Live selling, private traffic (community), brand; multi-channel",IF(B17="4","(aiOS addition) Owned audience: community, direct list, repeat purchase","")))))</f>
        <v/>
      </c>
      <c r="O17" s="3">
        <f>IF(A17="","",IF(N17="1","Prove scripts + sampling; don't chase ROI",IF(N17="2","Build a creator pool; test by niche/audience/deal",IF(N17="3","Rates rising: judge by ROI + retention",IF(N17="4","Long-term partners as local distributors","")))))</f>
        <v/>
      </c>
    </row>
    <row r="18">
      <c r="J18" s="3">
        <f>IF(A18="","",IF(I18="Content-commerce veteran","Mature content markets (CC: US + Southeast Asia)",IF(I18="Marketplace-only seller","US + newly opened markets (crowded mature markets punish beginners)",IF(I18="Marketplace-validated products","US + Southeast Asia: open a new channel on proven products",""))))</f>
        <v/>
      </c>
      <c r="K18" s="3">
        <f>IF(A18="","",ROUND((C18+D18+2*F18+H18)-(E18+G18)/2,1))</f>
        <v/>
      </c>
      <c r="L18" s="3">
        <f>IF(A18="","",IF(H18=0,"Rate supply fit",IF(H18&lt;3,"Fix supply first - don't enter yet","OK")))</f>
        <v/>
      </c>
      <c r="M18" s="3">
        <f>IF(A18="","",IF(B18="1","Creator outreach and seeding; hire partnerships",IF(B18="2","Own short video + paid; hire shoot/edit + media buyer",IF(B18="3","Live selling, private traffic (community), brand; multi-channel",IF(B18="4","(aiOS addition) Owned audience: community, direct list, repeat purchase","")))))</f>
        <v/>
      </c>
      <c r="O18" s="3">
        <f>IF(A18="","",IF(N18="1","Prove scripts + sampling; don't chase ROI",IF(N18="2","Build a creator pool; test by niche/audience/deal",IF(N18="3","Rates rising: judge by ROI + retention",IF(N18="4","Long-term partners as local distributors","")))))</f>
        <v/>
      </c>
    </row>
    <row r="19">
      <c r="J19" s="3">
        <f>IF(A19="","",IF(I19="Content-commerce veteran","Mature content markets (CC: US + Southeast Asia)",IF(I19="Marketplace-only seller","US + newly opened markets (crowded mature markets punish beginners)",IF(I19="Marketplace-validated products","US + Southeast Asia: open a new channel on proven products",""))))</f>
        <v/>
      </c>
      <c r="K19" s="3">
        <f>IF(A19="","",ROUND((C19+D19+2*F19+H19)-(E19+G19)/2,1))</f>
        <v/>
      </c>
      <c r="L19" s="3">
        <f>IF(A19="","",IF(H19=0,"Rate supply fit",IF(H19&lt;3,"Fix supply first - don't enter yet","OK")))</f>
        <v/>
      </c>
      <c r="M19" s="3">
        <f>IF(A19="","",IF(B19="1","Creator outreach and seeding; hire partnerships",IF(B19="2","Own short video + paid; hire shoot/edit + media buyer",IF(B19="3","Live selling, private traffic (community), brand; multi-channel",IF(B19="4","(aiOS addition) Owned audience: community, direct list, repeat purchase","")))))</f>
        <v/>
      </c>
      <c r="O19" s="3">
        <f>IF(A19="","",IF(N19="1","Prove scripts + sampling; don't chase ROI",IF(N19="2","Build a creator pool; test by niche/audience/deal",IF(N19="3","Rates rising: judge by ROI + retention",IF(N19="4","Long-term partners as local distributors","")))))</f>
        <v/>
      </c>
    </row>
    <row r="20">
      <c r="J20" s="3">
        <f>IF(A20="","",IF(I20="Content-commerce veteran","Mature content markets (CC: US + Southeast Asia)",IF(I20="Marketplace-only seller","US + newly opened markets (crowded mature markets punish beginners)",IF(I20="Marketplace-validated products","US + Southeast Asia: open a new channel on proven products",""))))</f>
        <v/>
      </c>
      <c r="K20" s="3">
        <f>IF(A20="","",ROUND((C20+D20+2*F20+H20)-(E20+G20)/2,1))</f>
        <v/>
      </c>
      <c r="L20" s="3">
        <f>IF(A20="","",IF(H20=0,"Rate supply fit",IF(H20&lt;3,"Fix supply first - don't enter yet","OK")))</f>
        <v/>
      </c>
      <c r="M20" s="3">
        <f>IF(A20="","",IF(B20="1","Creator outreach and seeding; hire partnerships",IF(B20="2","Own short video + paid; hire shoot/edit + media buyer",IF(B20="3","Live selling, private traffic (community), brand; multi-channel",IF(B20="4","(aiOS addition) Owned audience: community, direct list, repeat purchase","")))))</f>
        <v/>
      </c>
      <c r="O20" s="3">
        <f>IF(A20="","",IF(N20="1","Prove scripts + sampling; don't chase ROI",IF(N20="2","Build a creator pool; test by niche/audience/deal",IF(N20="3","Rates rising: judge by ROI + retention",IF(N20="4","Long-term partners as local distributors","")))))</f>
        <v/>
      </c>
    </row>
    <row r="21">
      <c r="J21" s="3">
        <f>IF(A21="","",IF(I21="Content-commerce veteran","Mature content markets (CC: US + Southeast Asia)",IF(I21="Marketplace-only seller","US + newly opened markets (crowded mature markets punish beginners)",IF(I21="Marketplace-validated products","US + Southeast Asia: open a new channel on proven products",""))))</f>
        <v/>
      </c>
      <c r="K21" s="3">
        <f>IF(A21="","",ROUND((C21+D21+2*F21+H21)-(E21+G21)/2,1))</f>
        <v/>
      </c>
      <c r="L21" s="3">
        <f>IF(A21="","",IF(H21=0,"Rate supply fit",IF(H21&lt;3,"Fix supply first - don't enter yet","OK")))</f>
        <v/>
      </c>
      <c r="M21" s="3">
        <f>IF(A21="","",IF(B21="1","Creator outreach and seeding; hire partnerships",IF(B21="2","Own short video + paid; hire shoot/edit + media buyer",IF(B21="3","Live selling, private traffic (community), brand; multi-channel",IF(B21="4","(aiOS addition) Owned audience: community, direct list, repeat purchase","")))))</f>
        <v/>
      </c>
      <c r="O21" s="3">
        <f>IF(A21="","",IF(N21="1","Prove scripts + sampling; don't chase ROI",IF(N21="2","Build a creator pool; test by niche/audience/deal",IF(N21="3","Rates rising: judge by ROI + retention",IF(N21="4","Long-term partners as local distributors","")))))</f>
        <v/>
      </c>
    </row>
    <row r="22">
      <c r="J22" s="3">
        <f>IF(A22="","",IF(I22="Content-commerce veteran","Mature content markets (CC: US + Southeast Asia)",IF(I22="Marketplace-only seller","US + newly opened markets (crowded mature markets punish beginners)",IF(I22="Marketplace-validated products","US + Southeast Asia: open a new channel on proven products",""))))</f>
        <v/>
      </c>
      <c r="K22" s="3">
        <f>IF(A22="","",ROUND((C22+D22+2*F22+H22)-(E22+G22)/2,1))</f>
        <v/>
      </c>
      <c r="L22" s="3">
        <f>IF(A22="","",IF(H22=0,"Rate supply fit",IF(H22&lt;3,"Fix supply first - don't enter yet","OK")))</f>
        <v/>
      </c>
      <c r="M22" s="3">
        <f>IF(A22="","",IF(B22="1","Creator outreach and seeding; hire partnerships",IF(B22="2","Own short video + paid; hire shoot/edit + media buyer",IF(B22="3","Live selling, private traffic (community), brand; multi-channel",IF(B22="4","(aiOS addition) Owned audience: community, direct list, repeat purchase","")))))</f>
        <v/>
      </c>
      <c r="O22" s="3">
        <f>IF(A22="","",IF(N22="1","Prove scripts + sampling; don't chase ROI",IF(N22="2","Build a creator pool; test by niche/audience/deal",IF(N22="3","Rates rising: judge by ROI + retention",IF(N22="4","Long-term partners as local distributors","")))))</f>
        <v/>
      </c>
    </row>
    <row r="23">
      <c r="J23" s="3">
        <f>IF(A23="","",IF(I23="Content-commerce veteran","Mature content markets (CC: US + Southeast Asia)",IF(I23="Marketplace-only seller","US + newly opened markets (crowded mature markets punish beginners)",IF(I23="Marketplace-validated products","US + Southeast Asia: open a new channel on proven products",""))))</f>
        <v/>
      </c>
      <c r="K23" s="3">
        <f>IF(A23="","",ROUND((C23+D23+2*F23+H23)-(E23+G23)/2,1))</f>
        <v/>
      </c>
      <c r="L23" s="3">
        <f>IF(A23="","",IF(H23=0,"Rate supply fit",IF(H23&lt;3,"Fix supply first - don't enter yet","OK")))</f>
        <v/>
      </c>
      <c r="M23" s="3">
        <f>IF(A23="","",IF(B23="1","Creator outreach and seeding; hire partnerships",IF(B23="2","Own short video + paid; hire shoot/edit + media buyer",IF(B23="3","Live selling, private traffic (community), brand; multi-channel",IF(B23="4","(aiOS addition) Owned audience: community, direct list, repeat purchase","")))))</f>
        <v/>
      </c>
      <c r="O23" s="3">
        <f>IF(A23="","",IF(N23="1","Prove scripts + sampling; don't chase ROI",IF(N23="2","Build a creator pool; test by niche/audience/deal",IF(N23="3","Rates rising: judge by ROI + retention",IF(N23="4","Long-term partners as local distributors","")))))</f>
        <v/>
      </c>
    </row>
    <row r="24">
      <c r="J24" s="3">
        <f>IF(A24="","",IF(I24="Content-commerce veteran","Mature content markets (CC: US + Southeast Asia)",IF(I24="Marketplace-only seller","US + newly opened markets (crowded mature markets punish beginners)",IF(I24="Marketplace-validated products","US + Southeast Asia: open a new channel on proven products",""))))</f>
        <v/>
      </c>
      <c r="K24" s="3">
        <f>IF(A24="","",ROUND((C24+D24+2*F24+H24)-(E24+G24)/2,1))</f>
        <v/>
      </c>
      <c r="L24" s="3">
        <f>IF(A24="","",IF(H24=0,"Rate supply fit",IF(H24&lt;3,"Fix supply first - don't enter yet","OK")))</f>
        <v/>
      </c>
      <c r="M24" s="3">
        <f>IF(A24="","",IF(B24="1","Creator outreach and seeding; hire partnerships",IF(B24="2","Own short video + paid; hire shoot/edit + media buyer",IF(B24="3","Live selling, private traffic (community), brand; multi-channel",IF(B24="4","(aiOS addition) Owned audience: community, direct list, repeat purchase","")))))</f>
        <v/>
      </c>
      <c r="O24" s="3">
        <f>IF(A24="","",IF(N24="1","Prove scripts + sampling; don't chase ROI",IF(N24="2","Build a creator pool; test by niche/audience/deal",IF(N24="3","Rates rising: judge by ROI + retention",IF(N24="4","Long-term partners as local distributors","")))))</f>
        <v/>
      </c>
    </row>
    <row r="25">
      <c r="J25" s="3">
        <f>IF(A25="","",IF(I25="Content-commerce veteran","Mature content markets (CC: US + Southeast Asia)",IF(I25="Marketplace-only seller","US + newly opened markets (crowded mature markets punish beginners)",IF(I25="Marketplace-validated products","US + Southeast Asia: open a new channel on proven products",""))))</f>
        <v/>
      </c>
      <c r="K25" s="3">
        <f>IF(A25="","",ROUND((C25+D25+2*F25+H25)-(E25+G25)/2,1))</f>
        <v/>
      </c>
      <c r="L25" s="3">
        <f>IF(A25="","",IF(H25=0,"Rate supply fit",IF(H25&lt;3,"Fix supply first - don't enter yet","OK")))</f>
        <v/>
      </c>
      <c r="M25" s="3">
        <f>IF(A25="","",IF(B25="1","Creator outreach and seeding; hire partnerships",IF(B25="2","Own short video + paid; hire shoot/edit + media buyer",IF(B25="3","Live selling, private traffic (community), brand; multi-channel",IF(B25="4","(aiOS addition) Owned audience: community, direct list, repeat purchase","")))))</f>
        <v/>
      </c>
      <c r="O25" s="3">
        <f>IF(A25="","",IF(N25="1","Prove scripts + sampling; don't chase ROI",IF(N25="2","Build a creator pool; test by niche/audience/deal",IF(N25="3","Rates rising: judge by ROI + retention",IF(N25="4","Long-term partners as local distributors","")))))</f>
        <v/>
      </c>
    </row>
    <row r="26">
      <c r="J26" s="3">
        <f>IF(A26="","",IF(I26="Content-commerce veteran","Mature content markets (CC: US + Southeast Asia)",IF(I26="Marketplace-only seller","US + newly opened markets (crowded mature markets punish beginners)",IF(I26="Marketplace-validated products","US + Southeast Asia: open a new channel on proven products",""))))</f>
        <v/>
      </c>
      <c r="K26" s="3">
        <f>IF(A26="","",ROUND((C26+D26+2*F26+H26)-(E26+G26)/2,1))</f>
        <v/>
      </c>
      <c r="L26" s="3">
        <f>IF(A26="","",IF(H26=0,"Rate supply fit",IF(H26&lt;3,"Fix supply first - don't enter yet","OK")))</f>
        <v/>
      </c>
      <c r="M26" s="3">
        <f>IF(A26="","",IF(B26="1","Creator outreach and seeding; hire partnerships",IF(B26="2","Own short video + paid; hire shoot/edit + media buyer",IF(B26="3","Live selling, private traffic (community), brand; multi-channel",IF(B26="4","(aiOS addition) Owned audience: community, direct list, repeat purchase","")))))</f>
        <v/>
      </c>
      <c r="O26" s="3">
        <f>IF(A26="","",IF(N26="1","Prove scripts + sampling; don't chase ROI",IF(N26="2","Build a creator pool; test by niche/audience/deal",IF(N26="3","Rates rising: judge by ROI + retention",IF(N26="4","Long-term partners as local distributors","")))))</f>
        <v/>
      </c>
    </row>
    <row r="27">
      <c r="J27" s="3">
        <f>IF(A27="","",IF(I27="Content-commerce veteran","Mature content markets (CC: US + Southeast Asia)",IF(I27="Marketplace-only seller","US + newly opened markets (crowded mature markets punish beginners)",IF(I27="Marketplace-validated products","US + Southeast Asia: open a new channel on proven products",""))))</f>
        <v/>
      </c>
      <c r="K27" s="3">
        <f>IF(A27="","",ROUND((C27+D27+2*F27+H27)-(E27+G27)/2,1))</f>
        <v/>
      </c>
      <c r="L27" s="3">
        <f>IF(A27="","",IF(H27=0,"Rate supply fit",IF(H27&lt;3,"Fix supply first - don't enter yet","OK")))</f>
        <v/>
      </c>
      <c r="M27" s="3">
        <f>IF(A27="","",IF(B27="1","Creator outreach and seeding; hire partnerships",IF(B27="2","Own short video + paid; hire shoot/edit + media buyer",IF(B27="3","Live selling, private traffic (community), brand; multi-channel",IF(B27="4","(aiOS addition) Owned audience: community, direct list, repeat purchase","")))))</f>
        <v/>
      </c>
      <c r="O27" s="3">
        <f>IF(A27="","",IF(N27="1","Prove scripts + sampling; don't chase ROI",IF(N27="2","Build a creator pool; test by niche/audience/deal",IF(N27="3","Rates rising: judge by ROI + retention",IF(N27="4","Long-term partners as local distributors","")))))</f>
        <v/>
      </c>
    </row>
    <row r="28">
      <c r="J28" s="3">
        <f>IF(A28="","",IF(I28="Content-commerce veteran","Mature content markets (CC: US + Southeast Asia)",IF(I28="Marketplace-only seller","US + newly opened markets (crowded mature markets punish beginners)",IF(I28="Marketplace-validated products","US + Southeast Asia: open a new channel on proven products",""))))</f>
        <v/>
      </c>
      <c r="K28" s="3">
        <f>IF(A28="","",ROUND((C28+D28+2*F28+H28)-(E28+G28)/2,1))</f>
        <v/>
      </c>
      <c r="L28" s="3">
        <f>IF(A28="","",IF(H28=0,"Rate supply fit",IF(H28&lt;3,"Fix supply first - don't enter yet","OK")))</f>
        <v/>
      </c>
      <c r="M28" s="3">
        <f>IF(A28="","",IF(B28="1","Creator outreach and seeding; hire partnerships",IF(B28="2","Own short video + paid; hire shoot/edit + media buyer",IF(B28="3","Live selling, private traffic (community), brand; multi-channel",IF(B28="4","(aiOS addition) Owned audience: community, direct list, repeat purchase","")))))</f>
        <v/>
      </c>
      <c r="O28" s="3">
        <f>IF(A28="","",IF(N28="1","Prove scripts + sampling; don't chase ROI",IF(N28="2","Build a creator pool; test by niche/audience/deal",IF(N28="3","Rates rising: judge by ROI + retention",IF(N28="4","Long-term partners as local distributors","")))))</f>
        <v/>
      </c>
    </row>
    <row r="29">
      <c r="J29" s="3">
        <f>IF(A29="","",IF(I29="Content-commerce veteran","Mature content markets (CC: US + Southeast Asia)",IF(I29="Marketplace-only seller","US + newly opened markets (crowded mature markets punish beginners)",IF(I29="Marketplace-validated products","US + Southeast Asia: open a new channel on proven products",""))))</f>
        <v/>
      </c>
      <c r="K29" s="3">
        <f>IF(A29="","",ROUND((C29+D29+2*F29+H29)-(E29+G29)/2,1))</f>
        <v/>
      </c>
      <c r="L29" s="3">
        <f>IF(A29="","",IF(H29=0,"Rate supply fit",IF(H29&lt;3,"Fix supply first - don't enter yet","OK")))</f>
        <v/>
      </c>
      <c r="M29" s="3">
        <f>IF(A29="","",IF(B29="1","Creator outreach and seeding; hire partnerships",IF(B29="2","Own short video + paid; hire shoot/edit + media buyer",IF(B29="3","Live selling, private traffic (community), brand; multi-channel",IF(B29="4","(aiOS addition) Owned audience: community, direct list, repeat purchase","")))))</f>
        <v/>
      </c>
      <c r="O29" s="3">
        <f>IF(A29="","",IF(N29="1","Prove scripts + sampling; don't chase ROI",IF(N29="2","Build a creator pool; test by niche/audience/deal",IF(N29="3","Rates rising: judge by ROI + retention",IF(N29="4","Long-term partners as local distributors","")))))</f>
        <v/>
      </c>
    </row>
    <row r="30">
      <c r="J30" s="3">
        <f>IF(A30="","",IF(I30="Content-commerce veteran","Mature content markets (CC: US + Southeast Asia)",IF(I30="Marketplace-only seller","US + newly opened markets (crowded mature markets punish beginners)",IF(I30="Marketplace-validated products","US + Southeast Asia: open a new channel on proven products",""))))</f>
        <v/>
      </c>
      <c r="K30" s="3">
        <f>IF(A30="","",ROUND((C30+D30+2*F30+H30)-(E30+G30)/2,1))</f>
        <v/>
      </c>
      <c r="L30" s="3">
        <f>IF(A30="","",IF(H30=0,"Rate supply fit",IF(H30&lt;3,"Fix supply first - don't enter yet","OK")))</f>
        <v/>
      </c>
      <c r="M30" s="3">
        <f>IF(A30="","",IF(B30="1","Creator outreach and seeding; hire partnerships",IF(B30="2","Own short video + paid; hire shoot/edit + media buyer",IF(B30="3","Live selling, private traffic (community), brand; multi-channel",IF(B30="4","(aiOS addition) Owned audience: community, direct list, repeat purchase","")))))</f>
        <v/>
      </c>
      <c r="O30" s="3">
        <f>IF(A30="","",IF(N30="1","Prove scripts + sampling; don't chase ROI",IF(N30="2","Build a creator pool; test by niche/audience/deal",IF(N30="3","Rates rising: judge by ROI + retention",IF(N30="4","Long-term partners as local distributors","")))))</f>
        <v/>
      </c>
    </row>
    <row r="31">
      <c r="J31" s="3">
        <f>IF(A31="","",IF(I31="Content-commerce veteran","Mature content markets (CC: US + Southeast Asia)",IF(I31="Marketplace-only seller","US + newly opened markets (crowded mature markets punish beginners)",IF(I31="Marketplace-validated products","US + Southeast Asia: open a new channel on proven products",""))))</f>
        <v/>
      </c>
      <c r="K31" s="3">
        <f>IF(A31="","",ROUND((C31+D31+2*F31+H31)-(E31+G31)/2,1))</f>
        <v/>
      </c>
      <c r="L31" s="3">
        <f>IF(A31="","",IF(H31=0,"Rate supply fit",IF(H31&lt;3,"Fix supply first - don't enter yet","OK")))</f>
        <v/>
      </c>
      <c r="M31" s="3">
        <f>IF(A31="","",IF(B31="1","Creator outreach and seeding; hire partnerships",IF(B31="2","Own short video + paid; hire shoot/edit + media buyer",IF(B31="3","Live selling, private traffic (community), brand; multi-channel",IF(B31="4","(aiOS addition) Owned audience: community, direct list, repeat purchase","")))))</f>
        <v/>
      </c>
      <c r="O31" s="3">
        <f>IF(A31="","",IF(N31="1","Prove scripts + sampling; don't chase ROI",IF(N31="2","Build a creator pool; test by niche/audience/deal",IF(N31="3","Rates rising: judge by ROI + retention",IF(N31="4","Long-term partners as local distributors","")))))</f>
        <v/>
      </c>
    </row>
    <row r="32">
      <c r="J32" s="3">
        <f>IF(A32="","",IF(I32="Content-commerce veteran","Mature content markets (CC: US + Southeast Asia)",IF(I32="Marketplace-only seller","US + newly opened markets (crowded mature markets punish beginners)",IF(I32="Marketplace-validated products","US + Southeast Asia: open a new channel on proven products",""))))</f>
        <v/>
      </c>
      <c r="K32" s="3">
        <f>IF(A32="","",ROUND((C32+D32+2*F32+H32)-(E32+G32)/2,1))</f>
        <v/>
      </c>
      <c r="L32" s="3">
        <f>IF(A32="","",IF(H32=0,"Rate supply fit",IF(H32&lt;3,"Fix supply first - don't enter yet","OK")))</f>
        <v/>
      </c>
      <c r="M32" s="3">
        <f>IF(A32="","",IF(B32="1","Creator outreach and seeding; hire partnerships",IF(B32="2","Own short video + paid; hire shoot/edit + media buyer",IF(B32="3","Live selling, private traffic (community), brand; multi-channel",IF(B32="4","(aiOS addition) Owned audience: community, direct list, repeat purchase","")))))</f>
        <v/>
      </c>
      <c r="O32" s="3">
        <f>IF(A32="","",IF(N32="1","Prove scripts + sampling; don't chase ROI",IF(N32="2","Build a creator pool; test by niche/audience/deal",IF(N32="3","Rates rising: judge by ROI + retention",IF(N32="4","Long-term partners as local distributors","")))))</f>
        <v/>
      </c>
    </row>
    <row r="33">
      <c r="J33" s="3">
        <f>IF(A33="","",IF(I33="Content-commerce veteran","Mature content markets (CC: US + Southeast Asia)",IF(I33="Marketplace-only seller","US + newly opened markets (crowded mature markets punish beginners)",IF(I33="Marketplace-validated products","US + Southeast Asia: open a new channel on proven products",""))))</f>
        <v/>
      </c>
      <c r="K33" s="3">
        <f>IF(A33="","",ROUND((C33+D33+2*F33+H33)-(E33+G33)/2,1))</f>
        <v/>
      </c>
      <c r="L33" s="3">
        <f>IF(A33="","",IF(H33=0,"Rate supply fit",IF(H33&lt;3,"Fix supply first - don't enter yet","OK")))</f>
        <v/>
      </c>
      <c r="M33" s="3">
        <f>IF(A33="","",IF(B33="1","Creator outreach and seeding; hire partnerships",IF(B33="2","Own short video + paid; hire shoot/edit + media buyer",IF(B33="3","Live selling, private traffic (community), brand; multi-channel",IF(B33="4","(aiOS addition) Owned audience: community, direct list, repeat purchase","")))))</f>
        <v/>
      </c>
      <c r="O33" s="3">
        <f>IF(A33="","",IF(N33="1","Prove scripts + sampling; don't chase ROI",IF(N33="2","Build a creator pool; test by niche/audience/deal",IF(N33="3","Rates rising: judge by ROI + retention",IF(N33="4","Long-term partners as local distributors","")))))</f>
        <v/>
      </c>
    </row>
    <row r="34">
      <c r="J34" s="3">
        <f>IF(A34="","",IF(I34="Content-commerce veteran","Mature content markets (CC: US + Southeast Asia)",IF(I34="Marketplace-only seller","US + newly opened markets (crowded mature markets punish beginners)",IF(I34="Marketplace-validated products","US + Southeast Asia: open a new channel on proven products",""))))</f>
        <v/>
      </c>
      <c r="K34" s="3">
        <f>IF(A34="","",ROUND((C34+D34+2*F34+H34)-(E34+G34)/2,1))</f>
        <v/>
      </c>
      <c r="L34" s="3">
        <f>IF(A34="","",IF(H34=0,"Rate supply fit",IF(H34&lt;3,"Fix supply first - don't enter yet","OK")))</f>
        <v/>
      </c>
      <c r="M34" s="3">
        <f>IF(A34="","",IF(B34="1","Creator outreach and seeding; hire partnerships",IF(B34="2","Own short video + paid; hire shoot/edit + media buyer",IF(B34="3","Live selling, private traffic (community), brand; multi-channel",IF(B34="4","(aiOS addition) Owned audience: community, direct list, repeat purchase","")))))</f>
        <v/>
      </c>
      <c r="O34" s="3">
        <f>IF(A34="","",IF(N34="1","Prove scripts + sampling; don't chase ROI",IF(N34="2","Build a creator pool; test by niche/audience/deal",IF(N34="3","Rates rising: judge by ROI + retention",IF(N34="4","Long-term partners as local distributors","")))))</f>
        <v/>
      </c>
    </row>
    <row r="35">
      <c r="J35" s="3">
        <f>IF(A35="","",IF(I35="Content-commerce veteran","Mature content markets (CC: US + Southeast Asia)",IF(I35="Marketplace-only seller","US + newly opened markets (crowded mature markets punish beginners)",IF(I35="Marketplace-validated products","US + Southeast Asia: open a new channel on proven products",""))))</f>
        <v/>
      </c>
      <c r="K35" s="3">
        <f>IF(A35="","",ROUND((C35+D35+2*F35+H35)-(E35+G35)/2,1))</f>
        <v/>
      </c>
      <c r="L35" s="3">
        <f>IF(A35="","",IF(H35=0,"Rate supply fit",IF(H35&lt;3,"Fix supply first - don't enter yet","OK")))</f>
        <v/>
      </c>
      <c r="M35" s="3">
        <f>IF(A35="","",IF(B35="1","Creator outreach and seeding; hire partnerships",IF(B35="2","Own short video + paid; hire shoot/edit + media buyer",IF(B35="3","Live selling, private traffic (community), brand; multi-channel",IF(B35="4","(aiOS addition) Owned audience: community, direct list, repeat purchase","")))))</f>
        <v/>
      </c>
      <c r="O35" s="3">
        <f>IF(A35="","",IF(N35="1","Prove scripts + sampling; don't chase ROI",IF(N35="2","Build a creator pool; test by niche/audience/deal",IF(N35="3","Rates rising: judge by ROI + retention",IF(N35="4","Long-term partners as local distributors","")))))</f>
        <v/>
      </c>
    </row>
    <row r="36">
      <c r="J36" s="3">
        <f>IF(A36="","",IF(I36="Content-commerce veteran","Mature content markets (CC: US + Southeast Asia)",IF(I36="Marketplace-only seller","US + newly opened markets (crowded mature markets punish beginners)",IF(I36="Marketplace-validated products","US + Southeast Asia: open a new channel on proven products",""))))</f>
        <v/>
      </c>
      <c r="K36" s="3">
        <f>IF(A36="","",ROUND((C36+D36+2*F36+H36)-(E36+G36)/2,1))</f>
        <v/>
      </c>
      <c r="L36" s="3">
        <f>IF(A36="","",IF(H36=0,"Rate supply fit",IF(H36&lt;3,"Fix supply first - don't enter yet","OK")))</f>
        <v/>
      </c>
      <c r="M36" s="3">
        <f>IF(A36="","",IF(B36="1","Creator outreach and seeding; hire partnerships",IF(B36="2","Own short video + paid; hire shoot/edit + media buyer",IF(B36="3","Live selling, private traffic (community), brand; multi-channel",IF(B36="4","(aiOS addition) Owned audience: community, direct list, repeat purchase","")))))</f>
        <v/>
      </c>
      <c r="O36" s="3">
        <f>IF(A36="","",IF(N36="1","Prove scripts + sampling; don't chase ROI",IF(N36="2","Build a creator pool; test by niche/audience/deal",IF(N36="3","Rates rising: judge by ROI + retention",IF(N36="4","Long-term partners as local distributors","")))))</f>
        <v/>
      </c>
    </row>
    <row r="37">
      <c r="J37" s="3">
        <f>IF(A37="","",IF(I37="Content-commerce veteran","Mature content markets (CC: US + Southeast Asia)",IF(I37="Marketplace-only seller","US + newly opened markets (crowded mature markets punish beginners)",IF(I37="Marketplace-validated products","US + Southeast Asia: open a new channel on proven products",""))))</f>
        <v/>
      </c>
      <c r="K37" s="3">
        <f>IF(A37="","",ROUND((C37+D37+2*F37+H37)-(E37+G37)/2,1))</f>
        <v/>
      </c>
      <c r="L37" s="3">
        <f>IF(A37="","",IF(H37=0,"Rate supply fit",IF(H37&lt;3,"Fix supply first - don't enter yet","OK")))</f>
        <v/>
      </c>
      <c r="M37" s="3">
        <f>IF(A37="","",IF(B37="1","Creator outreach and seeding; hire partnerships",IF(B37="2","Own short video + paid; hire shoot/edit + media buyer",IF(B37="3","Live selling, private traffic (community), brand; multi-channel",IF(B37="4","(aiOS addition) Owned audience: community, direct list, repeat purchase","")))))</f>
        <v/>
      </c>
      <c r="O37" s="3">
        <f>IF(A37="","",IF(N37="1","Prove scripts + sampling; don't chase ROI",IF(N37="2","Build a creator pool; test by niche/audience/deal",IF(N37="3","Rates rising: judge by ROI + retention",IF(N37="4","Long-term partners as local distributors","")))))</f>
        <v/>
      </c>
    </row>
    <row r="38">
      <c r="J38" s="3">
        <f>IF(A38="","",IF(I38="Content-commerce veteran","Mature content markets (CC: US + Southeast Asia)",IF(I38="Marketplace-only seller","US + newly opened markets (crowded mature markets punish beginners)",IF(I38="Marketplace-validated products","US + Southeast Asia: open a new channel on proven products",""))))</f>
        <v/>
      </c>
      <c r="K38" s="3">
        <f>IF(A38="","",ROUND((C38+D38+2*F38+H38)-(E38+G38)/2,1))</f>
        <v/>
      </c>
      <c r="L38" s="3">
        <f>IF(A38="","",IF(H38=0,"Rate supply fit",IF(H38&lt;3,"Fix supply first - don't enter yet","OK")))</f>
        <v/>
      </c>
      <c r="M38" s="3">
        <f>IF(A38="","",IF(B38="1","Creator outreach and seeding; hire partnerships",IF(B38="2","Own short video + paid; hire shoot/edit + media buyer",IF(B38="3","Live selling, private traffic (community), brand; multi-channel",IF(B38="4","(aiOS addition) Owned audience: community, direct list, repeat purchase","")))))</f>
        <v/>
      </c>
      <c r="O38" s="3">
        <f>IF(A38="","",IF(N38="1","Prove scripts + sampling; don't chase ROI",IF(N38="2","Build a creator pool; test by niche/audience/deal",IF(N38="3","Rates rising: judge by ROI + retention",IF(N38="4","Long-term partners as local distributors","")))))</f>
        <v/>
      </c>
    </row>
    <row r="39">
      <c r="J39" s="3">
        <f>IF(A39="","",IF(I39="Content-commerce veteran","Mature content markets (CC: US + Southeast Asia)",IF(I39="Marketplace-only seller","US + newly opened markets (crowded mature markets punish beginners)",IF(I39="Marketplace-validated products","US + Southeast Asia: open a new channel on proven products",""))))</f>
        <v/>
      </c>
      <c r="K39" s="3">
        <f>IF(A39="","",ROUND((C39+D39+2*F39+H39)-(E39+G39)/2,1))</f>
        <v/>
      </c>
      <c r="L39" s="3">
        <f>IF(A39="","",IF(H39=0,"Rate supply fit",IF(H39&lt;3,"Fix supply first - don't enter yet","OK")))</f>
        <v/>
      </c>
      <c r="M39" s="3">
        <f>IF(A39="","",IF(B39="1","Creator outreach and seeding; hire partnerships",IF(B39="2","Own short video + paid; hire shoot/edit + media buyer",IF(B39="3","Live selling, private traffic (community), brand; multi-channel",IF(B39="4","(aiOS addition) Owned audience: community, direct list, repeat purchase","")))))</f>
        <v/>
      </c>
      <c r="O39" s="3">
        <f>IF(A39="","",IF(N39="1","Prove scripts + sampling; don't chase ROI",IF(N39="2","Build a creator pool; test by niche/audience/deal",IF(N39="3","Rates rising: judge by ROI + retention",IF(N39="4","Long-term partners as local distributors","")))))</f>
        <v/>
      </c>
    </row>
    <row r="40">
      <c r="J40" s="3">
        <f>IF(A40="","",IF(I40="Content-commerce veteran","Mature content markets (CC: US + Southeast Asia)",IF(I40="Marketplace-only seller","US + newly opened markets (crowded mature markets punish beginners)",IF(I40="Marketplace-validated products","US + Southeast Asia: open a new channel on proven products",""))))</f>
        <v/>
      </c>
      <c r="K40" s="3">
        <f>IF(A40="","",ROUND((C40+D40+2*F40+H40)-(E40+G40)/2,1))</f>
        <v/>
      </c>
      <c r="L40" s="3">
        <f>IF(A40="","",IF(H40=0,"Rate supply fit",IF(H40&lt;3,"Fix supply first - don't enter yet","OK")))</f>
        <v/>
      </c>
      <c r="M40" s="3">
        <f>IF(A40="","",IF(B40="1","Creator outreach and seeding; hire partnerships",IF(B40="2","Own short video + paid; hire shoot/edit + media buyer",IF(B40="3","Live selling, private traffic (community), brand; multi-channel",IF(B40="4","(aiOS addition) Owned audience: community, direct list, repeat purchase","")))))</f>
        <v/>
      </c>
      <c r="O40" s="3">
        <f>IF(A40="","",IF(N40="1","Prove scripts + sampling; don't chase ROI",IF(N40="2","Build a creator pool; test by niche/audience/deal",IF(N40="3","Rates rising: judge by ROI + retention",IF(N40="4","Long-term partners as local distributors","")))))</f>
        <v/>
      </c>
    </row>
    <row r="41">
      <c r="J41" s="3">
        <f>IF(A41="","",IF(I41="Content-commerce veteran","Mature content markets (CC: US + Southeast Asia)",IF(I41="Marketplace-only seller","US + newly opened markets (crowded mature markets punish beginners)",IF(I41="Marketplace-validated products","US + Southeast Asia: open a new channel on proven products",""))))</f>
        <v/>
      </c>
      <c r="K41" s="3">
        <f>IF(A41="","",ROUND((C41+D41+2*F41+H41)-(E41+G41)/2,1))</f>
        <v/>
      </c>
      <c r="L41" s="3">
        <f>IF(A41="","",IF(H41=0,"Rate supply fit",IF(H41&lt;3,"Fix supply first - don't enter yet","OK")))</f>
        <v/>
      </c>
      <c r="M41" s="3">
        <f>IF(A41="","",IF(B41="1","Creator outreach and seeding; hire partnerships",IF(B41="2","Own short video + paid; hire shoot/edit + media buyer",IF(B41="3","Live selling, private traffic (community), brand; multi-channel",IF(B41="4","(aiOS addition) Owned audience: community, direct list, repeat purchase","")))))</f>
        <v/>
      </c>
      <c r="O41" s="3">
        <f>IF(A41="","",IF(N41="1","Prove scripts + sampling; don't chase ROI",IF(N41="2","Build a creator pool; test by niche/audience/deal",IF(N41="3","Rates rising: judge by ROI + retention",IF(N41="4","Long-term partners as local distributors","")))))</f>
        <v/>
      </c>
    </row>
    <row r="42">
      <c r="J42" s="3">
        <f>IF(A42="","",IF(I42="Content-commerce veteran","Mature content markets (CC: US + Southeast Asia)",IF(I42="Marketplace-only seller","US + newly opened markets (crowded mature markets punish beginners)",IF(I42="Marketplace-validated products","US + Southeast Asia: open a new channel on proven products",""))))</f>
        <v/>
      </c>
      <c r="K42" s="3">
        <f>IF(A42="","",ROUND((C42+D42+2*F42+H42)-(E42+G42)/2,1))</f>
        <v/>
      </c>
      <c r="L42" s="3">
        <f>IF(A42="","",IF(H42=0,"Rate supply fit",IF(H42&lt;3,"Fix supply first - don't enter yet","OK")))</f>
        <v/>
      </c>
      <c r="M42" s="3">
        <f>IF(A42="","",IF(B42="1","Creator outreach and seeding; hire partnerships",IF(B42="2","Own short video + paid; hire shoot/edit + media buyer",IF(B42="3","Live selling, private traffic (community), brand; multi-channel",IF(B42="4","(aiOS addition) Owned audience: community, direct list, repeat purchase","")))))</f>
        <v/>
      </c>
      <c r="O42" s="3">
        <f>IF(A42="","",IF(N42="1","Prove scripts + sampling; don't chase ROI",IF(N42="2","Build a creator pool; test by niche/audience/deal",IF(N42="3","Rates rising: judge by ROI + retention",IF(N42="4","Long-term partners as local distributors","")))))</f>
        <v/>
      </c>
    </row>
    <row r="43">
      <c r="J43" s="3">
        <f>IF(A43="","",IF(I43="Content-commerce veteran","Mature content markets (CC: US + Southeast Asia)",IF(I43="Marketplace-only seller","US + newly opened markets (crowded mature markets punish beginners)",IF(I43="Marketplace-validated products","US + Southeast Asia: open a new channel on proven products",""))))</f>
        <v/>
      </c>
      <c r="K43" s="3">
        <f>IF(A43="","",ROUND((C43+D43+2*F43+H43)-(E43+G43)/2,1))</f>
        <v/>
      </c>
      <c r="L43" s="3">
        <f>IF(A43="","",IF(H43=0,"Rate supply fit",IF(H43&lt;3,"Fix supply first - don't enter yet","OK")))</f>
        <v/>
      </c>
      <c r="M43" s="3">
        <f>IF(A43="","",IF(B43="1","Creator outreach and seeding; hire partnerships",IF(B43="2","Own short video + paid; hire shoot/edit + media buyer",IF(B43="3","Live selling, private traffic (community), brand; multi-channel",IF(B43="4","(aiOS addition) Owned audience: community, direct list, repeat purchase","")))))</f>
        <v/>
      </c>
      <c r="O43" s="3">
        <f>IF(A43="","",IF(N43="1","Prove scripts + sampling; don't chase ROI",IF(N43="2","Build a creator pool; test by niche/audience/deal",IF(N43="3","Rates rising: judge by ROI + retention",IF(N43="4","Long-term partners as local distributors","")))))</f>
        <v/>
      </c>
    </row>
    <row r="44">
      <c r="J44" s="3">
        <f>IF(A44="","",IF(I44="Content-commerce veteran","Mature content markets (CC: US + Southeast Asia)",IF(I44="Marketplace-only seller","US + newly opened markets (crowded mature markets punish beginners)",IF(I44="Marketplace-validated products","US + Southeast Asia: open a new channel on proven products",""))))</f>
        <v/>
      </c>
      <c r="K44" s="3">
        <f>IF(A44="","",ROUND((C44+D44+2*F44+H44)-(E44+G44)/2,1))</f>
        <v/>
      </c>
      <c r="L44" s="3">
        <f>IF(A44="","",IF(H44=0,"Rate supply fit",IF(H44&lt;3,"Fix supply first - don't enter yet","OK")))</f>
        <v/>
      </c>
      <c r="M44" s="3">
        <f>IF(A44="","",IF(B44="1","Creator outreach and seeding; hire partnerships",IF(B44="2","Own short video + paid; hire shoot/edit + media buyer",IF(B44="3","Live selling, private traffic (community), brand; multi-channel",IF(B44="4","(aiOS addition) Owned audience: community, direct list, repeat purchase","")))))</f>
        <v/>
      </c>
      <c r="O44" s="3">
        <f>IF(A44="","",IF(N44="1","Prove scripts + sampling; don't chase ROI",IF(N44="2","Build a creator pool; test by niche/audience/deal",IF(N44="3","Rates rising: judge by ROI + retention",IF(N44="4","Long-term partners as local distributors","")))))</f>
        <v/>
      </c>
    </row>
    <row r="45">
      <c r="J45" s="3">
        <f>IF(A45="","",IF(I45="Content-commerce veteran","Mature content markets (CC: US + Southeast Asia)",IF(I45="Marketplace-only seller","US + newly opened markets (crowded mature markets punish beginners)",IF(I45="Marketplace-validated products","US + Southeast Asia: open a new channel on proven products",""))))</f>
        <v/>
      </c>
      <c r="K45" s="3">
        <f>IF(A45="","",ROUND((C45+D45+2*F45+H45)-(E45+G45)/2,1))</f>
        <v/>
      </c>
      <c r="L45" s="3">
        <f>IF(A45="","",IF(H45=0,"Rate supply fit",IF(H45&lt;3,"Fix supply first - don't enter yet","OK")))</f>
        <v/>
      </c>
      <c r="M45" s="3">
        <f>IF(A45="","",IF(B45="1","Creator outreach and seeding; hire partnerships",IF(B45="2","Own short video + paid; hire shoot/edit + media buyer",IF(B45="3","Live selling, private traffic (community), brand; multi-channel",IF(B45="4","(aiOS addition) Owned audience: community, direct list, repeat purchase","")))))</f>
        <v/>
      </c>
      <c r="O45" s="3">
        <f>IF(A45="","",IF(N45="1","Prove scripts + sampling; don't chase ROI",IF(N45="2","Build a creator pool; test by niche/audience/deal",IF(N45="3","Rates rising: judge by ROI + retention",IF(N45="4","Long-term partners as local distributors","")))))</f>
        <v/>
      </c>
    </row>
    <row r="46">
      <c r="J46" s="3">
        <f>IF(A46="","",IF(I46="Content-commerce veteran","Mature content markets (CC: US + Southeast Asia)",IF(I46="Marketplace-only seller","US + newly opened markets (crowded mature markets punish beginners)",IF(I46="Marketplace-validated products","US + Southeast Asia: open a new channel on proven products",""))))</f>
        <v/>
      </c>
      <c r="K46" s="3">
        <f>IF(A46="","",ROUND((C46+D46+2*F46+H46)-(E46+G46)/2,1))</f>
        <v/>
      </c>
      <c r="L46" s="3">
        <f>IF(A46="","",IF(H46=0,"Rate supply fit",IF(H46&lt;3,"Fix supply first - don't enter yet","OK")))</f>
        <v/>
      </c>
      <c r="M46" s="3">
        <f>IF(A46="","",IF(B46="1","Creator outreach and seeding; hire partnerships",IF(B46="2","Own short video + paid; hire shoot/edit + media buyer",IF(B46="3","Live selling, private traffic (community), brand; multi-channel",IF(B46="4","(aiOS addition) Owned audience: community, direct list, repeat purchase","")))))</f>
        <v/>
      </c>
      <c r="O46" s="3">
        <f>IF(A46="","",IF(N46="1","Prove scripts + sampling; don't chase ROI",IF(N46="2","Build a creator pool; test by niche/audience/deal",IF(N46="3","Rates rising: judge by ROI + retention",IF(N46="4","Long-term partners as local distributors","")))))</f>
        <v/>
      </c>
    </row>
    <row r="47">
      <c r="J47" s="3">
        <f>IF(A47="","",IF(I47="Content-commerce veteran","Mature content markets (CC: US + Southeast Asia)",IF(I47="Marketplace-only seller","US + newly opened markets (crowded mature markets punish beginners)",IF(I47="Marketplace-validated products","US + Southeast Asia: open a new channel on proven products",""))))</f>
        <v/>
      </c>
      <c r="K47" s="3">
        <f>IF(A47="","",ROUND((C47+D47+2*F47+H47)-(E47+G47)/2,1))</f>
        <v/>
      </c>
      <c r="L47" s="3">
        <f>IF(A47="","",IF(H47=0,"Rate supply fit",IF(H47&lt;3,"Fix supply first - don't enter yet","OK")))</f>
        <v/>
      </c>
      <c r="M47" s="3">
        <f>IF(A47="","",IF(B47="1","Creator outreach and seeding; hire partnerships",IF(B47="2","Own short video + paid; hire shoot/edit + media buyer",IF(B47="3","Live selling, private traffic (community), brand; multi-channel",IF(B47="4","(aiOS addition) Owned audience: community, direct list, repeat purchase","")))))</f>
        <v/>
      </c>
      <c r="O47" s="3">
        <f>IF(A47="","",IF(N47="1","Prove scripts + sampling; don't chase ROI",IF(N47="2","Build a creator pool; test by niche/audience/deal",IF(N47="3","Rates rising: judge by ROI + retention",IF(N47="4","Long-term partners as local distributors","")))))</f>
        <v/>
      </c>
    </row>
    <row r="48">
      <c r="J48" s="3">
        <f>IF(A48="","",IF(I48="Content-commerce veteran","Mature content markets (CC: US + Southeast Asia)",IF(I48="Marketplace-only seller","US + newly opened markets (crowded mature markets punish beginners)",IF(I48="Marketplace-validated products","US + Southeast Asia: open a new channel on proven products",""))))</f>
        <v/>
      </c>
      <c r="K48" s="3">
        <f>IF(A48="","",ROUND((C48+D48+2*F48+H48)-(E48+G48)/2,1))</f>
        <v/>
      </c>
      <c r="L48" s="3">
        <f>IF(A48="","",IF(H48=0,"Rate supply fit",IF(H48&lt;3,"Fix supply first - don't enter yet","OK")))</f>
        <v/>
      </c>
      <c r="M48" s="3">
        <f>IF(A48="","",IF(B48="1","Creator outreach and seeding; hire partnerships",IF(B48="2","Own short video + paid; hire shoot/edit + media buyer",IF(B48="3","Live selling, private traffic (community), brand; multi-channel",IF(B48="4","(aiOS addition) Owned audience: community, direct list, repeat purchase","")))))</f>
        <v/>
      </c>
      <c r="O48" s="3">
        <f>IF(A48="","",IF(N48="1","Prove scripts + sampling; don't chase ROI",IF(N48="2","Build a creator pool; test by niche/audience/deal",IF(N48="3","Rates rising: judge by ROI + retention",IF(N48="4","Long-term partners as local distributors","")))))</f>
        <v/>
      </c>
    </row>
    <row r="49">
      <c r="J49" s="3">
        <f>IF(A49="","",IF(I49="Content-commerce veteran","Mature content markets (CC: US + Southeast Asia)",IF(I49="Marketplace-only seller","US + newly opened markets (crowded mature markets punish beginners)",IF(I49="Marketplace-validated products","US + Southeast Asia: open a new channel on proven products",""))))</f>
        <v/>
      </c>
      <c r="K49" s="3">
        <f>IF(A49="","",ROUND((C49+D49+2*F49+H49)-(E49+G49)/2,1))</f>
        <v/>
      </c>
      <c r="L49" s="3">
        <f>IF(A49="","",IF(H49=0,"Rate supply fit",IF(H49&lt;3,"Fix supply first - don't enter yet","OK")))</f>
        <v/>
      </c>
      <c r="M49" s="3">
        <f>IF(A49="","",IF(B49="1","Creator outreach and seeding; hire partnerships",IF(B49="2","Own short video + paid; hire shoot/edit + media buyer",IF(B49="3","Live selling, private traffic (community), brand; multi-channel",IF(B49="4","(aiOS addition) Owned audience: community, direct list, repeat purchase","")))))</f>
        <v/>
      </c>
      <c r="O49" s="3">
        <f>IF(A49="","",IF(N49="1","Prove scripts + sampling; don't chase ROI",IF(N49="2","Build a creator pool; test by niche/audience/deal",IF(N49="3","Rates rising: judge by ROI + retention",IF(N49="4","Long-term partners as local distributors","")))))</f>
        <v/>
      </c>
    </row>
    <row r="50">
      <c r="J50" s="3">
        <f>IF(A50="","",IF(I50="Content-commerce veteran","Mature content markets (CC: US + Southeast Asia)",IF(I50="Marketplace-only seller","US + newly opened markets (crowded mature markets punish beginners)",IF(I50="Marketplace-validated products","US + Southeast Asia: open a new channel on proven products",""))))</f>
        <v/>
      </c>
      <c r="K50" s="3">
        <f>IF(A50="","",ROUND((C50+D50+2*F50+H50)-(E50+G50)/2,1))</f>
        <v/>
      </c>
      <c r="L50" s="3">
        <f>IF(A50="","",IF(H50=0,"Rate supply fit",IF(H50&lt;3,"Fix supply first - don't enter yet","OK")))</f>
        <v/>
      </c>
      <c r="M50" s="3">
        <f>IF(A50="","",IF(B50="1","Creator outreach and seeding; hire partnerships",IF(B50="2","Own short video + paid; hire shoot/edit + media buyer",IF(B50="3","Live selling, private traffic (community), brand; multi-channel",IF(B50="4","(aiOS addition) Owned audience: community, direct list, repeat purchase","")))))</f>
        <v/>
      </c>
      <c r="O50" s="3">
        <f>IF(A50="","",IF(N50="1","Prove scripts + sampling; don't chase ROI",IF(N50="2","Build a creator pool; test by niche/audience/deal",IF(N50="3","Rates rising: judge by ROI + retention",IF(N50="4","Long-term partners as local distributors","")))))</f>
        <v/>
      </c>
    </row>
    <row r="51">
      <c r="J51" s="3">
        <f>IF(A51="","",IF(I51="Content-commerce veteran","Mature content markets (CC: US + Southeast Asia)",IF(I51="Marketplace-only seller","US + newly opened markets (crowded mature markets punish beginners)",IF(I51="Marketplace-validated products","US + Southeast Asia: open a new channel on proven products",""))))</f>
        <v/>
      </c>
      <c r="K51" s="3">
        <f>IF(A51="","",ROUND((C51+D51+2*F51+H51)-(E51+G51)/2,1))</f>
        <v/>
      </c>
      <c r="L51" s="3">
        <f>IF(A51="","",IF(H51=0,"Rate supply fit",IF(H51&lt;3,"Fix supply first - don't enter yet","OK")))</f>
        <v/>
      </c>
      <c r="M51" s="3">
        <f>IF(A51="","",IF(B51="1","Creator outreach and seeding; hire partnerships",IF(B51="2","Own short video + paid; hire shoot/edit + media buyer",IF(B51="3","Live selling, private traffic (community), brand; multi-channel",IF(B51="4","(aiOS addition) Owned audience: community, direct list, repeat purchase","")))))</f>
        <v/>
      </c>
      <c r="O51" s="3">
        <f>IF(A51="","",IF(N51="1","Prove scripts + sampling; don't chase ROI",IF(N51="2","Build a creator pool; test by niche/audience/deal",IF(N51="3","Rates rising: judge by ROI + retention",IF(N51="4","Long-term partners as local distributors","")))))</f>
        <v/>
      </c>
    </row>
    <row r="52">
      <c r="J52" s="3">
        <f>IF(A52="","",IF(I52="Content-commerce veteran","Mature content markets (CC: US + Southeast Asia)",IF(I52="Marketplace-only seller","US + newly opened markets (crowded mature markets punish beginners)",IF(I52="Marketplace-validated products","US + Southeast Asia: open a new channel on proven products",""))))</f>
        <v/>
      </c>
      <c r="K52" s="3">
        <f>IF(A52="","",ROUND((C52+D52+2*F52+H52)-(E52+G52)/2,1))</f>
        <v/>
      </c>
      <c r="L52" s="3">
        <f>IF(A52="","",IF(H52=0,"Rate supply fit",IF(H52&lt;3,"Fix supply first - don't enter yet","OK")))</f>
        <v/>
      </c>
      <c r="M52" s="3">
        <f>IF(A52="","",IF(B52="1","Creator outreach and seeding; hire partnerships",IF(B52="2","Own short video + paid; hire shoot/edit + media buyer",IF(B52="3","Live selling, private traffic (community), brand; multi-channel",IF(B52="4","(aiOS addition) Owned audience: community, direct list, repeat purchase","")))))</f>
        <v/>
      </c>
      <c r="O52" s="3">
        <f>IF(A52="","",IF(N52="1","Prove scripts + sampling; don't chase ROI",IF(N52="2","Build a creator pool; test by niche/audience/deal",IF(N52="3","Rates rising: judge by ROI + retention",IF(N52="4","Long-term partners as local distributors","")))))</f>
        <v/>
      </c>
    </row>
    <row r="53">
      <c r="J53" s="3">
        <f>IF(A53="","",IF(I53="Content-commerce veteran","Mature content markets (CC: US + Southeast Asia)",IF(I53="Marketplace-only seller","US + newly opened markets (crowded mature markets punish beginners)",IF(I53="Marketplace-validated products","US + Southeast Asia: open a new channel on proven products",""))))</f>
        <v/>
      </c>
      <c r="K53" s="3">
        <f>IF(A53="","",ROUND((C53+D53+2*F53+H53)-(E53+G53)/2,1))</f>
        <v/>
      </c>
      <c r="L53" s="3">
        <f>IF(A53="","",IF(H53=0,"Rate supply fit",IF(H53&lt;3,"Fix supply first - don't enter yet","OK")))</f>
        <v/>
      </c>
      <c r="M53" s="3">
        <f>IF(A53="","",IF(B53="1","Creator outreach and seeding; hire partnerships",IF(B53="2","Own short video + paid; hire shoot/edit + media buyer",IF(B53="3","Live selling, private traffic (community), brand; multi-channel",IF(B53="4","(aiOS addition) Owned audience: community, direct list, repeat purchase","")))))</f>
        <v/>
      </c>
      <c r="O53" s="3">
        <f>IF(A53="","",IF(N53="1","Prove scripts + sampling; don't chase ROI",IF(N53="2","Build a creator pool; test by niche/audience/deal",IF(N53="3","Rates rising: judge by ROI + retention",IF(N53="4","Long-term partners as local distributors","")))))</f>
        <v/>
      </c>
    </row>
    <row r="54">
      <c r="J54" s="3">
        <f>IF(A54="","",IF(I54="Content-commerce veteran","Mature content markets (CC: US + Southeast Asia)",IF(I54="Marketplace-only seller","US + newly opened markets (crowded mature markets punish beginners)",IF(I54="Marketplace-validated products","US + Southeast Asia: open a new channel on proven products",""))))</f>
        <v/>
      </c>
      <c r="K54" s="3">
        <f>IF(A54="","",ROUND((C54+D54+2*F54+H54)-(E54+G54)/2,1))</f>
        <v/>
      </c>
      <c r="L54" s="3">
        <f>IF(A54="","",IF(H54=0,"Rate supply fit",IF(H54&lt;3,"Fix supply first - don't enter yet","OK")))</f>
        <v/>
      </c>
      <c r="M54" s="3">
        <f>IF(A54="","",IF(B54="1","Creator outreach and seeding; hire partnerships",IF(B54="2","Own short video + paid; hire shoot/edit + media buyer",IF(B54="3","Live selling, private traffic (community), brand; multi-channel",IF(B54="4","(aiOS addition) Owned audience: community, direct list, repeat purchase","")))))</f>
        <v/>
      </c>
      <c r="O54" s="3">
        <f>IF(A54="","",IF(N54="1","Prove scripts + sampling; don't chase ROI",IF(N54="2","Build a creator pool; test by niche/audience/deal",IF(N54="3","Rates rising: judge by ROI + retention",IF(N54="4","Long-term partners as local distributors","")))))</f>
        <v/>
      </c>
    </row>
    <row r="55">
      <c r="J55" s="3">
        <f>IF(A55="","",IF(I55="Content-commerce veteran","Mature content markets (CC: US + Southeast Asia)",IF(I55="Marketplace-only seller","US + newly opened markets (crowded mature markets punish beginners)",IF(I55="Marketplace-validated products","US + Southeast Asia: open a new channel on proven products",""))))</f>
        <v/>
      </c>
      <c r="K55" s="3">
        <f>IF(A55="","",ROUND((C55+D55+2*F55+H55)-(E55+G55)/2,1))</f>
        <v/>
      </c>
      <c r="L55" s="3">
        <f>IF(A55="","",IF(H55=0,"Rate supply fit",IF(H55&lt;3,"Fix supply first - don't enter yet","OK")))</f>
        <v/>
      </c>
      <c r="M55" s="3">
        <f>IF(A55="","",IF(B55="1","Creator outreach and seeding; hire partnerships",IF(B55="2","Own short video + paid; hire shoot/edit + media buyer",IF(B55="3","Live selling, private traffic (community), brand; multi-channel",IF(B55="4","(aiOS addition) Owned audience: community, direct list, repeat purchase","")))))</f>
        <v/>
      </c>
      <c r="O55" s="3">
        <f>IF(A55="","",IF(N55="1","Prove scripts + sampling; don't chase ROI",IF(N55="2","Build a creator pool; test by niche/audience/deal",IF(N55="3","Rates rising: judge by ROI + retention",IF(N55="4","Long-term partners as local distributors","")))))</f>
        <v/>
      </c>
    </row>
    <row r="56">
      <c r="J56" s="3">
        <f>IF(A56="","",IF(I56="Content-commerce veteran","Mature content markets (CC: US + Southeast Asia)",IF(I56="Marketplace-only seller","US + newly opened markets (crowded mature markets punish beginners)",IF(I56="Marketplace-validated products","US + Southeast Asia: open a new channel on proven products",""))))</f>
        <v/>
      </c>
      <c r="K56" s="3">
        <f>IF(A56="","",ROUND((C56+D56+2*F56+H56)-(E56+G56)/2,1))</f>
        <v/>
      </c>
      <c r="L56" s="3">
        <f>IF(A56="","",IF(H56=0,"Rate supply fit",IF(H56&lt;3,"Fix supply first - don't enter yet","OK")))</f>
        <v/>
      </c>
      <c r="M56" s="3">
        <f>IF(A56="","",IF(B56="1","Creator outreach and seeding; hire partnerships",IF(B56="2","Own short video + paid; hire shoot/edit + media buyer",IF(B56="3","Live selling, private traffic (community), brand; multi-channel",IF(B56="4","(aiOS addition) Owned audience: community, direct list, repeat purchase","")))))</f>
        <v/>
      </c>
      <c r="O56" s="3">
        <f>IF(A56="","",IF(N56="1","Prove scripts + sampling; don't chase ROI",IF(N56="2","Build a creator pool; test by niche/audience/deal",IF(N56="3","Rates rising: judge by ROI + retention",IF(N56="4","Long-term partners as local distributors","")))))</f>
        <v/>
      </c>
    </row>
    <row r="57">
      <c r="J57" s="3">
        <f>IF(A57="","",IF(I57="Content-commerce veteran","Mature content markets (CC: US + Southeast Asia)",IF(I57="Marketplace-only seller","US + newly opened markets (crowded mature markets punish beginners)",IF(I57="Marketplace-validated products","US + Southeast Asia: open a new channel on proven products",""))))</f>
        <v/>
      </c>
      <c r="K57" s="3">
        <f>IF(A57="","",ROUND((C57+D57+2*F57+H57)-(E57+G57)/2,1))</f>
        <v/>
      </c>
      <c r="L57" s="3">
        <f>IF(A57="","",IF(H57=0,"Rate supply fit",IF(H57&lt;3,"Fix supply first - don't enter yet","OK")))</f>
        <v/>
      </c>
      <c r="M57" s="3">
        <f>IF(A57="","",IF(B57="1","Creator outreach and seeding; hire partnerships",IF(B57="2","Own short video + paid; hire shoot/edit + media buyer",IF(B57="3","Live selling, private traffic (community), brand; multi-channel",IF(B57="4","(aiOS addition) Owned audience: community, direct list, repeat purchase","")))))</f>
        <v/>
      </c>
      <c r="O57" s="3">
        <f>IF(A57="","",IF(N57="1","Prove scripts + sampling; don't chase ROI",IF(N57="2","Build a creator pool; test by niche/audience/deal",IF(N57="3","Rates rising: judge by ROI + retention",IF(N57="4","Long-term partners as local distributors","")))))</f>
        <v/>
      </c>
    </row>
    <row r="58">
      <c r="J58" s="3">
        <f>IF(A58="","",IF(I58="Content-commerce veteran","Mature content markets (CC: US + Southeast Asia)",IF(I58="Marketplace-only seller","US + newly opened markets (crowded mature markets punish beginners)",IF(I58="Marketplace-validated products","US + Southeast Asia: open a new channel on proven products",""))))</f>
        <v/>
      </c>
      <c r="K58" s="3">
        <f>IF(A58="","",ROUND((C58+D58+2*F58+H58)-(E58+G58)/2,1))</f>
        <v/>
      </c>
      <c r="L58" s="3">
        <f>IF(A58="","",IF(H58=0,"Rate supply fit",IF(H58&lt;3,"Fix supply first - don't enter yet","OK")))</f>
        <v/>
      </c>
      <c r="M58" s="3">
        <f>IF(A58="","",IF(B58="1","Creator outreach and seeding; hire partnerships",IF(B58="2","Own short video + paid; hire shoot/edit + media buyer",IF(B58="3","Live selling, private traffic (community), brand; multi-channel",IF(B58="4","(aiOS addition) Owned audience: community, direct list, repeat purchase","")))))</f>
        <v/>
      </c>
      <c r="O58" s="3">
        <f>IF(A58="","",IF(N58="1","Prove scripts + sampling; don't chase ROI",IF(N58="2","Build a creator pool; test by niche/audience/deal",IF(N58="3","Rates rising: judge by ROI + retention",IF(N58="4","Long-term partners as local distributors","")))))</f>
        <v/>
      </c>
    </row>
    <row r="59">
      <c r="J59" s="3">
        <f>IF(A59="","",IF(I59="Content-commerce veteran","Mature content markets (CC: US + Southeast Asia)",IF(I59="Marketplace-only seller","US + newly opened markets (crowded mature markets punish beginners)",IF(I59="Marketplace-validated products","US + Southeast Asia: open a new channel on proven products",""))))</f>
        <v/>
      </c>
      <c r="K59" s="3">
        <f>IF(A59="","",ROUND((C59+D59+2*F59+H59)-(E59+G59)/2,1))</f>
        <v/>
      </c>
      <c r="L59" s="3">
        <f>IF(A59="","",IF(H59=0,"Rate supply fit",IF(H59&lt;3,"Fix supply first - don't enter yet","OK")))</f>
        <v/>
      </c>
      <c r="M59" s="3">
        <f>IF(A59="","",IF(B59="1","Creator outreach and seeding; hire partnerships",IF(B59="2","Own short video + paid; hire shoot/edit + media buyer",IF(B59="3","Live selling, private traffic (community), brand; multi-channel",IF(B59="4","(aiOS addition) Owned audience: community, direct list, repeat purchase","")))))</f>
        <v/>
      </c>
      <c r="O59" s="3">
        <f>IF(A59="","",IF(N59="1","Prove scripts + sampling; don't chase ROI",IF(N59="2","Build a creator pool; test by niche/audience/deal",IF(N59="3","Rates rising: judge by ROI + retention",IF(N59="4","Long-term partners as local distributors","")))))</f>
        <v/>
      </c>
    </row>
    <row r="60">
      <c r="J60" s="3">
        <f>IF(A60="","",IF(I60="Content-commerce veteran","Mature content markets (CC: US + Southeast Asia)",IF(I60="Marketplace-only seller","US + newly opened markets (crowded mature markets punish beginners)",IF(I60="Marketplace-validated products","US + Southeast Asia: open a new channel on proven products",""))))</f>
        <v/>
      </c>
      <c r="K60" s="3">
        <f>IF(A60="","",ROUND((C60+D60+2*F60+H60)-(E60+G60)/2,1))</f>
        <v/>
      </c>
      <c r="L60" s="3">
        <f>IF(A60="","",IF(H60=0,"Rate supply fit",IF(H60&lt;3,"Fix supply first - don't enter yet","OK")))</f>
        <v/>
      </c>
      <c r="M60" s="3">
        <f>IF(A60="","",IF(B60="1","Creator outreach and seeding; hire partnerships",IF(B60="2","Own short video + paid; hire shoot/edit + media buyer",IF(B60="3","Live selling, private traffic (community), brand; multi-channel",IF(B60="4","(aiOS addition) Owned audience: community, direct list, repeat purchase","")))))</f>
        <v/>
      </c>
      <c r="O60" s="3">
        <f>IF(A60="","",IF(N60="1","Prove scripts + sampling; don't chase ROI",IF(N60="2","Build a creator pool; test by niche/audience/deal",IF(N60="3","Rates rising: judge by ROI + retention",IF(N60="4","Long-term partners as local distributors","")))))</f>
        <v/>
      </c>
    </row>
    <row r="61">
      <c r="J61" s="3">
        <f>IF(A61="","",IF(I61="Content-commerce veteran","Mature content markets (CC: US + Southeast Asia)",IF(I61="Marketplace-only seller","US + newly opened markets (crowded mature markets punish beginners)",IF(I61="Marketplace-validated products","US + Southeast Asia: open a new channel on proven products",""))))</f>
        <v/>
      </c>
      <c r="K61" s="3">
        <f>IF(A61="","",ROUND((C61+D61+2*F61+H61)-(E61+G61)/2,1))</f>
        <v/>
      </c>
      <c r="L61" s="3">
        <f>IF(A61="","",IF(H61=0,"Rate supply fit",IF(H61&lt;3,"Fix supply first - don't enter yet","OK")))</f>
        <v/>
      </c>
      <c r="M61" s="3">
        <f>IF(A61="","",IF(B61="1","Creator outreach and seeding; hire partnerships",IF(B61="2","Own short video + paid; hire shoot/edit + media buyer",IF(B61="3","Live selling, private traffic (community), brand; multi-channel",IF(B61="4","(aiOS addition) Owned audience: community, direct list, repeat purchase","")))))</f>
        <v/>
      </c>
      <c r="O61" s="3">
        <f>IF(A61="","",IF(N61="1","Prove scripts + sampling; don't chase ROI",IF(N61="2","Build a creator pool; test by niche/audience/deal",IF(N61="3","Rates rising: judge by ROI + retention",IF(N61="4","Long-term partners as local distributors","")))))</f>
        <v/>
      </c>
    </row>
    <row r="62">
      <c r="J62" s="3">
        <f>IF(A62="","",IF(I62="Content-commerce veteran","Mature content markets (CC: US + Southeast Asia)",IF(I62="Marketplace-only seller","US + newly opened markets (crowded mature markets punish beginners)",IF(I62="Marketplace-validated products","US + Southeast Asia: open a new channel on proven products",""))))</f>
        <v/>
      </c>
      <c r="K62" s="3">
        <f>IF(A62="","",ROUND((C62+D62+2*F62+H62)-(E62+G62)/2,1))</f>
        <v/>
      </c>
      <c r="L62" s="3">
        <f>IF(A62="","",IF(H62=0,"Rate supply fit",IF(H62&lt;3,"Fix supply first - don't enter yet","OK")))</f>
        <v/>
      </c>
      <c r="M62" s="3">
        <f>IF(A62="","",IF(B62="1","Creator outreach and seeding; hire partnerships",IF(B62="2","Own short video + paid; hire shoot/edit + media buyer",IF(B62="3","Live selling, private traffic (community), brand; multi-channel",IF(B62="4","(aiOS addition) Owned audience: community, direct list, repeat purchase","")))))</f>
        <v/>
      </c>
      <c r="O62" s="3">
        <f>IF(A62="","",IF(N62="1","Prove scripts + sampling; don't chase ROI",IF(N62="2","Build a creator pool; test by niche/audience/deal",IF(N62="3","Rates rising: judge by ROI + retention",IF(N62="4","Long-term partners as local distributors","")))))</f>
        <v/>
      </c>
    </row>
    <row r="63">
      <c r="J63" s="3">
        <f>IF(A63="","",IF(I63="Content-commerce veteran","Mature content markets (CC: US + Southeast Asia)",IF(I63="Marketplace-only seller","US + newly opened markets (crowded mature markets punish beginners)",IF(I63="Marketplace-validated products","US + Southeast Asia: open a new channel on proven products",""))))</f>
        <v/>
      </c>
      <c r="K63" s="3">
        <f>IF(A63="","",ROUND((C63+D63+2*F63+H63)-(E63+G63)/2,1))</f>
        <v/>
      </c>
      <c r="L63" s="3">
        <f>IF(A63="","",IF(H63=0,"Rate supply fit",IF(H63&lt;3,"Fix supply first - don't enter yet","OK")))</f>
        <v/>
      </c>
      <c r="M63" s="3">
        <f>IF(A63="","",IF(B63="1","Creator outreach and seeding; hire partnerships",IF(B63="2","Own short video + paid; hire shoot/edit + media buyer",IF(B63="3","Live selling, private traffic (community), brand; multi-channel",IF(B63="4","(aiOS addition) Owned audience: community, direct list, repeat purchase","")))))</f>
        <v/>
      </c>
      <c r="O63" s="3">
        <f>IF(A63="","",IF(N63="1","Prove scripts + sampling; don't chase ROI",IF(N63="2","Build a creator pool; test by niche/audience/deal",IF(N63="3","Rates rising: judge by ROI + retention",IF(N63="4","Long-term partners as local distributors","")))))</f>
        <v/>
      </c>
    </row>
    <row r="64">
      <c r="J64" s="3">
        <f>IF(A64="","",IF(I64="Content-commerce veteran","Mature content markets (CC: US + Southeast Asia)",IF(I64="Marketplace-only seller","US + newly opened markets (crowded mature markets punish beginners)",IF(I64="Marketplace-validated products","US + Southeast Asia: open a new channel on proven products",""))))</f>
        <v/>
      </c>
      <c r="K64" s="3">
        <f>IF(A64="","",ROUND((C64+D64+2*F64+H64)-(E64+G64)/2,1))</f>
        <v/>
      </c>
      <c r="L64" s="3">
        <f>IF(A64="","",IF(H64=0,"Rate supply fit",IF(H64&lt;3,"Fix supply first - don't enter yet","OK")))</f>
        <v/>
      </c>
      <c r="M64" s="3">
        <f>IF(A64="","",IF(B64="1","Creator outreach and seeding; hire partnerships",IF(B64="2","Own short video + paid; hire shoot/edit + media buyer",IF(B64="3","Live selling, private traffic (community), brand; multi-channel",IF(B64="4","(aiOS addition) Owned audience: community, direct list, repeat purchase","")))))</f>
        <v/>
      </c>
      <c r="O64" s="3">
        <f>IF(A64="","",IF(N64="1","Prove scripts + sampling; don't chase ROI",IF(N64="2","Build a creator pool; test by niche/audience/deal",IF(N64="3","Rates rising: judge by ROI + retention",IF(N64="4","Long-term partners as local distributors","")))))</f>
        <v/>
      </c>
    </row>
    <row r="65">
      <c r="J65" s="3">
        <f>IF(A65="","",IF(I65="Content-commerce veteran","Mature content markets (CC: US + Southeast Asia)",IF(I65="Marketplace-only seller","US + newly opened markets (crowded mature markets punish beginners)",IF(I65="Marketplace-validated products","US + Southeast Asia: open a new channel on proven products",""))))</f>
        <v/>
      </c>
      <c r="K65" s="3">
        <f>IF(A65="","",ROUND((C65+D65+2*F65+H65)-(E65+G65)/2,1))</f>
        <v/>
      </c>
      <c r="L65" s="3">
        <f>IF(A65="","",IF(H65=0,"Rate supply fit",IF(H65&lt;3,"Fix supply first - don't enter yet","OK")))</f>
        <v/>
      </c>
      <c r="M65" s="3">
        <f>IF(A65="","",IF(B65="1","Creator outreach and seeding; hire partnerships",IF(B65="2","Own short video + paid; hire shoot/edit + media buyer",IF(B65="3","Live selling, private traffic (community), brand; multi-channel",IF(B65="4","(aiOS addition) Owned audience: community, direct list, repeat purchase","")))))</f>
        <v/>
      </c>
      <c r="O65" s="3">
        <f>IF(A65="","",IF(N65="1","Prove scripts + sampling; don't chase ROI",IF(N65="2","Build a creator pool; test by niche/audience/deal",IF(N65="3","Rates rising: judge by ROI + retention",IF(N65="4","Long-term partners as local distributors","")))))</f>
        <v/>
      </c>
    </row>
    <row r="66">
      <c r="J66" s="3">
        <f>IF(A66="","",IF(I66="Content-commerce veteran","Mature content markets (CC: US + Southeast Asia)",IF(I66="Marketplace-only seller","US + newly opened markets (crowded mature markets punish beginners)",IF(I66="Marketplace-validated products","US + Southeast Asia: open a new channel on proven products",""))))</f>
        <v/>
      </c>
      <c r="K66" s="3">
        <f>IF(A66="","",ROUND((C66+D66+2*F66+H66)-(E66+G66)/2,1))</f>
        <v/>
      </c>
      <c r="L66" s="3">
        <f>IF(A66="","",IF(H66=0,"Rate supply fit",IF(H66&lt;3,"Fix supply first - don't enter yet","OK")))</f>
        <v/>
      </c>
      <c r="M66" s="3">
        <f>IF(A66="","",IF(B66="1","Creator outreach and seeding; hire partnerships",IF(B66="2","Own short video + paid; hire shoot/edit + media buyer",IF(B66="3","Live selling, private traffic (community), brand; multi-channel",IF(B66="4","(aiOS addition) Owned audience: community, direct list, repeat purchase","")))))</f>
        <v/>
      </c>
      <c r="O66" s="3">
        <f>IF(A66="","",IF(N66="1","Prove scripts + sampling; don't chase ROI",IF(N66="2","Build a creator pool; test by niche/audience/deal",IF(N66="3","Rates rising: judge by ROI + retention",IF(N66="4","Long-term partners as local distributors","")))))</f>
        <v/>
      </c>
    </row>
    <row r="67">
      <c r="J67" s="3">
        <f>IF(A67="","",IF(I67="Content-commerce veteran","Mature content markets (CC: US + Southeast Asia)",IF(I67="Marketplace-only seller","US + newly opened markets (crowded mature markets punish beginners)",IF(I67="Marketplace-validated products","US + Southeast Asia: open a new channel on proven products",""))))</f>
        <v/>
      </c>
      <c r="K67" s="3">
        <f>IF(A67="","",ROUND((C67+D67+2*F67+H67)-(E67+G67)/2,1))</f>
        <v/>
      </c>
      <c r="L67" s="3">
        <f>IF(A67="","",IF(H67=0,"Rate supply fit",IF(H67&lt;3,"Fix supply first - don't enter yet","OK")))</f>
        <v/>
      </c>
      <c r="M67" s="3">
        <f>IF(A67="","",IF(B67="1","Creator outreach and seeding; hire partnerships",IF(B67="2","Own short video + paid; hire shoot/edit + media buyer",IF(B67="3","Live selling, private traffic (community), brand; multi-channel",IF(B67="4","(aiOS addition) Owned audience: community, direct list, repeat purchase","")))))</f>
        <v/>
      </c>
      <c r="O67" s="3">
        <f>IF(A67="","",IF(N67="1","Prove scripts + sampling; don't chase ROI",IF(N67="2","Build a creator pool; test by niche/audience/deal",IF(N67="3","Rates rising: judge by ROI + retention",IF(N67="4","Long-term partners as local distributors","")))))</f>
        <v/>
      </c>
    </row>
    <row r="68">
      <c r="J68" s="3">
        <f>IF(A68="","",IF(I68="Content-commerce veteran","Mature content markets (CC: US + Southeast Asia)",IF(I68="Marketplace-only seller","US + newly opened markets (crowded mature markets punish beginners)",IF(I68="Marketplace-validated products","US + Southeast Asia: open a new channel on proven products",""))))</f>
        <v/>
      </c>
      <c r="K68" s="3">
        <f>IF(A68="","",ROUND((C68+D68+2*F68+H68)-(E68+G68)/2,1))</f>
        <v/>
      </c>
      <c r="L68" s="3">
        <f>IF(A68="","",IF(H68=0,"Rate supply fit",IF(H68&lt;3,"Fix supply first - don't enter yet","OK")))</f>
        <v/>
      </c>
      <c r="M68" s="3">
        <f>IF(A68="","",IF(B68="1","Creator outreach and seeding; hire partnerships",IF(B68="2","Own short video + paid; hire shoot/edit + media buyer",IF(B68="3","Live selling, private traffic (community), brand; multi-channel",IF(B68="4","(aiOS addition) Owned audience: community, direct list, repeat purchase","")))))</f>
        <v/>
      </c>
      <c r="O68" s="3">
        <f>IF(A68="","",IF(N68="1","Prove scripts + sampling; don't chase ROI",IF(N68="2","Build a creator pool; test by niche/audience/deal",IF(N68="3","Rates rising: judge by ROI + retention",IF(N68="4","Long-term partners as local distributors","")))))</f>
        <v/>
      </c>
    </row>
    <row r="69">
      <c r="J69" s="3">
        <f>IF(A69="","",IF(I69="Content-commerce veteran","Mature content markets (CC: US + Southeast Asia)",IF(I69="Marketplace-only seller","US + newly opened markets (crowded mature markets punish beginners)",IF(I69="Marketplace-validated products","US + Southeast Asia: open a new channel on proven products",""))))</f>
        <v/>
      </c>
      <c r="K69" s="3">
        <f>IF(A69="","",ROUND((C69+D69+2*F69+H69)-(E69+G69)/2,1))</f>
        <v/>
      </c>
      <c r="L69" s="3">
        <f>IF(A69="","",IF(H69=0,"Rate supply fit",IF(H69&lt;3,"Fix supply first - don't enter yet","OK")))</f>
        <v/>
      </c>
      <c r="M69" s="3">
        <f>IF(A69="","",IF(B69="1","Creator outreach and seeding; hire partnerships",IF(B69="2","Own short video + paid; hire shoot/edit + media buyer",IF(B69="3","Live selling, private traffic (community), brand; multi-channel",IF(B69="4","(aiOS addition) Owned audience: community, direct list, repeat purchase","")))))</f>
        <v/>
      </c>
      <c r="O69" s="3">
        <f>IF(A69="","",IF(N69="1","Prove scripts + sampling; don't chase ROI",IF(N69="2","Build a creator pool; test by niche/audience/deal",IF(N69="3","Rates rising: judge by ROI + retention",IF(N69="4","Long-term partners as local distributors","")))))</f>
        <v/>
      </c>
    </row>
    <row r="70">
      <c r="J70" s="3">
        <f>IF(A70="","",IF(I70="Content-commerce veteran","Mature content markets (CC: US + Southeast Asia)",IF(I70="Marketplace-only seller","US + newly opened markets (crowded mature markets punish beginners)",IF(I70="Marketplace-validated products","US + Southeast Asia: open a new channel on proven products",""))))</f>
        <v/>
      </c>
      <c r="K70" s="3">
        <f>IF(A70="","",ROUND((C70+D70+2*F70+H70)-(E70+G70)/2,1))</f>
        <v/>
      </c>
      <c r="L70" s="3">
        <f>IF(A70="","",IF(H70=0,"Rate supply fit",IF(H70&lt;3,"Fix supply first - don't enter yet","OK")))</f>
        <v/>
      </c>
      <c r="M70" s="3">
        <f>IF(A70="","",IF(B70="1","Creator outreach and seeding; hire partnerships",IF(B70="2","Own short video + paid; hire shoot/edit + media buyer",IF(B70="3","Live selling, private traffic (community), brand; multi-channel",IF(B70="4","(aiOS addition) Owned audience: community, direct list, repeat purchase","")))))</f>
        <v/>
      </c>
      <c r="O70" s="3">
        <f>IF(A70="","",IF(N70="1","Prove scripts + sampling; don't chase ROI",IF(N70="2","Build a creator pool; test by niche/audience/deal",IF(N70="3","Rates rising: judge by ROI + retention",IF(N70="4","Long-term partners as local distributors","")))))</f>
        <v/>
      </c>
    </row>
    <row r="71">
      <c r="J71" s="3">
        <f>IF(A71="","",IF(I71="Content-commerce veteran","Mature content markets (CC: US + Southeast Asia)",IF(I71="Marketplace-only seller","US + newly opened markets (crowded mature markets punish beginners)",IF(I71="Marketplace-validated products","US + Southeast Asia: open a new channel on proven products",""))))</f>
        <v/>
      </c>
      <c r="K71" s="3">
        <f>IF(A71="","",ROUND((C71+D71+2*F71+H71)-(E71+G71)/2,1))</f>
        <v/>
      </c>
      <c r="L71" s="3">
        <f>IF(A71="","",IF(H71=0,"Rate supply fit",IF(H71&lt;3,"Fix supply first - don't enter yet","OK")))</f>
        <v/>
      </c>
      <c r="M71" s="3">
        <f>IF(A71="","",IF(B71="1","Creator outreach and seeding; hire partnerships",IF(B71="2","Own short video + paid; hire shoot/edit + media buyer",IF(B71="3","Live selling, private traffic (community), brand; multi-channel",IF(B71="4","(aiOS addition) Owned audience: community, direct list, repeat purchase","")))))</f>
        <v/>
      </c>
      <c r="O71" s="3">
        <f>IF(A71="","",IF(N71="1","Prove scripts + sampling; don't chase ROI",IF(N71="2","Build a creator pool; test by niche/audience/deal",IF(N71="3","Rates rising: judge by ROI + retention",IF(N71="4","Long-term partners as local distributors","")))))</f>
        <v/>
      </c>
    </row>
    <row r="72">
      <c r="J72" s="3">
        <f>IF(A72="","",IF(I72="Content-commerce veteran","Mature content markets (CC: US + Southeast Asia)",IF(I72="Marketplace-only seller","US + newly opened markets (crowded mature markets punish beginners)",IF(I72="Marketplace-validated products","US + Southeast Asia: open a new channel on proven products",""))))</f>
        <v/>
      </c>
      <c r="K72" s="3">
        <f>IF(A72="","",ROUND((C72+D72+2*F72+H72)-(E72+G72)/2,1))</f>
        <v/>
      </c>
      <c r="L72" s="3">
        <f>IF(A72="","",IF(H72=0,"Rate supply fit",IF(H72&lt;3,"Fix supply first - don't enter yet","OK")))</f>
        <v/>
      </c>
      <c r="M72" s="3">
        <f>IF(A72="","",IF(B72="1","Creator outreach and seeding; hire partnerships",IF(B72="2","Own short video + paid; hire shoot/edit + media buyer",IF(B72="3","Live selling, private traffic (community), brand; multi-channel",IF(B72="4","(aiOS addition) Owned audience: community, direct list, repeat purchase","")))))</f>
        <v/>
      </c>
      <c r="O72" s="3">
        <f>IF(A72="","",IF(N72="1","Prove scripts + sampling; don't chase ROI",IF(N72="2","Build a creator pool; test by niche/audience/deal",IF(N72="3","Rates rising: judge by ROI + retention",IF(N72="4","Long-term partners as local distributors","")))))</f>
        <v/>
      </c>
    </row>
    <row r="73">
      <c r="J73" s="3">
        <f>IF(A73="","",IF(I73="Content-commerce veteran","Mature content markets (CC: US + Southeast Asia)",IF(I73="Marketplace-only seller","US + newly opened markets (crowded mature markets punish beginners)",IF(I73="Marketplace-validated products","US + Southeast Asia: open a new channel on proven products",""))))</f>
        <v/>
      </c>
      <c r="K73" s="3">
        <f>IF(A73="","",ROUND((C73+D73+2*F73+H73)-(E73+G73)/2,1))</f>
        <v/>
      </c>
      <c r="L73" s="3">
        <f>IF(A73="","",IF(H73=0,"Rate supply fit",IF(H73&lt;3,"Fix supply first - don't enter yet","OK")))</f>
        <v/>
      </c>
      <c r="M73" s="3">
        <f>IF(A73="","",IF(B73="1","Creator outreach and seeding; hire partnerships",IF(B73="2","Own short video + paid; hire shoot/edit + media buyer",IF(B73="3","Live selling, private traffic (community), brand; multi-channel",IF(B73="4","(aiOS addition) Owned audience: community, direct list, repeat purchase","")))))</f>
        <v/>
      </c>
      <c r="O73" s="3">
        <f>IF(A73="","",IF(N73="1","Prove scripts + sampling; don't chase ROI",IF(N73="2","Build a creator pool; test by niche/audience/deal",IF(N73="3","Rates rising: judge by ROI + retention",IF(N73="4","Long-term partners as local distributors","")))))</f>
        <v/>
      </c>
    </row>
    <row r="74">
      <c r="J74" s="3">
        <f>IF(A74="","",IF(I74="Content-commerce veteran","Mature content markets (CC: US + Southeast Asia)",IF(I74="Marketplace-only seller","US + newly opened markets (crowded mature markets punish beginners)",IF(I74="Marketplace-validated products","US + Southeast Asia: open a new channel on proven products",""))))</f>
        <v/>
      </c>
      <c r="K74" s="3">
        <f>IF(A74="","",ROUND((C74+D74+2*F74+H74)-(E74+G74)/2,1))</f>
        <v/>
      </c>
      <c r="L74" s="3">
        <f>IF(A74="","",IF(H74=0,"Rate supply fit",IF(H74&lt;3,"Fix supply first - don't enter yet","OK")))</f>
        <v/>
      </c>
      <c r="M74" s="3">
        <f>IF(A74="","",IF(B74="1","Creator outreach and seeding; hire partnerships",IF(B74="2","Own short video + paid; hire shoot/edit + media buyer",IF(B74="3","Live selling, private traffic (community), brand; multi-channel",IF(B74="4","(aiOS addition) Owned audience: community, direct list, repeat purchase","")))))</f>
        <v/>
      </c>
      <c r="O74" s="3">
        <f>IF(A74="","",IF(N74="1","Prove scripts + sampling; don't chase ROI",IF(N74="2","Build a creator pool; test by niche/audience/deal",IF(N74="3","Rates rising: judge by ROI + retention",IF(N74="4","Long-term partners as local distributors","")))))</f>
        <v/>
      </c>
    </row>
    <row r="75">
      <c r="J75" s="3">
        <f>IF(A75="","",IF(I75="Content-commerce veteran","Mature content markets (CC: US + Southeast Asia)",IF(I75="Marketplace-only seller","US + newly opened markets (crowded mature markets punish beginners)",IF(I75="Marketplace-validated products","US + Southeast Asia: open a new channel on proven products",""))))</f>
        <v/>
      </c>
      <c r="K75" s="3">
        <f>IF(A75="","",ROUND((C75+D75+2*F75+H75)-(E75+G75)/2,1))</f>
        <v/>
      </c>
      <c r="L75" s="3">
        <f>IF(A75="","",IF(H75=0,"Rate supply fit",IF(H75&lt;3,"Fix supply first - don't enter yet","OK")))</f>
        <v/>
      </c>
      <c r="M75" s="3">
        <f>IF(A75="","",IF(B75="1","Creator outreach and seeding; hire partnerships",IF(B75="2","Own short video + paid; hire shoot/edit + media buyer",IF(B75="3","Live selling, private traffic (community), brand; multi-channel",IF(B75="4","(aiOS addition) Owned audience: community, direct list, repeat purchase","")))))</f>
        <v/>
      </c>
      <c r="O75" s="3">
        <f>IF(A75="","",IF(N75="1","Prove scripts + sampling; don't chase ROI",IF(N75="2","Build a creator pool; test by niche/audience/deal",IF(N75="3","Rates rising: judge by ROI + retention",IF(N75="4","Long-term partners as local distributors","")))))</f>
        <v/>
      </c>
    </row>
    <row r="76">
      <c r="J76" s="3">
        <f>IF(A76="","",IF(I76="Content-commerce veteran","Mature content markets (CC: US + Southeast Asia)",IF(I76="Marketplace-only seller","US + newly opened markets (crowded mature markets punish beginners)",IF(I76="Marketplace-validated products","US + Southeast Asia: open a new channel on proven products",""))))</f>
        <v/>
      </c>
      <c r="K76" s="3">
        <f>IF(A76="","",ROUND((C76+D76+2*F76+H76)-(E76+G76)/2,1))</f>
        <v/>
      </c>
      <c r="L76" s="3">
        <f>IF(A76="","",IF(H76=0,"Rate supply fit",IF(H76&lt;3,"Fix supply first - don't enter yet","OK")))</f>
        <v/>
      </c>
      <c r="M76" s="3">
        <f>IF(A76="","",IF(B76="1","Creator outreach and seeding; hire partnerships",IF(B76="2","Own short video + paid; hire shoot/edit + media buyer",IF(B76="3","Live selling, private traffic (community), brand; multi-channel",IF(B76="4","(aiOS addition) Owned audience: community, direct list, repeat purchase","")))))</f>
        <v/>
      </c>
      <c r="O76" s="3">
        <f>IF(A76="","",IF(N76="1","Prove scripts + sampling; don't chase ROI",IF(N76="2","Build a creator pool; test by niche/audience/deal",IF(N76="3","Rates rising: judge by ROI + retention",IF(N76="4","Long-term partners as local distributors","")))))</f>
        <v/>
      </c>
    </row>
    <row r="77">
      <c r="J77" s="3">
        <f>IF(A77="","",IF(I77="Content-commerce veteran","Mature content markets (CC: US + Southeast Asia)",IF(I77="Marketplace-only seller","US + newly opened markets (crowded mature markets punish beginners)",IF(I77="Marketplace-validated products","US + Southeast Asia: open a new channel on proven products",""))))</f>
        <v/>
      </c>
      <c r="K77" s="3">
        <f>IF(A77="","",ROUND((C77+D77+2*F77+H77)-(E77+G77)/2,1))</f>
        <v/>
      </c>
      <c r="L77" s="3">
        <f>IF(A77="","",IF(H77=0,"Rate supply fit",IF(H77&lt;3,"Fix supply first - don't enter yet","OK")))</f>
        <v/>
      </c>
      <c r="M77" s="3">
        <f>IF(A77="","",IF(B77="1","Creator outreach and seeding; hire partnerships",IF(B77="2","Own short video + paid; hire shoot/edit + media buyer",IF(B77="3","Live selling, private traffic (community), brand; multi-channel",IF(B77="4","(aiOS addition) Owned audience: community, direct list, repeat purchase","")))))</f>
        <v/>
      </c>
      <c r="O77" s="3">
        <f>IF(A77="","",IF(N77="1","Prove scripts + sampling; don't chase ROI",IF(N77="2","Build a creator pool; test by niche/audience/deal",IF(N77="3","Rates rising: judge by ROI + retention",IF(N77="4","Long-term partners as local distributors","")))))</f>
        <v/>
      </c>
    </row>
    <row r="78">
      <c r="J78" s="3">
        <f>IF(A78="","",IF(I78="Content-commerce veteran","Mature content markets (CC: US + Southeast Asia)",IF(I78="Marketplace-only seller","US + newly opened markets (crowded mature markets punish beginners)",IF(I78="Marketplace-validated products","US + Southeast Asia: open a new channel on proven products",""))))</f>
        <v/>
      </c>
      <c r="K78" s="3">
        <f>IF(A78="","",ROUND((C78+D78+2*F78+H78)-(E78+G78)/2,1))</f>
        <v/>
      </c>
      <c r="L78" s="3">
        <f>IF(A78="","",IF(H78=0,"Rate supply fit",IF(H78&lt;3,"Fix supply first - don't enter yet","OK")))</f>
        <v/>
      </c>
      <c r="M78" s="3">
        <f>IF(A78="","",IF(B78="1","Creator outreach and seeding; hire partnerships",IF(B78="2","Own short video + paid; hire shoot/edit + media buyer",IF(B78="3","Live selling, private traffic (community), brand; multi-channel",IF(B78="4","(aiOS addition) Owned audience: community, direct list, repeat purchase","")))))</f>
        <v/>
      </c>
      <c r="O78" s="3">
        <f>IF(A78="","",IF(N78="1","Prove scripts + sampling; don't chase ROI",IF(N78="2","Build a creator pool; test by niche/audience/deal",IF(N78="3","Rates rising: judge by ROI + retention",IF(N78="4","Long-term partners as local distributors","")))))</f>
        <v/>
      </c>
    </row>
    <row r="79">
      <c r="J79" s="3">
        <f>IF(A79="","",IF(I79="Content-commerce veteran","Mature content markets (CC: US + Southeast Asia)",IF(I79="Marketplace-only seller","US + newly opened markets (crowded mature markets punish beginners)",IF(I79="Marketplace-validated products","US + Southeast Asia: open a new channel on proven products",""))))</f>
        <v/>
      </c>
      <c r="K79" s="3">
        <f>IF(A79="","",ROUND((C79+D79+2*F79+H79)-(E79+G79)/2,1))</f>
        <v/>
      </c>
      <c r="L79" s="3">
        <f>IF(A79="","",IF(H79=0,"Rate supply fit",IF(H79&lt;3,"Fix supply first - don't enter yet","OK")))</f>
        <v/>
      </c>
      <c r="M79" s="3">
        <f>IF(A79="","",IF(B79="1","Creator outreach and seeding; hire partnerships",IF(B79="2","Own short video + paid; hire shoot/edit + media buyer",IF(B79="3","Live selling, private traffic (community), brand; multi-channel",IF(B79="4","(aiOS addition) Owned audience: community, direct list, repeat purchase","")))))</f>
        <v/>
      </c>
      <c r="O79" s="3">
        <f>IF(A79="","",IF(N79="1","Prove scripts + sampling; don't chase ROI",IF(N79="2","Build a creator pool; test by niche/audience/deal",IF(N79="3","Rates rising: judge by ROI + retention",IF(N79="4","Long-term partners as local distributors","")))))</f>
        <v/>
      </c>
    </row>
    <row r="80">
      <c r="J80" s="3">
        <f>IF(A80="","",IF(I80="Content-commerce veteran","Mature content markets (CC: US + Southeast Asia)",IF(I80="Marketplace-only seller","US + newly opened markets (crowded mature markets punish beginners)",IF(I80="Marketplace-validated products","US + Southeast Asia: open a new channel on proven products",""))))</f>
        <v/>
      </c>
      <c r="K80" s="3">
        <f>IF(A80="","",ROUND((C80+D80+2*F80+H80)-(E80+G80)/2,1))</f>
        <v/>
      </c>
      <c r="L80" s="3">
        <f>IF(A80="","",IF(H80=0,"Rate supply fit",IF(H80&lt;3,"Fix supply first - don't enter yet","OK")))</f>
        <v/>
      </c>
      <c r="M80" s="3">
        <f>IF(A80="","",IF(B80="1","Creator outreach and seeding; hire partnerships",IF(B80="2","Own short video + paid; hire shoot/edit + media buyer",IF(B80="3","Live selling, private traffic (community), brand; multi-channel",IF(B80="4","(aiOS addition) Owned audience: community, direct list, repeat purchase","")))))</f>
        <v/>
      </c>
      <c r="O80" s="3">
        <f>IF(A80="","",IF(N80="1","Prove scripts + sampling; don't chase ROI",IF(N80="2","Build a creator pool; test by niche/audience/deal",IF(N80="3","Rates rising: judge by ROI + retention",IF(N80="4","Long-term partners as local distributors","")))))</f>
        <v/>
      </c>
    </row>
    <row r="81">
      <c r="J81" s="3">
        <f>IF(A81="","",IF(I81="Content-commerce veteran","Mature content markets (CC: US + Southeast Asia)",IF(I81="Marketplace-only seller","US + newly opened markets (crowded mature markets punish beginners)",IF(I81="Marketplace-validated products","US + Southeast Asia: open a new channel on proven products",""))))</f>
        <v/>
      </c>
      <c r="K81" s="3">
        <f>IF(A81="","",ROUND((C81+D81+2*F81+H81)-(E81+G81)/2,1))</f>
        <v/>
      </c>
      <c r="L81" s="3">
        <f>IF(A81="","",IF(H81=0,"Rate supply fit",IF(H81&lt;3,"Fix supply first - don't enter yet","OK")))</f>
        <v/>
      </c>
      <c r="M81" s="3">
        <f>IF(A81="","",IF(B81="1","Creator outreach and seeding; hire partnerships",IF(B81="2","Own short video + paid; hire shoot/edit + media buyer",IF(B81="3","Live selling, private traffic (community), brand; multi-channel",IF(B81="4","(aiOS addition) Owned audience: community, direct list, repeat purchase","")))))</f>
        <v/>
      </c>
      <c r="O81" s="3">
        <f>IF(A81="","",IF(N81="1","Prove scripts + sampling; don't chase ROI",IF(N81="2","Build a creator pool; test by niche/audience/deal",IF(N81="3","Rates rising: judge by ROI + retention",IF(N81="4","Long-term partners as local distributors","")))))</f>
        <v/>
      </c>
    </row>
    <row r="82">
      <c r="J82" s="3">
        <f>IF(A82="","",IF(I82="Content-commerce veteran","Mature content markets (CC: US + Southeast Asia)",IF(I82="Marketplace-only seller","US + newly opened markets (crowded mature markets punish beginners)",IF(I82="Marketplace-validated products","US + Southeast Asia: open a new channel on proven products",""))))</f>
        <v/>
      </c>
      <c r="K82" s="3">
        <f>IF(A82="","",ROUND((C82+D82+2*F82+H82)-(E82+G82)/2,1))</f>
        <v/>
      </c>
      <c r="L82" s="3">
        <f>IF(A82="","",IF(H82=0,"Rate supply fit",IF(H82&lt;3,"Fix supply first - don't enter yet","OK")))</f>
        <v/>
      </c>
      <c r="M82" s="3">
        <f>IF(A82="","",IF(B82="1","Creator outreach and seeding; hire partnerships",IF(B82="2","Own short video + paid; hire shoot/edit + media buyer",IF(B82="3","Live selling, private traffic (community), brand; multi-channel",IF(B82="4","(aiOS addition) Owned audience: community, direct list, repeat purchase","")))))</f>
        <v/>
      </c>
      <c r="O82" s="3">
        <f>IF(A82="","",IF(N82="1","Prove scripts + sampling; don't chase ROI",IF(N82="2","Build a creator pool; test by niche/audience/deal",IF(N82="3","Rates rising: judge by ROI + retention",IF(N82="4","Long-term partners as local distributors","")))))</f>
        <v/>
      </c>
    </row>
    <row r="83">
      <c r="J83" s="3">
        <f>IF(A83="","",IF(I83="Content-commerce veteran","Mature content markets (CC: US + Southeast Asia)",IF(I83="Marketplace-only seller","US + newly opened markets (crowded mature markets punish beginners)",IF(I83="Marketplace-validated products","US + Southeast Asia: open a new channel on proven products",""))))</f>
        <v/>
      </c>
      <c r="K83" s="3">
        <f>IF(A83="","",ROUND((C83+D83+2*F83+H83)-(E83+G83)/2,1))</f>
        <v/>
      </c>
      <c r="L83" s="3">
        <f>IF(A83="","",IF(H83=0,"Rate supply fit",IF(H83&lt;3,"Fix supply first - don't enter yet","OK")))</f>
        <v/>
      </c>
      <c r="M83" s="3">
        <f>IF(A83="","",IF(B83="1","Creator outreach and seeding; hire partnerships",IF(B83="2","Own short video + paid; hire shoot/edit + media buyer",IF(B83="3","Live selling, private traffic (community), brand; multi-channel",IF(B83="4","(aiOS addition) Owned audience: community, direct list, repeat purchase","")))))</f>
        <v/>
      </c>
      <c r="O83" s="3">
        <f>IF(A83="","",IF(N83="1","Prove scripts + sampling; don't chase ROI",IF(N83="2","Build a creator pool; test by niche/audience/deal",IF(N83="3","Rates rising: judge by ROI + retention",IF(N83="4","Long-term partners as local distributors","")))))</f>
        <v/>
      </c>
    </row>
    <row r="84">
      <c r="J84" s="3">
        <f>IF(A84="","",IF(I84="Content-commerce veteran","Mature content markets (CC: US + Southeast Asia)",IF(I84="Marketplace-only seller","US + newly opened markets (crowded mature markets punish beginners)",IF(I84="Marketplace-validated products","US + Southeast Asia: open a new channel on proven products",""))))</f>
        <v/>
      </c>
      <c r="K84" s="3">
        <f>IF(A84="","",ROUND((C84+D84+2*F84+H84)-(E84+G84)/2,1))</f>
        <v/>
      </c>
      <c r="L84" s="3">
        <f>IF(A84="","",IF(H84=0,"Rate supply fit",IF(H84&lt;3,"Fix supply first - don't enter yet","OK")))</f>
        <v/>
      </c>
      <c r="M84" s="3">
        <f>IF(A84="","",IF(B84="1","Creator outreach and seeding; hire partnerships",IF(B84="2","Own short video + paid; hire shoot/edit + media buyer",IF(B84="3","Live selling, private traffic (community), brand; multi-channel",IF(B84="4","(aiOS addition) Owned audience: community, direct list, repeat purchase","")))))</f>
        <v/>
      </c>
      <c r="O84" s="3">
        <f>IF(A84="","",IF(N84="1","Prove scripts + sampling; don't chase ROI",IF(N84="2","Build a creator pool; test by niche/audience/deal",IF(N84="3","Rates rising: judge by ROI + retention",IF(N84="4","Long-term partners as local distributors","")))))</f>
        <v/>
      </c>
    </row>
    <row r="85">
      <c r="J85" s="3">
        <f>IF(A85="","",IF(I85="Content-commerce veteran","Mature content markets (CC: US + Southeast Asia)",IF(I85="Marketplace-only seller","US + newly opened markets (crowded mature markets punish beginners)",IF(I85="Marketplace-validated products","US + Southeast Asia: open a new channel on proven products",""))))</f>
        <v/>
      </c>
      <c r="K85" s="3">
        <f>IF(A85="","",ROUND((C85+D85+2*F85+H85)-(E85+G85)/2,1))</f>
        <v/>
      </c>
      <c r="L85" s="3">
        <f>IF(A85="","",IF(H85=0,"Rate supply fit",IF(H85&lt;3,"Fix supply first - don't enter yet","OK")))</f>
        <v/>
      </c>
      <c r="M85" s="3">
        <f>IF(A85="","",IF(B85="1","Creator outreach and seeding; hire partnerships",IF(B85="2","Own short video + paid; hire shoot/edit + media buyer",IF(B85="3","Live selling, private traffic (community), brand; multi-channel",IF(B85="4","(aiOS addition) Owned audience: community, direct list, repeat purchase","")))))</f>
        <v/>
      </c>
      <c r="O85" s="3">
        <f>IF(A85="","",IF(N85="1","Prove scripts + sampling; don't chase ROI",IF(N85="2","Build a creator pool; test by niche/audience/deal",IF(N85="3","Rates rising: judge by ROI + retention",IF(N85="4","Long-term partners as local distributors","")))))</f>
        <v/>
      </c>
    </row>
    <row r="86">
      <c r="J86" s="3">
        <f>IF(A86="","",IF(I86="Content-commerce veteran","Mature content markets (CC: US + Southeast Asia)",IF(I86="Marketplace-only seller","US + newly opened markets (crowded mature markets punish beginners)",IF(I86="Marketplace-validated products","US + Southeast Asia: open a new channel on proven products",""))))</f>
        <v/>
      </c>
      <c r="K86" s="3">
        <f>IF(A86="","",ROUND((C86+D86+2*F86+H86)-(E86+G86)/2,1))</f>
        <v/>
      </c>
      <c r="L86" s="3">
        <f>IF(A86="","",IF(H86=0,"Rate supply fit",IF(H86&lt;3,"Fix supply first - don't enter yet","OK")))</f>
        <v/>
      </c>
      <c r="M86" s="3">
        <f>IF(A86="","",IF(B86="1","Creator outreach and seeding; hire partnerships",IF(B86="2","Own short video + paid; hire shoot/edit + media buyer",IF(B86="3","Live selling, private traffic (community), brand; multi-channel",IF(B86="4","(aiOS addition) Owned audience: community, direct list, repeat purchase","")))))</f>
        <v/>
      </c>
      <c r="O86" s="3">
        <f>IF(A86="","",IF(N86="1","Prove scripts + sampling; don't chase ROI",IF(N86="2","Build a creator pool; test by niche/audience/deal",IF(N86="3","Rates rising: judge by ROI + retention",IF(N86="4","Long-term partners as local distributors","")))))</f>
        <v/>
      </c>
    </row>
    <row r="87">
      <c r="J87" s="3">
        <f>IF(A87="","",IF(I87="Content-commerce veteran","Mature content markets (CC: US + Southeast Asia)",IF(I87="Marketplace-only seller","US + newly opened markets (crowded mature markets punish beginners)",IF(I87="Marketplace-validated products","US + Southeast Asia: open a new channel on proven products",""))))</f>
        <v/>
      </c>
      <c r="K87" s="3">
        <f>IF(A87="","",ROUND((C87+D87+2*F87+H87)-(E87+G87)/2,1))</f>
        <v/>
      </c>
      <c r="L87" s="3">
        <f>IF(A87="","",IF(H87=0,"Rate supply fit",IF(H87&lt;3,"Fix supply first - don't enter yet","OK")))</f>
        <v/>
      </c>
      <c r="M87" s="3">
        <f>IF(A87="","",IF(B87="1","Creator outreach and seeding; hire partnerships",IF(B87="2","Own short video + paid; hire shoot/edit + media buyer",IF(B87="3","Live selling, private traffic (community), brand; multi-channel",IF(B87="4","(aiOS addition) Owned audience: community, direct list, repeat purchase","")))))</f>
        <v/>
      </c>
      <c r="O87" s="3">
        <f>IF(A87="","",IF(N87="1","Prove scripts + sampling; don't chase ROI",IF(N87="2","Build a creator pool; test by niche/audience/deal",IF(N87="3","Rates rising: judge by ROI + retention",IF(N87="4","Long-term partners as local distributors","")))))</f>
        <v/>
      </c>
    </row>
    <row r="88">
      <c r="J88" s="3">
        <f>IF(A88="","",IF(I88="Content-commerce veteran","Mature content markets (CC: US + Southeast Asia)",IF(I88="Marketplace-only seller","US + newly opened markets (crowded mature markets punish beginners)",IF(I88="Marketplace-validated products","US + Southeast Asia: open a new channel on proven products",""))))</f>
        <v/>
      </c>
      <c r="K88" s="3">
        <f>IF(A88="","",ROUND((C88+D88+2*F88+H88)-(E88+G88)/2,1))</f>
        <v/>
      </c>
      <c r="L88" s="3">
        <f>IF(A88="","",IF(H88=0,"Rate supply fit",IF(H88&lt;3,"Fix supply first - don't enter yet","OK")))</f>
        <v/>
      </c>
      <c r="M88" s="3">
        <f>IF(A88="","",IF(B88="1","Creator outreach and seeding; hire partnerships",IF(B88="2","Own short video + paid; hire shoot/edit + media buyer",IF(B88="3","Live selling, private traffic (community), brand; multi-channel",IF(B88="4","(aiOS addition) Owned audience: community, direct list, repeat purchase","")))))</f>
        <v/>
      </c>
      <c r="O88" s="3">
        <f>IF(A88="","",IF(N88="1","Prove scripts + sampling; don't chase ROI",IF(N88="2","Build a creator pool; test by niche/audience/deal",IF(N88="3","Rates rising: judge by ROI + retention",IF(N88="4","Long-term partners as local distributors","")))))</f>
        <v/>
      </c>
    </row>
    <row r="89">
      <c r="J89" s="3">
        <f>IF(A89="","",IF(I89="Content-commerce veteran","Mature content markets (CC: US + Southeast Asia)",IF(I89="Marketplace-only seller","US + newly opened markets (crowded mature markets punish beginners)",IF(I89="Marketplace-validated products","US + Southeast Asia: open a new channel on proven products",""))))</f>
        <v/>
      </c>
      <c r="K89" s="3">
        <f>IF(A89="","",ROUND((C89+D89+2*F89+H89)-(E89+G89)/2,1))</f>
        <v/>
      </c>
      <c r="L89" s="3">
        <f>IF(A89="","",IF(H89=0,"Rate supply fit",IF(H89&lt;3,"Fix supply first - don't enter yet","OK")))</f>
        <v/>
      </c>
      <c r="M89" s="3">
        <f>IF(A89="","",IF(B89="1","Creator outreach and seeding; hire partnerships",IF(B89="2","Own short video + paid; hire shoot/edit + media buyer",IF(B89="3","Live selling, private traffic (community), brand; multi-channel",IF(B89="4","(aiOS addition) Owned audience: community, direct list, repeat purchase","")))))</f>
        <v/>
      </c>
      <c r="O89" s="3">
        <f>IF(A89="","",IF(N89="1","Prove scripts + sampling; don't chase ROI",IF(N89="2","Build a creator pool; test by niche/audience/deal",IF(N89="3","Rates rising: judge by ROI + retention",IF(N89="4","Long-term partners as local distributors","")))))</f>
        <v/>
      </c>
    </row>
    <row r="90">
      <c r="J90" s="3">
        <f>IF(A90="","",IF(I90="Content-commerce veteran","Mature content markets (CC: US + Southeast Asia)",IF(I90="Marketplace-only seller","US + newly opened markets (crowded mature markets punish beginners)",IF(I90="Marketplace-validated products","US + Southeast Asia: open a new channel on proven products",""))))</f>
        <v/>
      </c>
      <c r="K90" s="3">
        <f>IF(A90="","",ROUND((C90+D90+2*F90+H90)-(E90+G90)/2,1))</f>
        <v/>
      </c>
      <c r="L90" s="3">
        <f>IF(A90="","",IF(H90=0,"Rate supply fit",IF(H90&lt;3,"Fix supply first - don't enter yet","OK")))</f>
        <v/>
      </c>
      <c r="M90" s="3">
        <f>IF(A90="","",IF(B90="1","Creator outreach and seeding; hire partnerships",IF(B90="2","Own short video + paid; hire shoot/edit + media buyer",IF(B90="3","Live selling, private traffic (community), brand; multi-channel",IF(B90="4","(aiOS addition) Owned audience: community, direct list, repeat purchase","")))))</f>
        <v/>
      </c>
      <c r="O90" s="3">
        <f>IF(A90="","",IF(N90="1","Prove scripts + sampling; don't chase ROI",IF(N90="2","Build a creator pool; test by niche/audience/deal",IF(N90="3","Rates rising: judge by ROI + retention",IF(N90="4","Long-term partners as local distributors","")))))</f>
        <v/>
      </c>
    </row>
    <row r="91">
      <c r="J91" s="3">
        <f>IF(A91="","",IF(I91="Content-commerce veteran","Mature content markets (CC: US + Southeast Asia)",IF(I91="Marketplace-only seller","US + newly opened markets (crowded mature markets punish beginners)",IF(I91="Marketplace-validated products","US + Southeast Asia: open a new channel on proven products",""))))</f>
        <v/>
      </c>
      <c r="K91" s="3">
        <f>IF(A91="","",ROUND((C91+D91+2*F91+H91)-(E91+G91)/2,1))</f>
        <v/>
      </c>
      <c r="L91" s="3">
        <f>IF(A91="","",IF(H91=0,"Rate supply fit",IF(H91&lt;3,"Fix supply first - don't enter yet","OK")))</f>
        <v/>
      </c>
      <c r="M91" s="3">
        <f>IF(A91="","",IF(B91="1","Creator outreach and seeding; hire partnerships",IF(B91="2","Own short video + paid; hire shoot/edit + media buyer",IF(B91="3","Live selling, private traffic (community), brand; multi-channel",IF(B91="4","(aiOS addition) Owned audience: community, direct list, repeat purchase","")))))</f>
        <v/>
      </c>
      <c r="O91" s="3">
        <f>IF(A91="","",IF(N91="1","Prove scripts + sampling; don't chase ROI",IF(N91="2","Build a creator pool; test by niche/audience/deal",IF(N91="3","Rates rising: judge by ROI + retention",IF(N91="4","Long-term partners as local distributors","")))))</f>
        <v/>
      </c>
    </row>
    <row r="92">
      <c r="J92" s="3">
        <f>IF(A92="","",IF(I92="Content-commerce veteran","Mature content markets (CC: US + Southeast Asia)",IF(I92="Marketplace-only seller","US + newly opened markets (crowded mature markets punish beginners)",IF(I92="Marketplace-validated products","US + Southeast Asia: open a new channel on proven products",""))))</f>
        <v/>
      </c>
      <c r="K92" s="3">
        <f>IF(A92="","",ROUND((C92+D92+2*F92+H92)-(E92+G92)/2,1))</f>
        <v/>
      </c>
      <c r="L92" s="3">
        <f>IF(A92="","",IF(H92=0,"Rate supply fit",IF(H92&lt;3,"Fix supply first - don't enter yet","OK")))</f>
        <v/>
      </c>
      <c r="M92" s="3">
        <f>IF(A92="","",IF(B92="1","Creator outreach and seeding; hire partnerships",IF(B92="2","Own short video + paid; hire shoot/edit + media buyer",IF(B92="3","Live selling, private traffic (community), brand; multi-channel",IF(B92="4","(aiOS addition) Owned audience: community, direct list, repeat purchase","")))))</f>
        <v/>
      </c>
      <c r="O92" s="3">
        <f>IF(A92="","",IF(N92="1","Prove scripts + sampling; don't chase ROI",IF(N92="2","Build a creator pool; test by niche/audience/deal",IF(N92="3","Rates rising: judge by ROI + retention",IF(N92="4","Long-term partners as local distributors","")))))</f>
        <v/>
      </c>
    </row>
    <row r="93">
      <c r="J93" s="3">
        <f>IF(A93="","",IF(I93="Content-commerce veteran","Mature content markets (CC: US + Southeast Asia)",IF(I93="Marketplace-only seller","US + newly opened markets (crowded mature markets punish beginners)",IF(I93="Marketplace-validated products","US + Southeast Asia: open a new channel on proven products",""))))</f>
        <v/>
      </c>
      <c r="K93" s="3">
        <f>IF(A93="","",ROUND((C93+D93+2*F93+H93)-(E93+G93)/2,1))</f>
        <v/>
      </c>
      <c r="L93" s="3">
        <f>IF(A93="","",IF(H93=0,"Rate supply fit",IF(H93&lt;3,"Fix supply first - don't enter yet","OK")))</f>
        <v/>
      </c>
      <c r="M93" s="3">
        <f>IF(A93="","",IF(B93="1","Creator outreach and seeding; hire partnerships",IF(B93="2","Own short video + paid; hire shoot/edit + media buyer",IF(B93="3","Live selling, private traffic (community), brand; multi-channel",IF(B93="4","(aiOS addition) Owned audience: community, direct list, repeat purchase","")))))</f>
        <v/>
      </c>
      <c r="O93" s="3">
        <f>IF(A93="","",IF(N93="1","Prove scripts + sampling; don't chase ROI",IF(N93="2","Build a creator pool; test by niche/audience/deal",IF(N93="3","Rates rising: judge by ROI + retention",IF(N93="4","Long-term partners as local distributors","")))))</f>
        <v/>
      </c>
    </row>
    <row r="94">
      <c r="J94" s="3">
        <f>IF(A94="","",IF(I94="Content-commerce veteran","Mature content markets (CC: US + Southeast Asia)",IF(I94="Marketplace-only seller","US + newly opened markets (crowded mature markets punish beginners)",IF(I94="Marketplace-validated products","US + Southeast Asia: open a new channel on proven products",""))))</f>
        <v/>
      </c>
      <c r="K94" s="3">
        <f>IF(A94="","",ROUND((C94+D94+2*F94+H94)-(E94+G94)/2,1))</f>
        <v/>
      </c>
      <c r="L94" s="3">
        <f>IF(A94="","",IF(H94=0,"Rate supply fit",IF(H94&lt;3,"Fix supply first - don't enter yet","OK")))</f>
        <v/>
      </c>
      <c r="M94" s="3">
        <f>IF(A94="","",IF(B94="1","Creator outreach and seeding; hire partnerships",IF(B94="2","Own short video + paid; hire shoot/edit + media buyer",IF(B94="3","Live selling, private traffic (community), brand; multi-channel",IF(B94="4","(aiOS addition) Owned audience: community, direct list, repeat purchase","")))))</f>
        <v/>
      </c>
      <c r="O94" s="3">
        <f>IF(A94="","",IF(N94="1","Prove scripts + sampling; don't chase ROI",IF(N94="2","Build a creator pool; test by niche/audience/deal",IF(N94="3","Rates rising: judge by ROI + retention",IF(N94="4","Long-term partners as local distributors","")))))</f>
        <v/>
      </c>
    </row>
    <row r="95">
      <c r="J95" s="3">
        <f>IF(A95="","",IF(I95="Content-commerce veteran","Mature content markets (CC: US + Southeast Asia)",IF(I95="Marketplace-only seller","US + newly opened markets (crowded mature markets punish beginners)",IF(I95="Marketplace-validated products","US + Southeast Asia: open a new channel on proven products",""))))</f>
        <v/>
      </c>
      <c r="K95" s="3">
        <f>IF(A95="","",ROUND((C95+D95+2*F95+H95)-(E95+G95)/2,1))</f>
        <v/>
      </c>
      <c r="L95" s="3">
        <f>IF(A95="","",IF(H95=0,"Rate supply fit",IF(H95&lt;3,"Fix supply first - don't enter yet","OK")))</f>
        <v/>
      </c>
      <c r="M95" s="3">
        <f>IF(A95="","",IF(B95="1","Creator outreach and seeding; hire partnerships",IF(B95="2","Own short video + paid; hire shoot/edit + media buyer",IF(B95="3","Live selling, private traffic (community), brand; multi-channel",IF(B95="4","(aiOS addition) Owned audience: community, direct list, repeat purchase","")))))</f>
        <v/>
      </c>
      <c r="O95" s="3">
        <f>IF(A95="","",IF(N95="1","Prove scripts + sampling; don't chase ROI",IF(N95="2","Build a creator pool; test by niche/audience/deal",IF(N95="3","Rates rising: judge by ROI + retention",IF(N95="4","Long-term partners as local distributors","")))))</f>
        <v/>
      </c>
    </row>
    <row r="96">
      <c r="J96" s="3">
        <f>IF(A96="","",IF(I96="Content-commerce veteran","Mature content markets (CC: US + Southeast Asia)",IF(I96="Marketplace-only seller","US + newly opened markets (crowded mature markets punish beginners)",IF(I96="Marketplace-validated products","US + Southeast Asia: open a new channel on proven products",""))))</f>
        <v/>
      </c>
      <c r="K96" s="3">
        <f>IF(A96="","",ROUND((C96+D96+2*F96+H96)-(E96+G96)/2,1))</f>
        <v/>
      </c>
      <c r="L96" s="3">
        <f>IF(A96="","",IF(H96=0,"Rate supply fit",IF(H96&lt;3,"Fix supply first - don't enter yet","OK")))</f>
        <v/>
      </c>
      <c r="M96" s="3">
        <f>IF(A96="","",IF(B96="1","Creator outreach and seeding; hire partnerships",IF(B96="2","Own short video + paid; hire shoot/edit + media buyer",IF(B96="3","Live selling, private traffic (community), brand; multi-channel",IF(B96="4","(aiOS addition) Owned audience: community, direct list, repeat purchase","")))))</f>
        <v/>
      </c>
      <c r="O96" s="3">
        <f>IF(A96="","",IF(N96="1","Prove scripts + sampling; don't chase ROI",IF(N96="2","Build a creator pool; test by niche/audience/deal",IF(N96="3","Rates rising: judge by ROI + retention",IF(N96="4","Long-term partners as local distributors","")))))</f>
        <v/>
      </c>
    </row>
    <row r="97">
      <c r="J97" s="3">
        <f>IF(A97="","",IF(I97="Content-commerce veteran","Mature content markets (CC: US + Southeast Asia)",IF(I97="Marketplace-only seller","US + newly opened markets (crowded mature markets punish beginners)",IF(I97="Marketplace-validated products","US + Southeast Asia: open a new channel on proven products",""))))</f>
        <v/>
      </c>
      <c r="K97" s="3">
        <f>IF(A97="","",ROUND((C97+D97+2*F97+H97)-(E97+G97)/2,1))</f>
        <v/>
      </c>
      <c r="L97" s="3">
        <f>IF(A97="","",IF(H97=0,"Rate supply fit",IF(H97&lt;3,"Fix supply first - don't enter yet","OK")))</f>
        <v/>
      </c>
      <c r="M97" s="3">
        <f>IF(A97="","",IF(B97="1","Creator outreach and seeding; hire partnerships",IF(B97="2","Own short video + paid; hire shoot/edit + media buyer",IF(B97="3","Live selling, private traffic (community), brand; multi-channel",IF(B97="4","(aiOS addition) Owned audience: community, direct list, repeat purchase","")))))</f>
        <v/>
      </c>
      <c r="O97" s="3">
        <f>IF(A97="","",IF(N97="1","Prove scripts + sampling; don't chase ROI",IF(N97="2","Build a creator pool; test by niche/audience/deal",IF(N97="3","Rates rising: judge by ROI + retention",IF(N97="4","Long-term partners as local distributors","")))))</f>
        <v/>
      </c>
    </row>
    <row r="98">
      <c r="J98" s="3">
        <f>IF(A98="","",IF(I98="Content-commerce veteran","Mature content markets (CC: US + Southeast Asia)",IF(I98="Marketplace-only seller","US + newly opened markets (crowded mature markets punish beginners)",IF(I98="Marketplace-validated products","US + Southeast Asia: open a new channel on proven products",""))))</f>
        <v/>
      </c>
      <c r="K98" s="3">
        <f>IF(A98="","",ROUND((C98+D98+2*F98+H98)-(E98+G98)/2,1))</f>
        <v/>
      </c>
      <c r="L98" s="3">
        <f>IF(A98="","",IF(H98=0,"Rate supply fit",IF(H98&lt;3,"Fix supply first - don't enter yet","OK")))</f>
        <v/>
      </c>
      <c r="M98" s="3">
        <f>IF(A98="","",IF(B98="1","Creator outreach and seeding; hire partnerships",IF(B98="2","Own short video + paid; hire shoot/edit + media buyer",IF(B98="3","Live selling, private traffic (community), brand; multi-channel",IF(B98="4","(aiOS addition) Owned audience: community, direct list, repeat purchase","")))))</f>
        <v/>
      </c>
      <c r="O98" s="3">
        <f>IF(A98="","",IF(N98="1","Prove scripts + sampling; don't chase ROI",IF(N98="2","Build a creator pool; test by niche/audience/deal",IF(N98="3","Rates rising: judge by ROI + retention",IF(N98="4","Long-term partners as local distributors","")))))</f>
        <v/>
      </c>
    </row>
    <row r="99">
      <c r="J99" s="3">
        <f>IF(A99="","",IF(I99="Content-commerce veteran","Mature content markets (CC: US + Southeast Asia)",IF(I99="Marketplace-only seller","US + newly opened markets (crowded mature markets punish beginners)",IF(I99="Marketplace-validated products","US + Southeast Asia: open a new channel on proven products",""))))</f>
        <v/>
      </c>
      <c r="K99" s="3">
        <f>IF(A99="","",ROUND((C99+D99+2*F99+H99)-(E99+G99)/2,1))</f>
        <v/>
      </c>
      <c r="L99" s="3">
        <f>IF(A99="","",IF(H99=0,"Rate supply fit",IF(H99&lt;3,"Fix supply first - don't enter yet","OK")))</f>
        <v/>
      </c>
      <c r="M99" s="3">
        <f>IF(A99="","",IF(B99="1","Creator outreach and seeding; hire partnerships",IF(B99="2","Own short video + paid; hire shoot/edit + media buyer",IF(B99="3","Live selling, private traffic (community), brand; multi-channel",IF(B99="4","(aiOS addition) Owned audience: community, direct list, repeat purchase","")))))</f>
        <v/>
      </c>
      <c r="O99" s="3">
        <f>IF(A99="","",IF(N99="1","Prove scripts + sampling; don't chase ROI",IF(N99="2","Build a creator pool; test by niche/audience/deal",IF(N99="3","Rates rising: judge by ROI + retention",IF(N99="4","Long-term partners as local distributors","")))))</f>
        <v/>
      </c>
    </row>
    <row r="100">
      <c r="J100" s="3">
        <f>IF(A100="","",IF(I100="Content-commerce veteran","Mature content markets (CC: US + Southeast Asia)",IF(I100="Marketplace-only seller","US + newly opened markets (crowded mature markets punish beginners)",IF(I100="Marketplace-validated products","US + Southeast Asia: open a new channel on proven products",""))))</f>
        <v/>
      </c>
      <c r="K100" s="3">
        <f>IF(A100="","",ROUND((C100+D100+2*F100+H100)-(E100+G100)/2,1))</f>
        <v/>
      </c>
      <c r="L100" s="3">
        <f>IF(A100="","",IF(H100=0,"Rate supply fit",IF(H100&lt;3,"Fix supply first - don't enter yet","OK")))</f>
        <v/>
      </c>
      <c r="M100" s="3">
        <f>IF(A100="","",IF(B100="1","Creator outreach and seeding; hire partnerships",IF(B100="2","Own short video + paid; hire shoot/edit + media buyer",IF(B100="3","Live selling, private traffic (community), brand; multi-channel",IF(B100="4","(aiOS addition) Owned audience: community, direct list, repeat purchase","")))))</f>
        <v/>
      </c>
      <c r="O100" s="3">
        <f>IF(A100="","",IF(N100="1","Prove scripts + sampling; don't chase ROI",IF(N100="2","Build a creator pool; test by niche/audience/deal",IF(N100="3","Rates rising: judge by ROI + retention",IF(N100="4","Long-term partners as local distributors","")))))</f>
        <v/>
      </c>
    </row>
    <row r="101">
      <c r="J101" s="3">
        <f>IF(A101="","",IF(I101="Content-commerce veteran","Mature content markets (CC: US + Southeast Asia)",IF(I101="Marketplace-only seller","US + newly opened markets (crowded mature markets punish beginners)",IF(I101="Marketplace-validated products","US + Southeast Asia: open a new channel on proven products",""))))</f>
        <v/>
      </c>
      <c r="K101" s="3">
        <f>IF(A101="","",ROUND((C101+D101+2*F101+H101)-(E101+G101)/2,1))</f>
        <v/>
      </c>
      <c r="L101" s="3">
        <f>IF(A101="","",IF(H101=0,"Rate supply fit",IF(H101&lt;3,"Fix supply first - don't enter yet","OK")))</f>
        <v/>
      </c>
      <c r="M101" s="3">
        <f>IF(A101="","",IF(B101="1","Creator outreach and seeding; hire partnerships",IF(B101="2","Own short video + paid; hire shoot/edit + media buyer",IF(B101="3","Live selling, private traffic (community), brand; multi-channel",IF(B101="4","(aiOS addition) Owned audience: community, direct list, repeat purchase","")))))</f>
        <v/>
      </c>
      <c r="O101" s="3">
        <f>IF(A101="","",IF(N101="1","Prove scripts + sampling; don't chase ROI",IF(N101="2","Build a creator pool; test by niche/audience/deal",IF(N101="3","Rates rising: judge by ROI + retention",IF(N101="4","Long-term partners as local distributors","")))))</f>
        <v/>
      </c>
    </row>
    <row r="102">
      <c r="J102" s="3">
        <f>IF(A102="","",IF(I102="Content-commerce veteran","Mature content markets (CC: US + Southeast Asia)",IF(I102="Marketplace-only seller","US + newly opened markets (crowded mature markets punish beginners)",IF(I102="Marketplace-validated products","US + Southeast Asia: open a new channel on proven products",""))))</f>
        <v/>
      </c>
      <c r="K102" s="3">
        <f>IF(A102="","",ROUND((C102+D102+2*F102+H102)-(E102+G102)/2,1))</f>
        <v/>
      </c>
      <c r="L102" s="3">
        <f>IF(A102="","",IF(H102=0,"Rate supply fit",IF(H102&lt;3,"Fix supply first - don't enter yet","OK")))</f>
        <v/>
      </c>
      <c r="M102" s="3">
        <f>IF(A102="","",IF(B102="1","Creator outreach and seeding; hire partnerships",IF(B102="2","Own short video + paid; hire shoot/edit + media buyer",IF(B102="3","Live selling, private traffic (community), brand; multi-channel",IF(B102="4","(aiOS addition) Owned audience: community, direct list, repeat purchase","")))))</f>
        <v/>
      </c>
      <c r="O102" s="3">
        <f>IF(A102="","",IF(N102="1","Prove scripts + sampling; don't chase ROI",IF(N102="2","Build a creator pool; test by niche/audience/deal",IF(N102="3","Rates rising: judge by ROI + retention",IF(N102="4","Long-term partners as local distributors","")))))</f>
        <v/>
      </c>
    </row>
    <row r="103">
      <c r="J103" s="3">
        <f>IF(A103="","",IF(I103="Content-commerce veteran","Mature content markets (CC: US + Southeast Asia)",IF(I103="Marketplace-only seller","US + newly opened markets (crowded mature markets punish beginners)",IF(I103="Marketplace-validated products","US + Southeast Asia: open a new channel on proven products",""))))</f>
        <v/>
      </c>
      <c r="K103" s="3">
        <f>IF(A103="","",ROUND((C103+D103+2*F103+H103)-(E103+G103)/2,1))</f>
        <v/>
      </c>
      <c r="L103" s="3">
        <f>IF(A103="","",IF(H103=0,"Rate supply fit",IF(H103&lt;3,"Fix supply first - don't enter yet","OK")))</f>
        <v/>
      </c>
      <c r="M103" s="3">
        <f>IF(A103="","",IF(B103="1","Creator outreach and seeding; hire partnerships",IF(B103="2","Own short video + paid; hire shoot/edit + media buyer",IF(B103="3","Live selling, private traffic (community), brand; multi-channel",IF(B103="4","(aiOS addition) Owned audience: community, direct list, repeat purchase","")))))</f>
        <v/>
      </c>
      <c r="O103" s="3">
        <f>IF(A103="","",IF(N103="1","Prove scripts + sampling; don't chase ROI",IF(N103="2","Build a creator pool; test by niche/audience/deal",IF(N103="3","Rates rising: judge by ROI + retention",IF(N103="4","Long-term partners as local distributors","")))))</f>
        <v/>
      </c>
    </row>
    <row r="104">
      <c r="J104" s="3">
        <f>IF(A104="","",IF(I104="Content-commerce veteran","Mature content markets (CC: US + Southeast Asia)",IF(I104="Marketplace-only seller","US + newly opened markets (crowded mature markets punish beginners)",IF(I104="Marketplace-validated products","US + Southeast Asia: open a new channel on proven products",""))))</f>
        <v/>
      </c>
      <c r="K104" s="3">
        <f>IF(A104="","",ROUND((C104+D104+2*F104+H104)-(E104+G104)/2,1))</f>
        <v/>
      </c>
      <c r="L104" s="3">
        <f>IF(A104="","",IF(H104=0,"Rate supply fit",IF(H104&lt;3,"Fix supply first - don't enter yet","OK")))</f>
        <v/>
      </c>
      <c r="M104" s="3">
        <f>IF(A104="","",IF(B104="1","Creator outreach and seeding; hire partnerships",IF(B104="2","Own short video + paid; hire shoot/edit + media buyer",IF(B104="3","Live selling, private traffic (community), brand; multi-channel",IF(B104="4","(aiOS addition) Owned audience: community, direct list, repeat purchase","")))))</f>
        <v/>
      </c>
      <c r="O104" s="3">
        <f>IF(A104="","",IF(N104="1","Prove scripts + sampling; don't chase ROI",IF(N104="2","Build a creator pool; test by niche/audience/deal",IF(N104="3","Rates rising: judge by ROI + retention",IF(N104="4","Long-term partners as local distributors","")))))</f>
        <v/>
      </c>
    </row>
    <row r="105">
      <c r="J105" s="3">
        <f>IF(A105="","",IF(I105="Content-commerce veteran","Mature content markets (CC: US + Southeast Asia)",IF(I105="Marketplace-only seller","US + newly opened markets (crowded mature markets punish beginners)",IF(I105="Marketplace-validated products","US + Southeast Asia: open a new channel on proven products",""))))</f>
        <v/>
      </c>
      <c r="K105" s="3">
        <f>IF(A105="","",ROUND((C105+D105+2*F105+H105)-(E105+G105)/2,1))</f>
        <v/>
      </c>
      <c r="L105" s="3">
        <f>IF(A105="","",IF(H105=0,"Rate supply fit",IF(H105&lt;3,"Fix supply first - don't enter yet","OK")))</f>
        <v/>
      </c>
      <c r="M105" s="3">
        <f>IF(A105="","",IF(B105="1","Creator outreach and seeding; hire partnerships",IF(B105="2","Own short video + paid; hire shoot/edit + media buyer",IF(B105="3","Live selling, private traffic (community), brand; multi-channel",IF(B105="4","(aiOS addition) Owned audience: community, direct list, repeat purchase","")))))</f>
        <v/>
      </c>
      <c r="O105" s="3">
        <f>IF(A105="","",IF(N105="1","Prove scripts + sampling; don't chase ROI",IF(N105="2","Build a creator pool; test by niche/audience/deal",IF(N105="3","Rates rising: judge by ROI + retention",IF(N105="4","Long-term partners as local distributors","")))))</f>
        <v/>
      </c>
    </row>
    <row r="106">
      <c r="J106" s="3">
        <f>IF(A106="","",IF(I106="Content-commerce veteran","Mature content markets (CC: US + Southeast Asia)",IF(I106="Marketplace-only seller","US + newly opened markets (crowded mature markets punish beginners)",IF(I106="Marketplace-validated products","US + Southeast Asia: open a new channel on proven products",""))))</f>
        <v/>
      </c>
      <c r="K106" s="3">
        <f>IF(A106="","",ROUND((C106+D106+2*F106+H106)-(E106+G106)/2,1))</f>
        <v/>
      </c>
      <c r="L106" s="3">
        <f>IF(A106="","",IF(H106=0,"Rate supply fit",IF(H106&lt;3,"Fix supply first - don't enter yet","OK")))</f>
        <v/>
      </c>
      <c r="M106" s="3">
        <f>IF(A106="","",IF(B106="1","Creator outreach and seeding; hire partnerships",IF(B106="2","Own short video + paid; hire shoot/edit + media buyer",IF(B106="3","Live selling, private traffic (community), brand; multi-channel",IF(B106="4","(aiOS addition) Owned audience: community, direct list, repeat purchase","")))))</f>
        <v/>
      </c>
      <c r="O106" s="3">
        <f>IF(A106="","",IF(N106="1","Prove scripts + sampling; don't chase ROI",IF(N106="2","Build a creator pool; test by niche/audience/deal",IF(N106="3","Rates rising: judge by ROI + retention",IF(N106="4","Long-term partners as local distributors","")))))</f>
        <v/>
      </c>
    </row>
    <row r="107">
      <c r="J107" s="3">
        <f>IF(A107="","",IF(I107="Content-commerce veteran","Mature content markets (CC: US + Southeast Asia)",IF(I107="Marketplace-only seller","US + newly opened markets (crowded mature markets punish beginners)",IF(I107="Marketplace-validated products","US + Southeast Asia: open a new channel on proven products",""))))</f>
        <v/>
      </c>
      <c r="K107" s="3">
        <f>IF(A107="","",ROUND((C107+D107+2*F107+H107)-(E107+G107)/2,1))</f>
        <v/>
      </c>
      <c r="L107" s="3">
        <f>IF(A107="","",IF(H107=0,"Rate supply fit",IF(H107&lt;3,"Fix supply first - don't enter yet","OK")))</f>
        <v/>
      </c>
      <c r="M107" s="3">
        <f>IF(A107="","",IF(B107="1","Creator outreach and seeding; hire partnerships",IF(B107="2","Own short video + paid; hire shoot/edit + media buyer",IF(B107="3","Live selling, private traffic (community), brand; multi-channel",IF(B107="4","(aiOS addition) Owned audience: community, direct list, repeat purchase","")))))</f>
        <v/>
      </c>
      <c r="O107" s="3">
        <f>IF(A107="","",IF(N107="1","Prove scripts + sampling; don't chase ROI",IF(N107="2","Build a creator pool; test by niche/audience/deal",IF(N107="3","Rates rising: judge by ROI + retention",IF(N107="4","Long-term partners as local distributors","")))))</f>
        <v/>
      </c>
    </row>
    <row r="108">
      <c r="J108" s="3">
        <f>IF(A108="","",IF(I108="Content-commerce veteran","Mature content markets (CC: US + Southeast Asia)",IF(I108="Marketplace-only seller","US + newly opened markets (crowded mature markets punish beginners)",IF(I108="Marketplace-validated products","US + Southeast Asia: open a new channel on proven products",""))))</f>
        <v/>
      </c>
      <c r="K108" s="3">
        <f>IF(A108="","",ROUND((C108+D108+2*F108+H108)-(E108+G108)/2,1))</f>
        <v/>
      </c>
      <c r="L108" s="3">
        <f>IF(A108="","",IF(H108=0,"Rate supply fit",IF(H108&lt;3,"Fix supply first - don't enter yet","OK")))</f>
        <v/>
      </c>
      <c r="M108" s="3">
        <f>IF(A108="","",IF(B108="1","Creator outreach and seeding; hire partnerships",IF(B108="2","Own short video + paid; hire shoot/edit + media buyer",IF(B108="3","Live selling, private traffic (community), brand; multi-channel",IF(B108="4","(aiOS addition) Owned audience: community, direct list, repeat purchase","")))))</f>
        <v/>
      </c>
      <c r="O108" s="3">
        <f>IF(A108="","",IF(N108="1","Prove scripts + sampling; don't chase ROI",IF(N108="2","Build a creator pool; test by niche/audience/deal",IF(N108="3","Rates rising: judge by ROI + retention",IF(N108="4","Long-term partners as local distributors","")))))</f>
        <v/>
      </c>
    </row>
    <row r="109">
      <c r="J109" s="3">
        <f>IF(A109="","",IF(I109="Content-commerce veteran","Mature content markets (CC: US + Southeast Asia)",IF(I109="Marketplace-only seller","US + newly opened markets (crowded mature markets punish beginners)",IF(I109="Marketplace-validated products","US + Southeast Asia: open a new channel on proven products",""))))</f>
        <v/>
      </c>
      <c r="K109" s="3">
        <f>IF(A109="","",ROUND((C109+D109+2*F109+H109)-(E109+G109)/2,1))</f>
        <v/>
      </c>
      <c r="L109" s="3">
        <f>IF(A109="","",IF(H109=0,"Rate supply fit",IF(H109&lt;3,"Fix supply first - don't enter yet","OK")))</f>
        <v/>
      </c>
      <c r="M109" s="3">
        <f>IF(A109="","",IF(B109="1","Creator outreach and seeding; hire partnerships",IF(B109="2","Own short video + paid; hire shoot/edit + media buyer",IF(B109="3","Live selling, private traffic (community), brand; multi-channel",IF(B109="4","(aiOS addition) Owned audience: community, direct list, repeat purchase","")))))</f>
        <v/>
      </c>
      <c r="O109" s="3">
        <f>IF(A109="","",IF(N109="1","Prove scripts + sampling; don't chase ROI",IF(N109="2","Build a creator pool; test by niche/audience/deal",IF(N109="3","Rates rising: judge by ROI + retention",IF(N109="4","Long-term partners as local distributors","")))))</f>
        <v/>
      </c>
    </row>
    <row r="110">
      <c r="J110" s="3">
        <f>IF(A110="","",IF(I110="Content-commerce veteran","Mature content markets (CC: US + Southeast Asia)",IF(I110="Marketplace-only seller","US + newly opened markets (crowded mature markets punish beginners)",IF(I110="Marketplace-validated products","US + Southeast Asia: open a new channel on proven products",""))))</f>
        <v/>
      </c>
      <c r="K110" s="3">
        <f>IF(A110="","",ROUND((C110+D110+2*F110+H110)-(E110+G110)/2,1))</f>
        <v/>
      </c>
      <c r="L110" s="3">
        <f>IF(A110="","",IF(H110=0,"Rate supply fit",IF(H110&lt;3,"Fix supply first - don't enter yet","OK")))</f>
        <v/>
      </c>
      <c r="M110" s="3">
        <f>IF(A110="","",IF(B110="1","Creator outreach and seeding; hire partnerships",IF(B110="2","Own short video + paid; hire shoot/edit + media buyer",IF(B110="3","Live selling, private traffic (community), brand; multi-channel",IF(B110="4","(aiOS addition) Owned audience: community, direct list, repeat purchase","")))))</f>
        <v/>
      </c>
      <c r="O110" s="3">
        <f>IF(A110="","",IF(N110="1","Prove scripts + sampling; don't chase ROI",IF(N110="2","Build a creator pool; test by niche/audience/deal",IF(N110="3","Rates rising: judge by ROI + retention",IF(N110="4","Long-term partners as local distributors","")))))</f>
        <v/>
      </c>
    </row>
    <row r="111">
      <c r="J111" s="3">
        <f>IF(A111="","",IF(I111="Content-commerce veteran","Mature content markets (CC: US + Southeast Asia)",IF(I111="Marketplace-only seller","US + newly opened markets (crowded mature markets punish beginners)",IF(I111="Marketplace-validated products","US + Southeast Asia: open a new channel on proven products",""))))</f>
        <v/>
      </c>
      <c r="K111" s="3">
        <f>IF(A111="","",ROUND((C111+D111+2*F111+H111)-(E111+G111)/2,1))</f>
        <v/>
      </c>
      <c r="L111" s="3">
        <f>IF(A111="","",IF(H111=0,"Rate supply fit",IF(H111&lt;3,"Fix supply first - don't enter yet","OK")))</f>
        <v/>
      </c>
      <c r="M111" s="3">
        <f>IF(A111="","",IF(B111="1","Creator outreach and seeding; hire partnerships",IF(B111="2","Own short video + paid; hire shoot/edit + media buyer",IF(B111="3","Live selling, private traffic (community), brand; multi-channel",IF(B111="4","(aiOS addition) Owned audience: community, direct list, repeat purchase","")))))</f>
        <v/>
      </c>
      <c r="O111" s="3">
        <f>IF(A111="","",IF(N111="1","Prove scripts + sampling; don't chase ROI",IF(N111="2","Build a creator pool; test by niche/audience/deal",IF(N111="3","Rates rising: judge by ROI + retention",IF(N111="4","Long-term partners as local distributors","")))))</f>
        <v/>
      </c>
    </row>
    <row r="112">
      <c r="J112" s="3">
        <f>IF(A112="","",IF(I112="Content-commerce veteran","Mature content markets (CC: US + Southeast Asia)",IF(I112="Marketplace-only seller","US + newly opened markets (crowded mature markets punish beginners)",IF(I112="Marketplace-validated products","US + Southeast Asia: open a new channel on proven products",""))))</f>
        <v/>
      </c>
      <c r="K112" s="3">
        <f>IF(A112="","",ROUND((C112+D112+2*F112+H112)-(E112+G112)/2,1))</f>
        <v/>
      </c>
      <c r="L112" s="3">
        <f>IF(A112="","",IF(H112=0,"Rate supply fit",IF(H112&lt;3,"Fix supply first - don't enter yet","OK")))</f>
        <v/>
      </c>
      <c r="M112" s="3">
        <f>IF(A112="","",IF(B112="1","Creator outreach and seeding; hire partnerships",IF(B112="2","Own short video + paid; hire shoot/edit + media buyer",IF(B112="3","Live selling, private traffic (community), brand; multi-channel",IF(B112="4","(aiOS addition) Owned audience: community, direct list, repeat purchase","")))))</f>
        <v/>
      </c>
      <c r="O112" s="3">
        <f>IF(A112="","",IF(N112="1","Prove scripts + sampling; don't chase ROI",IF(N112="2","Build a creator pool; test by niche/audience/deal",IF(N112="3","Rates rising: judge by ROI + retention",IF(N112="4","Long-term partners as local distributors","")))))</f>
        <v/>
      </c>
    </row>
    <row r="113">
      <c r="J113" s="3">
        <f>IF(A113="","",IF(I113="Content-commerce veteran","Mature content markets (CC: US + Southeast Asia)",IF(I113="Marketplace-only seller","US + newly opened markets (crowded mature markets punish beginners)",IF(I113="Marketplace-validated products","US + Southeast Asia: open a new channel on proven products",""))))</f>
        <v/>
      </c>
      <c r="K113" s="3">
        <f>IF(A113="","",ROUND((C113+D113+2*F113+H113)-(E113+G113)/2,1))</f>
        <v/>
      </c>
      <c r="L113" s="3">
        <f>IF(A113="","",IF(H113=0,"Rate supply fit",IF(H113&lt;3,"Fix supply first - don't enter yet","OK")))</f>
        <v/>
      </c>
      <c r="M113" s="3">
        <f>IF(A113="","",IF(B113="1","Creator outreach and seeding; hire partnerships",IF(B113="2","Own short video + paid; hire shoot/edit + media buyer",IF(B113="3","Live selling, private traffic (community), brand; multi-channel",IF(B113="4","(aiOS addition) Owned audience: community, direct list, repeat purchase","")))))</f>
        <v/>
      </c>
      <c r="O113" s="3">
        <f>IF(A113="","",IF(N113="1","Prove scripts + sampling; don't chase ROI",IF(N113="2","Build a creator pool; test by niche/audience/deal",IF(N113="3","Rates rising: judge by ROI + retention",IF(N113="4","Long-term partners as local distributors","")))))</f>
        <v/>
      </c>
    </row>
    <row r="114">
      <c r="J114" s="3">
        <f>IF(A114="","",IF(I114="Content-commerce veteran","Mature content markets (CC: US + Southeast Asia)",IF(I114="Marketplace-only seller","US + newly opened markets (crowded mature markets punish beginners)",IF(I114="Marketplace-validated products","US + Southeast Asia: open a new channel on proven products",""))))</f>
        <v/>
      </c>
      <c r="K114" s="3">
        <f>IF(A114="","",ROUND((C114+D114+2*F114+H114)-(E114+G114)/2,1))</f>
        <v/>
      </c>
      <c r="L114" s="3">
        <f>IF(A114="","",IF(H114=0,"Rate supply fit",IF(H114&lt;3,"Fix supply first - don't enter yet","OK")))</f>
        <v/>
      </c>
      <c r="M114" s="3">
        <f>IF(A114="","",IF(B114="1","Creator outreach and seeding; hire partnerships",IF(B114="2","Own short video + paid; hire shoot/edit + media buyer",IF(B114="3","Live selling, private traffic (community), brand; multi-channel",IF(B114="4","(aiOS addition) Owned audience: community, direct list, repeat purchase","")))))</f>
        <v/>
      </c>
      <c r="O114" s="3">
        <f>IF(A114="","",IF(N114="1","Prove scripts + sampling; don't chase ROI",IF(N114="2","Build a creator pool; test by niche/audience/deal",IF(N114="3","Rates rising: judge by ROI + retention",IF(N114="4","Long-term partners as local distributors","")))))</f>
        <v/>
      </c>
    </row>
    <row r="115">
      <c r="J115" s="3">
        <f>IF(A115="","",IF(I115="Content-commerce veteran","Mature content markets (CC: US + Southeast Asia)",IF(I115="Marketplace-only seller","US + newly opened markets (crowded mature markets punish beginners)",IF(I115="Marketplace-validated products","US + Southeast Asia: open a new channel on proven products",""))))</f>
        <v/>
      </c>
      <c r="K115" s="3">
        <f>IF(A115="","",ROUND((C115+D115+2*F115+H115)-(E115+G115)/2,1))</f>
        <v/>
      </c>
      <c r="L115" s="3">
        <f>IF(A115="","",IF(H115=0,"Rate supply fit",IF(H115&lt;3,"Fix supply first - don't enter yet","OK")))</f>
        <v/>
      </c>
      <c r="M115" s="3">
        <f>IF(A115="","",IF(B115="1","Creator outreach and seeding; hire partnerships",IF(B115="2","Own short video + paid; hire shoot/edit + media buyer",IF(B115="3","Live selling, private traffic (community), brand; multi-channel",IF(B115="4","(aiOS addition) Owned audience: community, direct list, repeat purchase","")))))</f>
        <v/>
      </c>
      <c r="O115" s="3">
        <f>IF(A115="","",IF(N115="1","Prove scripts + sampling; don't chase ROI",IF(N115="2","Build a creator pool; test by niche/audience/deal",IF(N115="3","Rates rising: judge by ROI + retention",IF(N115="4","Long-term partners as local distributors","")))))</f>
        <v/>
      </c>
    </row>
    <row r="116">
      <c r="J116" s="3">
        <f>IF(A116="","",IF(I116="Content-commerce veteran","Mature content markets (CC: US + Southeast Asia)",IF(I116="Marketplace-only seller","US + newly opened markets (crowded mature markets punish beginners)",IF(I116="Marketplace-validated products","US + Southeast Asia: open a new channel on proven products",""))))</f>
        <v/>
      </c>
      <c r="K116" s="3">
        <f>IF(A116="","",ROUND((C116+D116+2*F116+H116)-(E116+G116)/2,1))</f>
        <v/>
      </c>
      <c r="L116" s="3">
        <f>IF(A116="","",IF(H116=0,"Rate supply fit",IF(H116&lt;3,"Fix supply first - don't enter yet","OK")))</f>
        <v/>
      </c>
      <c r="M116" s="3">
        <f>IF(A116="","",IF(B116="1","Creator outreach and seeding; hire partnerships",IF(B116="2","Own short video + paid; hire shoot/edit + media buyer",IF(B116="3","Live selling, private traffic (community), brand; multi-channel",IF(B116="4","(aiOS addition) Owned audience: community, direct list, repeat purchase","")))))</f>
        <v/>
      </c>
      <c r="O116" s="3">
        <f>IF(A116="","",IF(N116="1","Prove scripts + sampling; don't chase ROI",IF(N116="2","Build a creator pool; test by niche/audience/deal",IF(N116="3","Rates rising: judge by ROI + retention",IF(N116="4","Long-term partners as local distributors","")))))</f>
        <v/>
      </c>
    </row>
    <row r="117">
      <c r="J117" s="3">
        <f>IF(A117="","",IF(I117="Content-commerce veteran","Mature content markets (CC: US + Southeast Asia)",IF(I117="Marketplace-only seller","US + newly opened markets (crowded mature markets punish beginners)",IF(I117="Marketplace-validated products","US + Southeast Asia: open a new channel on proven products",""))))</f>
        <v/>
      </c>
      <c r="K117" s="3">
        <f>IF(A117="","",ROUND((C117+D117+2*F117+H117)-(E117+G117)/2,1))</f>
        <v/>
      </c>
      <c r="L117" s="3">
        <f>IF(A117="","",IF(H117=0,"Rate supply fit",IF(H117&lt;3,"Fix supply first - don't enter yet","OK")))</f>
        <v/>
      </c>
      <c r="M117" s="3">
        <f>IF(A117="","",IF(B117="1","Creator outreach and seeding; hire partnerships",IF(B117="2","Own short video + paid; hire shoot/edit + media buyer",IF(B117="3","Live selling, private traffic (community), brand; multi-channel",IF(B117="4","(aiOS addition) Owned audience: community, direct list, repeat purchase","")))))</f>
        <v/>
      </c>
      <c r="O117" s="3">
        <f>IF(A117="","",IF(N117="1","Prove scripts + sampling; don't chase ROI",IF(N117="2","Build a creator pool; test by niche/audience/deal",IF(N117="3","Rates rising: judge by ROI + retention",IF(N117="4","Long-term partners as local distributors","")))))</f>
        <v/>
      </c>
    </row>
    <row r="118">
      <c r="J118" s="3">
        <f>IF(A118="","",IF(I118="Content-commerce veteran","Mature content markets (CC: US + Southeast Asia)",IF(I118="Marketplace-only seller","US + newly opened markets (crowded mature markets punish beginners)",IF(I118="Marketplace-validated products","US + Southeast Asia: open a new channel on proven products",""))))</f>
        <v/>
      </c>
      <c r="K118" s="3">
        <f>IF(A118="","",ROUND((C118+D118+2*F118+H118)-(E118+G118)/2,1))</f>
        <v/>
      </c>
      <c r="L118" s="3">
        <f>IF(A118="","",IF(H118=0,"Rate supply fit",IF(H118&lt;3,"Fix supply first - don't enter yet","OK")))</f>
        <v/>
      </c>
      <c r="M118" s="3">
        <f>IF(A118="","",IF(B118="1","Creator outreach and seeding; hire partnerships",IF(B118="2","Own short video + paid; hire shoot/edit + media buyer",IF(B118="3","Live selling, private traffic (community), brand; multi-channel",IF(B118="4","(aiOS addition) Owned audience: community, direct list, repeat purchase","")))))</f>
        <v/>
      </c>
      <c r="O118" s="3">
        <f>IF(A118="","",IF(N118="1","Prove scripts + sampling; don't chase ROI",IF(N118="2","Build a creator pool; test by niche/audience/deal",IF(N118="3","Rates rising: judge by ROI + retention",IF(N118="4","Long-term partners as local distributors","")))))</f>
        <v/>
      </c>
    </row>
    <row r="119">
      <c r="J119" s="3">
        <f>IF(A119="","",IF(I119="Content-commerce veteran","Mature content markets (CC: US + Southeast Asia)",IF(I119="Marketplace-only seller","US + newly opened markets (crowded mature markets punish beginners)",IF(I119="Marketplace-validated products","US + Southeast Asia: open a new channel on proven products",""))))</f>
        <v/>
      </c>
      <c r="K119" s="3">
        <f>IF(A119="","",ROUND((C119+D119+2*F119+H119)-(E119+G119)/2,1))</f>
        <v/>
      </c>
      <c r="L119" s="3">
        <f>IF(A119="","",IF(H119=0,"Rate supply fit",IF(H119&lt;3,"Fix supply first - don't enter yet","OK")))</f>
        <v/>
      </c>
      <c r="M119" s="3">
        <f>IF(A119="","",IF(B119="1","Creator outreach and seeding; hire partnerships",IF(B119="2","Own short video + paid; hire shoot/edit + media buyer",IF(B119="3","Live selling, private traffic (community), brand; multi-channel",IF(B119="4","(aiOS addition) Owned audience: community, direct list, repeat purchase","")))))</f>
        <v/>
      </c>
      <c r="O119" s="3">
        <f>IF(A119="","",IF(N119="1","Prove scripts + sampling; don't chase ROI",IF(N119="2","Build a creator pool; test by niche/audience/deal",IF(N119="3","Rates rising: judge by ROI + retention",IF(N119="4","Long-term partners as local distributors","")))))</f>
        <v/>
      </c>
    </row>
    <row r="120">
      <c r="J120" s="3">
        <f>IF(A120="","",IF(I120="Content-commerce veteran","Mature content markets (CC: US + Southeast Asia)",IF(I120="Marketplace-only seller","US + newly opened markets (crowded mature markets punish beginners)",IF(I120="Marketplace-validated products","US + Southeast Asia: open a new channel on proven products",""))))</f>
        <v/>
      </c>
      <c r="K120" s="3">
        <f>IF(A120="","",ROUND((C120+D120+2*F120+H120)-(E120+G120)/2,1))</f>
        <v/>
      </c>
      <c r="L120" s="3">
        <f>IF(A120="","",IF(H120=0,"Rate supply fit",IF(H120&lt;3,"Fix supply first - don't enter yet","OK")))</f>
        <v/>
      </c>
      <c r="M120" s="3">
        <f>IF(A120="","",IF(B120="1","Creator outreach and seeding; hire partnerships",IF(B120="2","Own short video + paid; hire shoot/edit + media buyer",IF(B120="3","Live selling, private traffic (community), brand; multi-channel",IF(B120="4","(aiOS addition) Owned audience: community, direct list, repeat purchase","")))))</f>
        <v/>
      </c>
      <c r="O120" s="3">
        <f>IF(A120="","",IF(N120="1","Prove scripts + sampling; don't chase ROI",IF(N120="2","Build a creator pool; test by niche/audience/deal",IF(N120="3","Rates rising: judge by ROI + retention",IF(N120="4","Long-term partners as local distributors","")))))</f>
        <v/>
      </c>
    </row>
    <row r="121">
      <c r="J121" s="3">
        <f>IF(A121="","",IF(I121="Content-commerce veteran","Mature content markets (CC: US + Southeast Asia)",IF(I121="Marketplace-only seller","US + newly opened markets (crowded mature markets punish beginners)",IF(I121="Marketplace-validated products","US + Southeast Asia: open a new channel on proven products",""))))</f>
        <v/>
      </c>
      <c r="K121" s="3">
        <f>IF(A121="","",ROUND((C121+D121+2*F121+H121)-(E121+G121)/2,1))</f>
        <v/>
      </c>
      <c r="L121" s="3">
        <f>IF(A121="","",IF(H121=0,"Rate supply fit",IF(H121&lt;3,"Fix supply first - don't enter yet","OK")))</f>
        <v/>
      </c>
      <c r="M121" s="3">
        <f>IF(A121="","",IF(B121="1","Creator outreach and seeding; hire partnerships",IF(B121="2","Own short video + paid; hire shoot/edit + media buyer",IF(B121="3","Live selling, private traffic (community), brand; multi-channel",IF(B121="4","(aiOS addition) Owned audience: community, direct list, repeat purchase","")))))</f>
        <v/>
      </c>
      <c r="O121" s="3">
        <f>IF(A121="","",IF(N121="1","Prove scripts + sampling; don't chase ROI",IF(N121="2","Build a creator pool; test by niche/audience/deal",IF(N121="3","Rates rising: judge by ROI + retention",IF(N121="4","Long-term partners as local distributors","")))))</f>
        <v/>
      </c>
    </row>
    <row r="122">
      <c r="J122" s="3">
        <f>IF(A122="","",IF(I122="Content-commerce veteran","Mature content markets (CC: US + Southeast Asia)",IF(I122="Marketplace-only seller","US + newly opened markets (crowded mature markets punish beginners)",IF(I122="Marketplace-validated products","US + Southeast Asia: open a new channel on proven products",""))))</f>
        <v/>
      </c>
      <c r="K122" s="3">
        <f>IF(A122="","",ROUND((C122+D122+2*F122+H122)-(E122+G122)/2,1))</f>
        <v/>
      </c>
      <c r="L122" s="3">
        <f>IF(A122="","",IF(H122=0,"Rate supply fit",IF(H122&lt;3,"Fix supply first - don't enter yet","OK")))</f>
        <v/>
      </c>
      <c r="M122" s="3">
        <f>IF(A122="","",IF(B122="1","Creator outreach and seeding; hire partnerships",IF(B122="2","Own short video + paid; hire shoot/edit + media buyer",IF(B122="3","Live selling, private traffic (community), brand; multi-channel",IF(B122="4","(aiOS addition) Owned audience: community, direct list, repeat purchase","")))))</f>
        <v/>
      </c>
      <c r="O122" s="3">
        <f>IF(A122="","",IF(N122="1","Prove scripts + sampling; don't chase ROI",IF(N122="2","Build a creator pool; test by niche/audience/deal",IF(N122="3","Rates rising: judge by ROI + retention",IF(N122="4","Long-term partners as local distributors","")))))</f>
        <v/>
      </c>
    </row>
    <row r="123">
      <c r="J123" s="3">
        <f>IF(A123="","",IF(I123="Content-commerce veteran","Mature content markets (CC: US + Southeast Asia)",IF(I123="Marketplace-only seller","US + newly opened markets (crowded mature markets punish beginners)",IF(I123="Marketplace-validated products","US + Southeast Asia: open a new channel on proven products",""))))</f>
        <v/>
      </c>
      <c r="K123" s="3">
        <f>IF(A123="","",ROUND((C123+D123+2*F123+H123)-(E123+G123)/2,1))</f>
        <v/>
      </c>
      <c r="L123" s="3">
        <f>IF(A123="","",IF(H123=0,"Rate supply fit",IF(H123&lt;3,"Fix supply first - don't enter yet","OK")))</f>
        <v/>
      </c>
      <c r="M123" s="3">
        <f>IF(A123="","",IF(B123="1","Creator outreach and seeding; hire partnerships",IF(B123="2","Own short video + paid; hire shoot/edit + media buyer",IF(B123="3","Live selling, private traffic (community), brand; multi-channel",IF(B123="4","(aiOS addition) Owned audience: community, direct list, repeat purchase","")))))</f>
        <v/>
      </c>
      <c r="O123" s="3">
        <f>IF(A123="","",IF(N123="1","Prove scripts + sampling; don't chase ROI",IF(N123="2","Build a creator pool; test by niche/audience/deal",IF(N123="3","Rates rising: judge by ROI + retention",IF(N123="4","Long-term partners as local distributors","")))))</f>
        <v/>
      </c>
    </row>
    <row r="124">
      <c r="J124" s="3">
        <f>IF(A124="","",IF(I124="Content-commerce veteran","Mature content markets (CC: US + Southeast Asia)",IF(I124="Marketplace-only seller","US + newly opened markets (crowded mature markets punish beginners)",IF(I124="Marketplace-validated products","US + Southeast Asia: open a new channel on proven products",""))))</f>
        <v/>
      </c>
      <c r="K124" s="3">
        <f>IF(A124="","",ROUND((C124+D124+2*F124+H124)-(E124+G124)/2,1))</f>
        <v/>
      </c>
      <c r="L124" s="3">
        <f>IF(A124="","",IF(H124=0,"Rate supply fit",IF(H124&lt;3,"Fix supply first - don't enter yet","OK")))</f>
        <v/>
      </c>
      <c r="M124" s="3">
        <f>IF(A124="","",IF(B124="1","Creator outreach and seeding; hire partnerships",IF(B124="2","Own short video + paid; hire shoot/edit + media buyer",IF(B124="3","Live selling, private traffic (community), brand; multi-channel",IF(B124="4","(aiOS addition) Owned audience: community, direct list, repeat purchase","")))))</f>
        <v/>
      </c>
      <c r="O124" s="3">
        <f>IF(A124="","",IF(N124="1","Prove scripts + sampling; don't chase ROI",IF(N124="2","Build a creator pool; test by niche/audience/deal",IF(N124="3","Rates rising: judge by ROI + retention",IF(N124="4","Long-term partners as local distributors","")))))</f>
        <v/>
      </c>
    </row>
    <row r="125">
      <c r="J125" s="3">
        <f>IF(A125="","",IF(I125="Content-commerce veteran","Mature content markets (CC: US + Southeast Asia)",IF(I125="Marketplace-only seller","US + newly opened markets (crowded mature markets punish beginners)",IF(I125="Marketplace-validated products","US + Southeast Asia: open a new channel on proven products",""))))</f>
        <v/>
      </c>
      <c r="K125" s="3">
        <f>IF(A125="","",ROUND((C125+D125+2*F125+H125)-(E125+G125)/2,1))</f>
        <v/>
      </c>
      <c r="L125" s="3">
        <f>IF(A125="","",IF(H125=0,"Rate supply fit",IF(H125&lt;3,"Fix supply first - don't enter yet","OK")))</f>
        <v/>
      </c>
      <c r="M125" s="3">
        <f>IF(A125="","",IF(B125="1","Creator outreach and seeding; hire partnerships",IF(B125="2","Own short video + paid; hire shoot/edit + media buyer",IF(B125="3","Live selling, private traffic (community), brand; multi-channel",IF(B125="4","(aiOS addition) Owned audience: community, direct list, repeat purchase","")))))</f>
        <v/>
      </c>
      <c r="O125" s="3">
        <f>IF(A125="","",IF(N125="1","Prove scripts + sampling; don't chase ROI",IF(N125="2","Build a creator pool; test by niche/audience/deal",IF(N125="3","Rates rising: judge by ROI + retention",IF(N125="4","Long-term partners as local distributors","")))))</f>
        <v/>
      </c>
    </row>
    <row r="126">
      <c r="J126" s="3">
        <f>IF(A126="","",IF(I126="Content-commerce veteran","Mature content markets (CC: US + Southeast Asia)",IF(I126="Marketplace-only seller","US + newly opened markets (crowded mature markets punish beginners)",IF(I126="Marketplace-validated products","US + Southeast Asia: open a new channel on proven products",""))))</f>
        <v/>
      </c>
      <c r="K126" s="3">
        <f>IF(A126="","",ROUND((C126+D126+2*F126+H126)-(E126+G126)/2,1))</f>
        <v/>
      </c>
      <c r="L126" s="3">
        <f>IF(A126="","",IF(H126=0,"Rate supply fit",IF(H126&lt;3,"Fix supply first - don't enter yet","OK")))</f>
        <v/>
      </c>
      <c r="M126" s="3">
        <f>IF(A126="","",IF(B126="1","Creator outreach and seeding; hire partnerships",IF(B126="2","Own short video + paid; hire shoot/edit + media buyer",IF(B126="3","Live selling, private traffic (community), brand; multi-channel",IF(B126="4","(aiOS addition) Owned audience: community, direct list, repeat purchase","")))))</f>
        <v/>
      </c>
      <c r="O126" s="3">
        <f>IF(A126="","",IF(N126="1","Prove scripts + sampling; don't chase ROI",IF(N126="2","Build a creator pool; test by niche/audience/deal",IF(N126="3","Rates rising: judge by ROI + retention",IF(N126="4","Long-term partners as local distributors","")))))</f>
        <v/>
      </c>
    </row>
    <row r="127">
      <c r="J127" s="3">
        <f>IF(A127="","",IF(I127="Content-commerce veteran","Mature content markets (CC: US + Southeast Asia)",IF(I127="Marketplace-only seller","US + newly opened markets (crowded mature markets punish beginners)",IF(I127="Marketplace-validated products","US + Southeast Asia: open a new channel on proven products",""))))</f>
        <v/>
      </c>
      <c r="K127" s="3">
        <f>IF(A127="","",ROUND((C127+D127+2*F127+H127)-(E127+G127)/2,1))</f>
        <v/>
      </c>
      <c r="L127" s="3">
        <f>IF(A127="","",IF(H127=0,"Rate supply fit",IF(H127&lt;3,"Fix supply first - don't enter yet","OK")))</f>
        <v/>
      </c>
      <c r="M127" s="3">
        <f>IF(A127="","",IF(B127="1","Creator outreach and seeding; hire partnerships",IF(B127="2","Own short video + paid; hire shoot/edit + media buyer",IF(B127="3","Live selling, private traffic (community), brand; multi-channel",IF(B127="4","(aiOS addition) Owned audience: community, direct list, repeat purchase","")))))</f>
        <v/>
      </c>
      <c r="O127" s="3">
        <f>IF(A127="","",IF(N127="1","Prove scripts + sampling; don't chase ROI",IF(N127="2","Build a creator pool; test by niche/audience/deal",IF(N127="3","Rates rising: judge by ROI + retention",IF(N127="4","Long-term partners as local distributors","")))))</f>
        <v/>
      </c>
    </row>
    <row r="128">
      <c r="J128" s="3">
        <f>IF(A128="","",IF(I128="Content-commerce veteran","Mature content markets (CC: US + Southeast Asia)",IF(I128="Marketplace-only seller","US + newly opened markets (crowded mature markets punish beginners)",IF(I128="Marketplace-validated products","US + Southeast Asia: open a new channel on proven products",""))))</f>
        <v/>
      </c>
      <c r="K128" s="3">
        <f>IF(A128="","",ROUND((C128+D128+2*F128+H128)-(E128+G128)/2,1))</f>
        <v/>
      </c>
      <c r="L128" s="3">
        <f>IF(A128="","",IF(H128=0,"Rate supply fit",IF(H128&lt;3,"Fix supply first - don't enter yet","OK")))</f>
        <v/>
      </c>
      <c r="M128" s="3">
        <f>IF(A128="","",IF(B128="1","Creator outreach and seeding; hire partnerships",IF(B128="2","Own short video + paid; hire shoot/edit + media buyer",IF(B128="3","Live selling, private traffic (community), brand; multi-channel",IF(B128="4","(aiOS addition) Owned audience: community, direct list, repeat purchase","")))))</f>
        <v/>
      </c>
      <c r="O128" s="3">
        <f>IF(A128="","",IF(N128="1","Prove scripts + sampling; don't chase ROI",IF(N128="2","Build a creator pool; test by niche/audience/deal",IF(N128="3","Rates rising: judge by ROI + retention",IF(N128="4","Long-term partners as local distributors","")))))</f>
        <v/>
      </c>
    </row>
    <row r="129">
      <c r="J129" s="3">
        <f>IF(A129="","",IF(I129="Content-commerce veteran","Mature content markets (CC: US + Southeast Asia)",IF(I129="Marketplace-only seller","US + newly opened markets (crowded mature markets punish beginners)",IF(I129="Marketplace-validated products","US + Southeast Asia: open a new channel on proven products",""))))</f>
        <v/>
      </c>
      <c r="K129" s="3">
        <f>IF(A129="","",ROUND((C129+D129+2*F129+H129)-(E129+G129)/2,1))</f>
        <v/>
      </c>
      <c r="L129" s="3">
        <f>IF(A129="","",IF(H129=0,"Rate supply fit",IF(H129&lt;3,"Fix supply first - don't enter yet","OK")))</f>
        <v/>
      </c>
      <c r="M129" s="3">
        <f>IF(A129="","",IF(B129="1","Creator outreach and seeding; hire partnerships",IF(B129="2","Own short video + paid; hire shoot/edit + media buyer",IF(B129="3","Live selling, private traffic (community), brand; multi-channel",IF(B129="4","(aiOS addition) Owned audience: community, direct list, repeat purchase","")))))</f>
        <v/>
      </c>
      <c r="O129" s="3">
        <f>IF(A129="","",IF(N129="1","Prove scripts + sampling; don't chase ROI",IF(N129="2","Build a creator pool; test by niche/audience/deal",IF(N129="3","Rates rising: judge by ROI + retention",IF(N129="4","Long-term partners as local distributors","")))))</f>
        <v/>
      </c>
    </row>
    <row r="130">
      <c r="J130" s="3">
        <f>IF(A130="","",IF(I130="Content-commerce veteran","Mature content markets (CC: US + Southeast Asia)",IF(I130="Marketplace-only seller","US + newly opened markets (crowded mature markets punish beginners)",IF(I130="Marketplace-validated products","US + Southeast Asia: open a new channel on proven products",""))))</f>
        <v/>
      </c>
      <c r="K130" s="3">
        <f>IF(A130="","",ROUND((C130+D130+2*F130+H130)-(E130+G130)/2,1))</f>
        <v/>
      </c>
      <c r="L130" s="3">
        <f>IF(A130="","",IF(H130=0,"Rate supply fit",IF(H130&lt;3,"Fix supply first - don't enter yet","OK")))</f>
        <v/>
      </c>
      <c r="M130" s="3">
        <f>IF(A130="","",IF(B130="1","Creator outreach and seeding; hire partnerships",IF(B130="2","Own short video + paid; hire shoot/edit + media buyer",IF(B130="3","Live selling, private traffic (community), brand; multi-channel",IF(B130="4","(aiOS addition) Owned audience: community, direct list, repeat purchase","")))))</f>
        <v/>
      </c>
      <c r="O130" s="3">
        <f>IF(A130="","",IF(N130="1","Prove scripts + sampling; don't chase ROI",IF(N130="2","Build a creator pool; test by niche/audience/deal",IF(N130="3","Rates rising: judge by ROI + retention",IF(N130="4","Long-term partners as local distributors","")))))</f>
        <v/>
      </c>
    </row>
    <row r="131">
      <c r="J131" s="3">
        <f>IF(A131="","",IF(I131="Content-commerce veteran","Mature content markets (CC: US + Southeast Asia)",IF(I131="Marketplace-only seller","US + newly opened markets (crowded mature markets punish beginners)",IF(I131="Marketplace-validated products","US + Southeast Asia: open a new channel on proven products",""))))</f>
        <v/>
      </c>
      <c r="K131" s="3">
        <f>IF(A131="","",ROUND((C131+D131+2*F131+H131)-(E131+G131)/2,1))</f>
        <v/>
      </c>
      <c r="L131" s="3">
        <f>IF(A131="","",IF(H131=0,"Rate supply fit",IF(H131&lt;3,"Fix supply first - don't enter yet","OK")))</f>
        <v/>
      </c>
      <c r="M131" s="3">
        <f>IF(A131="","",IF(B131="1","Creator outreach and seeding; hire partnerships",IF(B131="2","Own short video + paid; hire shoot/edit + media buyer",IF(B131="3","Live selling, private traffic (community), brand; multi-channel",IF(B131="4","(aiOS addition) Owned audience: community, direct list, repeat purchase","")))))</f>
        <v/>
      </c>
      <c r="O131" s="3">
        <f>IF(A131="","",IF(N131="1","Prove scripts + sampling; don't chase ROI",IF(N131="2","Build a creator pool; test by niche/audience/deal",IF(N131="3","Rates rising: judge by ROI + retention",IF(N131="4","Long-term partners as local distributors","")))))</f>
        <v/>
      </c>
    </row>
    <row r="132">
      <c r="J132" s="3">
        <f>IF(A132="","",IF(I132="Content-commerce veteran","Mature content markets (CC: US + Southeast Asia)",IF(I132="Marketplace-only seller","US + newly opened markets (crowded mature markets punish beginners)",IF(I132="Marketplace-validated products","US + Southeast Asia: open a new channel on proven products",""))))</f>
        <v/>
      </c>
      <c r="K132" s="3">
        <f>IF(A132="","",ROUND((C132+D132+2*F132+H132)-(E132+G132)/2,1))</f>
        <v/>
      </c>
      <c r="L132" s="3">
        <f>IF(A132="","",IF(H132=0,"Rate supply fit",IF(H132&lt;3,"Fix supply first - don't enter yet","OK")))</f>
        <v/>
      </c>
      <c r="M132" s="3">
        <f>IF(A132="","",IF(B132="1","Creator outreach and seeding; hire partnerships",IF(B132="2","Own short video + paid; hire shoot/edit + media buyer",IF(B132="3","Live selling, private traffic (community), brand; multi-channel",IF(B132="4","(aiOS addition) Owned audience: community, direct list, repeat purchase","")))))</f>
        <v/>
      </c>
      <c r="O132" s="3">
        <f>IF(A132="","",IF(N132="1","Prove scripts + sampling; don't chase ROI",IF(N132="2","Build a creator pool; test by niche/audience/deal",IF(N132="3","Rates rising: judge by ROI + retention",IF(N132="4","Long-term partners as local distributors","")))))</f>
        <v/>
      </c>
    </row>
    <row r="133">
      <c r="J133" s="3">
        <f>IF(A133="","",IF(I133="Content-commerce veteran","Mature content markets (CC: US + Southeast Asia)",IF(I133="Marketplace-only seller","US + newly opened markets (crowded mature markets punish beginners)",IF(I133="Marketplace-validated products","US + Southeast Asia: open a new channel on proven products",""))))</f>
        <v/>
      </c>
      <c r="K133" s="3">
        <f>IF(A133="","",ROUND((C133+D133+2*F133+H133)-(E133+G133)/2,1))</f>
        <v/>
      </c>
      <c r="L133" s="3">
        <f>IF(A133="","",IF(H133=0,"Rate supply fit",IF(H133&lt;3,"Fix supply first - don't enter yet","OK")))</f>
        <v/>
      </c>
      <c r="M133" s="3">
        <f>IF(A133="","",IF(B133="1","Creator outreach and seeding; hire partnerships",IF(B133="2","Own short video + paid; hire shoot/edit + media buyer",IF(B133="3","Live selling, private traffic (community), brand; multi-channel",IF(B133="4","(aiOS addition) Owned audience: community, direct list, repeat purchase","")))))</f>
        <v/>
      </c>
      <c r="O133" s="3">
        <f>IF(A133="","",IF(N133="1","Prove scripts + sampling; don't chase ROI",IF(N133="2","Build a creator pool; test by niche/audience/deal",IF(N133="3","Rates rising: judge by ROI + retention",IF(N133="4","Long-term partners as local distributors","")))))</f>
        <v/>
      </c>
    </row>
    <row r="134">
      <c r="J134" s="3">
        <f>IF(A134="","",IF(I134="Content-commerce veteran","Mature content markets (CC: US + Southeast Asia)",IF(I134="Marketplace-only seller","US + newly opened markets (crowded mature markets punish beginners)",IF(I134="Marketplace-validated products","US + Southeast Asia: open a new channel on proven products",""))))</f>
        <v/>
      </c>
      <c r="K134" s="3">
        <f>IF(A134="","",ROUND((C134+D134+2*F134+H134)-(E134+G134)/2,1))</f>
        <v/>
      </c>
      <c r="L134" s="3">
        <f>IF(A134="","",IF(H134=0,"Rate supply fit",IF(H134&lt;3,"Fix supply first - don't enter yet","OK")))</f>
        <v/>
      </c>
      <c r="M134" s="3">
        <f>IF(A134="","",IF(B134="1","Creator outreach and seeding; hire partnerships",IF(B134="2","Own short video + paid; hire shoot/edit + media buyer",IF(B134="3","Live selling, private traffic (community), brand; multi-channel",IF(B134="4","(aiOS addition) Owned audience: community, direct list, repeat purchase","")))))</f>
        <v/>
      </c>
      <c r="O134" s="3">
        <f>IF(A134="","",IF(N134="1","Prove scripts + sampling; don't chase ROI",IF(N134="2","Build a creator pool; test by niche/audience/deal",IF(N134="3","Rates rising: judge by ROI + retention",IF(N134="4","Long-term partners as local distributors","")))))</f>
        <v/>
      </c>
    </row>
    <row r="135">
      <c r="J135" s="3">
        <f>IF(A135="","",IF(I135="Content-commerce veteran","Mature content markets (CC: US + Southeast Asia)",IF(I135="Marketplace-only seller","US + newly opened markets (crowded mature markets punish beginners)",IF(I135="Marketplace-validated products","US + Southeast Asia: open a new channel on proven products",""))))</f>
        <v/>
      </c>
      <c r="K135" s="3">
        <f>IF(A135="","",ROUND((C135+D135+2*F135+H135)-(E135+G135)/2,1))</f>
        <v/>
      </c>
      <c r="L135" s="3">
        <f>IF(A135="","",IF(H135=0,"Rate supply fit",IF(H135&lt;3,"Fix supply first - don't enter yet","OK")))</f>
        <v/>
      </c>
      <c r="M135" s="3">
        <f>IF(A135="","",IF(B135="1","Creator outreach and seeding; hire partnerships",IF(B135="2","Own short video + paid; hire shoot/edit + media buyer",IF(B135="3","Live selling, private traffic (community), brand; multi-channel",IF(B135="4","(aiOS addition) Owned audience: community, direct list, repeat purchase","")))))</f>
        <v/>
      </c>
      <c r="O135" s="3">
        <f>IF(A135="","",IF(N135="1","Prove scripts + sampling; don't chase ROI",IF(N135="2","Build a creator pool; test by niche/audience/deal",IF(N135="3","Rates rising: judge by ROI + retention",IF(N135="4","Long-term partners as local distributors","")))))</f>
        <v/>
      </c>
    </row>
    <row r="136">
      <c r="J136" s="3">
        <f>IF(A136="","",IF(I136="Content-commerce veteran","Mature content markets (CC: US + Southeast Asia)",IF(I136="Marketplace-only seller","US + newly opened markets (crowded mature markets punish beginners)",IF(I136="Marketplace-validated products","US + Southeast Asia: open a new channel on proven products",""))))</f>
        <v/>
      </c>
      <c r="K136" s="3">
        <f>IF(A136="","",ROUND((C136+D136+2*F136+H136)-(E136+G136)/2,1))</f>
        <v/>
      </c>
      <c r="L136" s="3">
        <f>IF(A136="","",IF(H136=0,"Rate supply fit",IF(H136&lt;3,"Fix supply first - don't enter yet","OK")))</f>
        <v/>
      </c>
      <c r="M136" s="3">
        <f>IF(A136="","",IF(B136="1","Creator outreach and seeding; hire partnerships",IF(B136="2","Own short video + paid; hire shoot/edit + media buyer",IF(B136="3","Live selling, private traffic (community), brand; multi-channel",IF(B136="4","(aiOS addition) Owned audience: community, direct list, repeat purchase","")))))</f>
        <v/>
      </c>
      <c r="O136" s="3">
        <f>IF(A136="","",IF(N136="1","Prove scripts + sampling; don't chase ROI",IF(N136="2","Build a creator pool; test by niche/audience/deal",IF(N136="3","Rates rising: judge by ROI + retention",IF(N136="4","Long-term partners as local distributors","")))))</f>
        <v/>
      </c>
    </row>
    <row r="137">
      <c r="J137" s="3">
        <f>IF(A137="","",IF(I137="Content-commerce veteran","Mature content markets (CC: US + Southeast Asia)",IF(I137="Marketplace-only seller","US + newly opened markets (crowded mature markets punish beginners)",IF(I137="Marketplace-validated products","US + Southeast Asia: open a new channel on proven products",""))))</f>
        <v/>
      </c>
      <c r="K137" s="3">
        <f>IF(A137="","",ROUND((C137+D137+2*F137+H137)-(E137+G137)/2,1))</f>
        <v/>
      </c>
      <c r="L137" s="3">
        <f>IF(A137="","",IF(H137=0,"Rate supply fit",IF(H137&lt;3,"Fix supply first - don't enter yet","OK")))</f>
        <v/>
      </c>
      <c r="M137" s="3">
        <f>IF(A137="","",IF(B137="1","Creator outreach and seeding; hire partnerships",IF(B137="2","Own short video + paid; hire shoot/edit + media buyer",IF(B137="3","Live selling, private traffic (community), brand; multi-channel",IF(B137="4","(aiOS addition) Owned audience: community, direct list, repeat purchase","")))))</f>
        <v/>
      </c>
      <c r="O137" s="3">
        <f>IF(A137="","",IF(N137="1","Prove scripts + sampling; don't chase ROI",IF(N137="2","Build a creator pool; test by niche/audience/deal",IF(N137="3","Rates rising: judge by ROI + retention",IF(N137="4","Long-term partners as local distributors","")))))</f>
        <v/>
      </c>
    </row>
    <row r="138">
      <c r="J138" s="3">
        <f>IF(A138="","",IF(I138="Content-commerce veteran","Mature content markets (CC: US + Southeast Asia)",IF(I138="Marketplace-only seller","US + newly opened markets (crowded mature markets punish beginners)",IF(I138="Marketplace-validated products","US + Southeast Asia: open a new channel on proven products",""))))</f>
        <v/>
      </c>
      <c r="K138" s="3">
        <f>IF(A138="","",ROUND((C138+D138+2*F138+H138)-(E138+G138)/2,1))</f>
        <v/>
      </c>
      <c r="L138" s="3">
        <f>IF(A138="","",IF(H138=0,"Rate supply fit",IF(H138&lt;3,"Fix supply first - don't enter yet","OK")))</f>
        <v/>
      </c>
      <c r="M138" s="3">
        <f>IF(A138="","",IF(B138="1","Creator outreach and seeding; hire partnerships",IF(B138="2","Own short video + paid; hire shoot/edit + media buyer",IF(B138="3","Live selling, private traffic (community), brand; multi-channel",IF(B138="4","(aiOS addition) Owned audience: community, direct list, repeat purchase","")))))</f>
        <v/>
      </c>
      <c r="O138" s="3">
        <f>IF(A138="","",IF(N138="1","Prove scripts + sampling; don't chase ROI",IF(N138="2","Build a creator pool; test by niche/audience/deal",IF(N138="3","Rates rising: judge by ROI + retention",IF(N138="4","Long-term partners as local distributors","")))))</f>
        <v/>
      </c>
    </row>
    <row r="139">
      <c r="J139" s="3">
        <f>IF(A139="","",IF(I139="Content-commerce veteran","Mature content markets (CC: US + Southeast Asia)",IF(I139="Marketplace-only seller","US + newly opened markets (crowded mature markets punish beginners)",IF(I139="Marketplace-validated products","US + Southeast Asia: open a new channel on proven products",""))))</f>
        <v/>
      </c>
      <c r="K139" s="3">
        <f>IF(A139="","",ROUND((C139+D139+2*F139+H139)-(E139+G139)/2,1))</f>
        <v/>
      </c>
      <c r="L139" s="3">
        <f>IF(A139="","",IF(H139=0,"Rate supply fit",IF(H139&lt;3,"Fix supply first - don't enter yet","OK")))</f>
        <v/>
      </c>
      <c r="M139" s="3">
        <f>IF(A139="","",IF(B139="1","Creator outreach and seeding; hire partnerships",IF(B139="2","Own short video + paid; hire shoot/edit + media buyer",IF(B139="3","Live selling, private traffic (community), brand; multi-channel",IF(B139="4","(aiOS addition) Owned audience: community, direct list, repeat purchase","")))))</f>
        <v/>
      </c>
      <c r="O139" s="3">
        <f>IF(A139="","",IF(N139="1","Prove scripts + sampling; don't chase ROI",IF(N139="2","Build a creator pool; test by niche/audience/deal",IF(N139="3","Rates rising: judge by ROI + retention",IF(N139="4","Long-term partners as local distributors","")))))</f>
        <v/>
      </c>
    </row>
    <row r="140">
      <c r="J140" s="3">
        <f>IF(A140="","",IF(I140="Content-commerce veteran","Mature content markets (CC: US + Southeast Asia)",IF(I140="Marketplace-only seller","US + newly opened markets (crowded mature markets punish beginners)",IF(I140="Marketplace-validated products","US + Southeast Asia: open a new channel on proven products",""))))</f>
        <v/>
      </c>
      <c r="K140" s="3">
        <f>IF(A140="","",ROUND((C140+D140+2*F140+H140)-(E140+G140)/2,1))</f>
        <v/>
      </c>
      <c r="L140" s="3">
        <f>IF(A140="","",IF(H140=0,"Rate supply fit",IF(H140&lt;3,"Fix supply first - don't enter yet","OK")))</f>
        <v/>
      </c>
      <c r="M140" s="3">
        <f>IF(A140="","",IF(B140="1","Creator outreach and seeding; hire partnerships",IF(B140="2","Own short video + paid; hire shoot/edit + media buyer",IF(B140="3","Live selling, private traffic (community), brand; multi-channel",IF(B140="4","(aiOS addition) Owned audience: community, direct list, repeat purchase","")))))</f>
        <v/>
      </c>
      <c r="O140" s="3">
        <f>IF(A140="","",IF(N140="1","Prove scripts + sampling; don't chase ROI",IF(N140="2","Build a creator pool; test by niche/audience/deal",IF(N140="3","Rates rising: judge by ROI + retention",IF(N140="4","Long-term partners as local distributors","")))))</f>
        <v/>
      </c>
    </row>
    <row r="141">
      <c r="J141" s="3">
        <f>IF(A141="","",IF(I141="Content-commerce veteran","Mature content markets (CC: US + Southeast Asia)",IF(I141="Marketplace-only seller","US + newly opened markets (crowded mature markets punish beginners)",IF(I141="Marketplace-validated products","US + Southeast Asia: open a new channel on proven products",""))))</f>
        <v/>
      </c>
      <c r="K141" s="3">
        <f>IF(A141="","",ROUND((C141+D141+2*F141+H141)-(E141+G141)/2,1))</f>
        <v/>
      </c>
      <c r="L141" s="3">
        <f>IF(A141="","",IF(H141=0,"Rate supply fit",IF(H141&lt;3,"Fix supply first - don't enter yet","OK")))</f>
        <v/>
      </c>
      <c r="M141" s="3">
        <f>IF(A141="","",IF(B141="1","Creator outreach and seeding; hire partnerships",IF(B141="2","Own short video + paid; hire shoot/edit + media buyer",IF(B141="3","Live selling, private traffic (community), brand; multi-channel",IF(B141="4","(aiOS addition) Owned audience: community, direct list, repeat purchase","")))))</f>
        <v/>
      </c>
      <c r="O141" s="3">
        <f>IF(A141="","",IF(N141="1","Prove scripts + sampling; don't chase ROI",IF(N141="2","Build a creator pool; test by niche/audience/deal",IF(N141="3","Rates rising: judge by ROI + retention",IF(N141="4","Long-term partners as local distributors","")))))</f>
        <v/>
      </c>
    </row>
    <row r="142">
      <c r="J142" s="3">
        <f>IF(A142="","",IF(I142="Content-commerce veteran","Mature content markets (CC: US + Southeast Asia)",IF(I142="Marketplace-only seller","US + newly opened markets (crowded mature markets punish beginners)",IF(I142="Marketplace-validated products","US + Southeast Asia: open a new channel on proven products",""))))</f>
        <v/>
      </c>
      <c r="K142" s="3">
        <f>IF(A142="","",ROUND((C142+D142+2*F142+H142)-(E142+G142)/2,1))</f>
        <v/>
      </c>
      <c r="L142" s="3">
        <f>IF(A142="","",IF(H142=0,"Rate supply fit",IF(H142&lt;3,"Fix supply first - don't enter yet","OK")))</f>
        <v/>
      </c>
      <c r="M142" s="3">
        <f>IF(A142="","",IF(B142="1","Creator outreach and seeding; hire partnerships",IF(B142="2","Own short video + paid; hire shoot/edit + media buyer",IF(B142="3","Live selling, private traffic (community), brand; multi-channel",IF(B142="4","(aiOS addition) Owned audience: community, direct list, repeat purchase","")))))</f>
        <v/>
      </c>
      <c r="O142" s="3">
        <f>IF(A142="","",IF(N142="1","Prove scripts + sampling; don't chase ROI",IF(N142="2","Build a creator pool; test by niche/audience/deal",IF(N142="3","Rates rising: judge by ROI + retention",IF(N142="4","Long-term partners as local distributors","")))))</f>
        <v/>
      </c>
    </row>
    <row r="143">
      <c r="J143" s="3">
        <f>IF(A143="","",IF(I143="Content-commerce veteran","Mature content markets (CC: US + Southeast Asia)",IF(I143="Marketplace-only seller","US + newly opened markets (crowded mature markets punish beginners)",IF(I143="Marketplace-validated products","US + Southeast Asia: open a new channel on proven products",""))))</f>
        <v/>
      </c>
      <c r="K143" s="3">
        <f>IF(A143="","",ROUND((C143+D143+2*F143+H143)-(E143+G143)/2,1))</f>
        <v/>
      </c>
      <c r="L143" s="3">
        <f>IF(A143="","",IF(H143=0,"Rate supply fit",IF(H143&lt;3,"Fix supply first - don't enter yet","OK")))</f>
        <v/>
      </c>
      <c r="M143" s="3">
        <f>IF(A143="","",IF(B143="1","Creator outreach and seeding; hire partnerships",IF(B143="2","Own short video + paid; hire shoot/edit + media buyer",IF(B143="3","Live selling, private traffic (community), brand; multi-channel",IF(B143="4","(aiOS addition) Owned audience: community, direct list, repeat purchase","")))))</f>
        <v/>
      </c>
      <c r="O143" s="3">
        <f>IF(A143="","",IF(N143="1","Prove scripts + sampling; don't chase ROI",IF(N143="2","Build a creator pool; test by niche/audience/deal",IF(N143="3","Rates rising: judge by ROI + retention",IF(N143="4","Long-term partners as local distributors","")))))</f>
        <v/>
      </c>
    </row>
    <row r="144">
      <c r="J144" s="3">
        <f>IF(A144="","",IF(I144="Content-commerce veteran","Mature content markets (CC: US + Southeast Asia)",IF(I144="Marketplace-only seller","US + newly opened markets (crowded mature markets punish beginners)",IF(I144="Marketplace-validated products","US + Southeast Asia: open a new channel on proven products",""))))</f>
        <v/>
      </c>
      <c r="K144" s="3">
        <f>IF(A144="","",ROUND((C144+D144+2*F144+H144)-(E144+G144)/2,1))</f>
        <v/>
      </c>
      <c r="L144" s="3">
        <f>IF(A144="","",IF(H144=0,"Rate supply fit",IF(H144&lt;3,"Fix supply first - don't enter yet","OK")))</f>
        <v/>
      </c>
      <c r="M144" s="3">
        <f>IF(A144="","",IF(B144="1","Creator outreach and seeding; hire partnerships",IF(B144="2","Own short video + paid; hire shoot/edit + media buyer",IF(B144="3","Live selling, private traffic (community), brand; multi-channel",IF(B144="4","(aiOS addition) Owned audience: community, direct list, repeat purchase","")))))</f>
        <v/>
      </c>
      <c r="O144" s="3">
        <f>IF(A144="","",IF(N144="1","Prove scripts + sampling; don't chase ROI",IF(N144="2","Build a creator pool; test by niche/audience/deal",IF(N144="3","Rates rising: judge by ROI + retention",IF(N144="4","Long-term partners as local distributors","")))))</f>
        <v/>
      </c>
    </row>
    <row r="145">
      <c r="J145" s="3">
        <f>IF(A145="","",IF(I145="Content-commerce veteran","Mature content markets (CC: US + Southeast Asia)",IF(I145="Marketplace-only seller","US + newly opened markets (crowded mature markets punish beginners)",IF(I145="Marketplace-validated products","US + Southeast Asia: open a new channel on proven products",""))))</f>
        <v/>
      </c>
      <c r="K145" s="3">
        <f>IF(A145="","",ROUND((C145+D145+2*F145+H145)-(E145+G145)/2,1))</f>
        <v/>
      </c>
      <c r="L145" s="3">
        <f>IF(A145="","",IF(H145=0,"Rate supply fit",IF(H145&lt;3,"Fix supply first - don't enter yet","OK")))</f>
        <v/>
      </c>
      <c r="M145" s="3">
        <f>IF(A145="","",IF(B145="1","Creator outreach and seeding; hire partnerships",IF(B145="2","Own short video + paid; hire shoot/edit + media buyer",IF(B145="3","Live selling, private traffic (community), brand; multi-channel",IF(B145="4","(aiOS addition) Owned audience: community, direct list, repeat purchase","")))))</f>
        <v/>
      </c>
      <c r="O145" s="3">
        <f>IF(A145="","",IF(N145="1","Prove scripts + sampling; don't chase ROI",IF(N145="2","Build a creator pool; test by niche/audience/deal",IF(N145="3","Rates rising: judge by ROI + retention",IF(N145="4","Long-term partners as local distributors","")))))</f>
        <v/>
      </c>
    </row>
    <row r="146">
      <c r="J146" s="3">
        <f>IF(A146="","",IF(I146="Content-commerce veteran","Mature content markets (CC: US + Southeast Asia)",IF(I146="Marketplace-only seller","US + newly opened markets (crowded mature markets punish beginners)",IF(I146="Marketplace-validated products","US + Southeast Asia: open a new channel on proven products",""))))</f>
        <v/>
      </c>
      <c r="K146" s="3">
        <f>IF(A146="","",ROUND((C146+D146+2*F146+H146)-(E146+G146)/2,1))</f>
        <v/>
      </c>
      <c r="L146" s="3">
        <f>IF(A146="","",IF(H146=0,"Rate supply fit",IF(H146&lt;3,"Fix supply first - don't enter yet","OK")))</f>
        <v/>
      </c>
      <c r="M146" s="3">
        <f>IF(A146="","",IF(B146="1","Creator outreach and seeding; hire partnerships",IF(B146="2","Own short video + paid; hire shoot/edit + media buyer",IF(B146="3","Live selling, private traffic (community), brand; multi-channel",IF(B146="4","(aiOS addition) Owned audience: community, direct list, repeat purchase","")))))</f>
        <v/>
      </c>
      <c r="O146" s="3">
        <f>IF(A146="","",IF(N146="1","Prove scripts + sampling; don't chase ROI",IF(N146="2","Build a creator pool; test by niche/audience/deal",IF(N146="3","Rates rising: judge by ROI + retention",IF(N146="4","Long-term partners as local distributors","")))))</f>
        <v/>
      </c>
    </row>
    <row r="147">
      <c r="J147" s="3">
        <f>IF(A147="","",IF(I147="Content-commerce veteran","Mature content markets (CC: US + Southeast Asia)",IF(I147="Marketplace-only seller","US + newly opened markets (crowded mature markets punish beginners)",IF(I147="Marketplace-validated products","US + Southeast Asia: open a new channel on proven products",""))))</f>
        <v/>
      </c>
      <c r="K147" s="3">
        <f>IF(A147="","",ROUND((C147+D147+2*F147+H147)-(E147+G147)/2,1))</f>
        <v/>
      </c>
      <c r="L147" s="3">
        <f>IF(A147="","",IF(H147=0,"Rate supply fit",IF(H147&lt;3,"Fix supply first - don't enter yet","OK")))</f>
        <v/>
      </c>
      <c r="M147" s="3">
        <f>IF(A147="","",IF(B147="1","Creator outreach and seeding; hire partnerships",IF(B147="2","Own short video + paid; hire shoot/edit + media buyer",IF(B147="3","Live selling, private traffic (community), brand; multi-channel",IF(B147="4","(aiOS addition) Owned audience: community, direct list, repeat purchase","")))))</f>
        <v/>
      </c>
      <c r="O147" s="3">
        <f>IF(A147="","",IF(N147="1","Prove scripts + sampling; don't chase ROI",IF(N147="2","Build a creator pool; test by niche/audience/deal",IF(N147="3","Rates rising: judge by ROI + retention",IF(N147="4","Long-term partners as local distributors","")))))</f>
        <v/>
      </c>
    </row>
    <row r="148">
      <c r="J148" s="3">
        <f>IF(A148="","",IF(I148="Content-commerce veteran","Mature content markets (CC: US + Southeast Asia)",IF(I148="Marketplace-only seller","US + newly opened markets (crowded mature markets punish beginners)",IF(I148="Marketplace-validated products","US + Southeast Asia: open a new channel on proven products",""))))</f>
        <v/>
      </c>
      <c r="K148" s="3">
        <f>IF(A148="","",ROUND((C148+D148+2*F148+H148)-(E148+G148)/2,1))</f>
        <v/>
      </c>
      <c r="L148" s="3">
        <f>IF(A148="","",IF(H148=0,"Rate supply fit",IF(H148&lt;3,"Fix supply first - don't enter yet","OK")))</f>
        <v/>
      </c>
      <c r="M148" s="3">
        <f>IF(A148="","",IF(B148="1","Creator outreach and seeding; hire partnerships",IF(B148="2","Own short video + paid; hire shoot/edit + media buyer",IF(B148="3","Live selling, private traffic (community), brand; multi-channel",IF(B148="4","(aiOS addition) Owned audience: community, direct list, repeat purchase","")))))</f>
        <v/>
      </c>
      <c r="O148" s="3">
        <f>IF(A148="","",IF(N148="1","Prove scripts + sampling; don't chase ROI",IF(N148="2","Build a creator pool; test by niche/audience/deal",IF(N148="3","Rates rising: judge by ROI + retention",IF(N148="4","Long-term partners as local distributors","")))))</f>
        <v/>
      </c>
    </row>
    <row r="149">
      <c r="J149" s="3">
        <f>IF(A149="","",IF(I149="Content-commerce veteran","Mature content markets (CC: US + Southeast Asia)",IF(I149="Marketplace-only seller","US + newly opened markets (crowded mature markets punish beginners)",IF(I149="Marketplace-validated products","US + Southeast Asia: open a new channel on proven products",""))))</f>
        <v/>
      </c>
      <c r="K149" s="3">
        <f>IF(A149="","",ROUND((C149+D149+2*F149+H149)-(E149+G149)/2,1))</f>
        <v/>
      </c>
      <c r="L149" s="3">
        <f>IF(A149="","",IF(H149=0,"Rate supply fit",IF(H149&lt;3,"Fix supply first - don't enter yet","OK")))</f>
        <v/>
      </c>
      <c r="M149" s="3">
        <f>IF(A149="","",IF(B149="1","Creator outreach and seeding; hire partnerships",IF(B149="2","Own short video + paid; hire shoot/edit + media buyer",IF(B149="3","Live selling, private traffic (community), brand; multi-channel",IF(B149="4","(aiOS addition) Owned audience: community, direct list, repeat purchase","")))))</f>
        <v/>
      </c>
      <c r="O149" s="3">
        <f>IF(A149="","",IF(N149="1","Prove scripts + sampling; don't chase ROI",IF(N149="2","Build a creator pool; test by niche/audience/deal",IF(N149="3","Rates rising: judge by ROI + retention",IF(N149="4","Long-term partners as local distributors","")))))</f>
        <v/>
      </c>
    </row>
    <row r="150">
      <c r="J150" s="3">
        <f>IF(A150="","",IF(I150="Content-commerce veteran","Mature content markets (CC: US + Southeast Asia)",IF(I150="Marketplace-only seller","US + newly opened markets (crowded mature markets punish beginners)",IF(I150="Marketplace-validated products","US + Southeast Asia: open a new channel on proven products",""))))</f>
        <v/>
      </c>
      <c r="K150" s="3">
        <f>IF(A150="","",ROUND((C150+D150+2*F150+H150)-(E150+G150)/2,1))</f>
        <v/>
      </c>
      <c r="L150" s="3">
        <f>IF(A150="","",IF(H150=0,"Rate supply fit",IF(H150&lt;3,"Fix supply first - don't enter yet","OK")))</f>
        <v/>
      </c>
      <c r="M150" s="3">
        <f>IF(A150="","",IF(B150="1","Creator outreach and seeding; hire partnerships",IF(B150="2","Own short video + paid; hire shoot/edit + media buyer",IF(B150="3","Live selling, private traffic (community), brand; multi-channel",IF(B150="4","(aiOS addition) Owned audience: community, direct list, repeat purchase","")))))</f>
        <v/>
      </c>
      <c r="O150" s="3">
        <f>IF(A150="","",IF(N150="1","Prove scripts + sampling; don't chase ROI",IF(N150="2","Build a creator pool; test by niche/audience/deal",IF(N150="3","Rates rising: judge by ROI + retention",IF(N150="4","Long-term partners as local distributors","")))))</f>
        <v/>
      </c>
    </row>
    <row r="151">
      <c r="J151" s="3">
        <f>IF(A151="","",IF(I151="Content-commerce veteran","Mature content markets (CC: US + Southeast Asia)",IF(I151="Marketplace-only seller","US + newly opened markets (crowded mature markets punish beginners)",IF(I151="Marketplace-validated products","US + Southeast Asia: open a new channel on proven products",""))))</f>
        <v/>
      </c>
      <c r="K151" s="3">
        <f>IF(A151="","",ROUND((C151+D151+2*F151+H151)-(E151+G151)/2,1))</f>
        <v/>
      </c>
      <c r="L151" s="3">
        <f>IF(A151="","",IF(H151=0,"Rate supply fit",IF(H151&lt;3,"Fix supply first - don't enter yet","OK")))</f>
        <v/>
      </c>
      <c r="M151" s="3">
        <f>IF(A151="","",IF(B151="1","Creator outreach and seeding; hire partnerships",IF(B151="2","Own short video + paid; hire shoot/edit + media buyer",IF(B151="3","Live selling, private traffic (community), brand; multi-channel",IF(B151="4","(aiOS addition) Owned audience: community, direct list, repeat purchase","")))))</f>
        <v/>
      </c>
      <c r="O151" s="3">
        <f>IF(A151="","",IF(N151="1","Prove scripts + sampling; don't chase ROI",IF(N151="2","Build a creator pool; test by niche/audience/deal",IF(N151="3","Rates rising: judge by ROI + retention",IF(N151="4","Long-term partners as local distributors","")))))</f>
        <v/>
      </c>
    </row>
    <row r="152">
      <c r="J152" s="3">
        <f>IF(A152="","",IF(I152="Content-commerce veteran","Mature content markets (CC: US + Southeast Asia)",IF(I152="Marketplace-only seller","US + newly opened markets (crowded mature markets punish beginners)",IF(I152="Marketplace-validated products","US + Southeast Asia: open a new channel on proven products",""))))</f>
        <v/>
      </c>
      <c r="K152" s="3">
        <f>IF(A152="","",ROUND((C152+D152+2*F152+H152)-(E152+G152)/2,1))</f>
        <v/>
      </c>
      <c r="L152" s="3">
        <f>IF(A152="","",IF(H152=0,"Rate supply fit",IF(H152&lt;3,"Fix supply first - don't enter yet","OK")))</f>
        <v/>
      </c>
      <c r="M152" s="3">
        <f>IF(A152="","",IF(B152="1","Creator outreach and seeding; hire partnerships",IF(B152="2","Own short video + paid; hire shoot/edit + media buyer",IF(B152="3","Live selling, private traffic (community), brand; multi-channel",IF(B152="4","(aiOS addition) Owned audience: community, direct list, repeat purchase","")))))</f>
        <v/>
      </c>
      <c r="O152" s="3">
        <f>IF(A152="","",IF(N152="1","Prove scripts + sampling; don't chase ROI",IF(N152="2","Build a creator pool; test by niche/audience/deal",IF(N152="3","Rates rising: judge by ROI + retention",IF(N152="4","Long-term partners as local distributors","")))))</f>
        <v/>
      </c>
    </row>
    <row r="153">
      <c r="J153" s="3">
        <f>IF(A153="","",IF(I153="Content-commerce veteran","Mature content markets (CC: US + Southeast Asia)",IF(I153="Marketplace-only seller","US + newly opened markets (crowded mature markets punish beginners)",IF(I153="Marketplace-validated products","US + Southeast Asia: open a new channel on proven products",""))))</f>
        <v/>
      </c>
      <c r="K153" s="3">
        <f>IF(A153="","",ROUND((C153+D153+2*F153+H153)-(E153+G153)/2,1))</f>
        <v/>
      </c>
      <c r="L153" s="3">
        <f>IF(A153="","",IF(H153=0,"Rate supply fit",IF(H153&lt;3,"Fix supply first - don't enter yet","OK")))</f>
        <v/>
      </c>
      <c r="M153" s="3">
        <f>IF(A153="","",IF(B153="1","Creator outreach and seeding; hire partnerships",IF(B153="2","Own short video + paid; hire shoot/edit + media buyer",IF(B153="3","Live selling, private traffic (community), brand; multi-channel",IF(B153="4","(aiOS addition) Owned audience: community, direct list, repeat purchase","")))))</f>
        <v/>
      </c>
      <c r="O153" s="3">
        <f>IF(A153="","",IF(N153="1","Prove scripts + sampling; don't chase ROI",IF(N153="2","Build a creator pool; test by niche/audience/deal",IF(N153="3","Rates rising: judge by ROI + retention",IF(N153="4","Long-term partners as local distributors","")))))</f>
        <v/>
      </c>
    </row>
    <row r="154">
      <c r="J154" s="3">
        <f>IF(A154="","",IF(I154="Content-commerce veteran","Mature content markets (CC: US + Southeast Asia)",IF(I154="Marketplace-only seller","US + newly opened markets (crowded mature markets punish beginners)",IF(I154="Marketplace-validated products","US + Southeast Asia: open a new channel on proven products",""))))</f>
        <v/>
      </c>
      <c r="K154" s="3">
        <f>IF(A154="","",ROUND((C154+D154+2*F154+H154)-(E154+G154)/2,1))</f>
        <v/>
      </c>
      <c r="L154" s="3">
        <f>IF(A154="","",IF(H154=0,"Rate supply fit",IF(H154&lt;3,"Fix supply first - don't enter yet","OK")))</f>
        <v/>
      </c>
      <c r="M154" s="3">
        <f>IF(A154="","",IF(B154="1","Creator outreach and seeding; hire partnerships",IF(B154="2","Own short video + paid; hire shoot/edit + media buyer",IF(B154="3","Live selling, private traffic (community), brand; multi-channel",IF(B154="4","(aiOS addition) Owned audience: community, direct list, repeat purchase","")))))</f>
        <v/>
      </c>
      <c r="O154" s="3">
        <f>IF(A154="","",IF(N154="1","Prove scripts + sampling; don't chase ROI",IF(N154="2","Build a creator pool; test by niche/audience/deal",IF(N154="3","Rates rising: judge by ROI + retention",IF(N154="4","Long-term partners as local distributors","")))))</f>
        <v/>
      </c>
    </row>
    <row r="155">
      <c r="J155" s="3">
        <f>IF(A155="","",IF(I155="Content-commerce veteran","Mature content markets (CC: US + Southeast Asia)",IF(I155="Marketplace-only seller","US + newly opened markets (crowded mature markets punish beginners)",IF(I155="Marketplace-validated products","US + Southeast Asia: open a new channel on proven products",""))))</f>
        <v/>
      </c>
      <c r="K155" s="3">
        <f>IF(A155="","",ROUND((C155+D155+2*F155+H155)-(E155+G155)/2,1))</f>
        <v/>
      </c>
      <c r="L155" s="3">
        <f>IF(A155="","",IF(H155=0,"Rate supply fit",IF(H155&lt;3,"Fix supply first - don't enter yet","OK")))</f>
        <v/>
      </c>
      <c r="M155" s="3">
        <f>IF(A155="","",IF(B155="1","Creator outreach and seeding; hire partnerships",IF(B155="2","Own short video + paid; hire shoot/edit + media buyer",IF(B155="3","Live selling, private traffic (community), brand; multi-channel",IF(B155="4","(aiOS addition) Owned audience: community, direct list, repeat purchase","")))))</f>
        <v/>
      </c>
      <c r="O155" s="3">
        <f>IF(A155="","",IF(N155="1","Prove scripts + sampling; don't chase ROI",IF(N155="2","Build a creator pool; test by niche/audience/deal",IF(N155="3","Rates rising: judge by ROI + retention",IF(N155="4","Long-term partners as local distributors","")))))</f>
        <v/>
      </c>
    </row>
    <row r="156">
      <c r="J156" s="3">
        <f>IF(A156="","",IF(I156="Content-commerce veteran","Mature content markets (CC: US + Southeast Asia)",IF(I156="Marketplace-only seller","US + newly opened markets (crowded mature markets punish beginners)",IF(I156="Marketplace-validated products","US + Southeast Asia: open a new channel on proven products",""))))</f>
        <v/>
      </c>
      <c r="K156" s="3">
        <f>IF(A156="","",ROUND((C156+D156+2*F156+H156)-(E156+G156)/2,1))</f>
        <v/>
      </c>
      <c r="L156" s="3">
        <f>IF(A156="","",IF(H156=0,"Rate supply fit",IF(H156&lt;3,"Fix supply first - don't enter yet","OK")))</f>
        <v/>
      </c>
      <c r="M156" s="3">
        <f>IF(A156="","",IF(B156="1","Creator outreach and seeding; hire partnerships",IF(B156="2","Own short video + paid; hire shoot/edit + media buyer",IF(B156="3","Live selling, private traffic (community), brand; multi-channel",IF(B156="4","(aiOS addition) Owned audience: community, direct list, repeat purchase","")))))</f>
        <v/>
      </c>
      <c r="O156" s="3">
        <f>IF(A156="","",IF(N156="1","Prove scripts + sampling; don't chase ROI",IF(N156="2","Build a creator pool; test by niche/audience/deal",IF(N156="3","Rates rising: judge by ROI + retention",IF(N156="4","Long-term partners as local distributors","")))))</f>
        <v/>
      </c>
    </row>
    <row r="157">
      <c r="J157" s="3">
        <f>IF(A157="","",IF(I157="Content-commerce veteran","Mature content markets (CC: US + Southeast Asia)",IF(I157="Marketplace-only seller","US + newly opened markets (crowded mature markets punish beginners)",IF(I157="Marketplace-validated products","US + Southeast Asia: open a new channel on proven products",""))))</f>
        <v/>
      </c>
      <c r="K157" s="3">
        <f>IF(A157="","",ROUND((C157+D157+2*F157+H157)-(E157+G157)/2,1))</f>
        <v/>
      </c>
      <c r="L157" s="3">
        <f>IF(A157="","",IF(H157=0,"Rate supply fit",IF(H157&lt;3,"Fix supply first - don't enter yet","OK")))</f>
        <v/>
      </c>
      <c r="M157" s="3">
        <f>IF(A157="","",IF(B157="1","Creator outreach and seeding; hire partnerships",IF(B157="2","Own short video + paid; hire shoot/edit + media buyer",IF(B157="3","Live selling, private traffic (community), brand; multi-channel",IF(B157="4","(aiOS addition) Owned audience: community, direct list, repeat purchase","")))))</f>
        <v/>
      </c>
      <c r="O157" s="3">
        <f>IF(A157="","",IF(N157="1","Prove scripts + sampling; don't chase ROI",IF(N157="2","Build a creator pool; test by niche/audience/deal",IF(N157="3","Rates rising: judge by ROI + retention",IF(N157="4","Long-term partners as local distributors","")))))</f>
        <v/>
      </c>
    </row>
    <row r="158">
      <c r="J158" s="3">
        <f>IF(A158="","",IF(I158="Content-commerce veteran","Mature content markets (CC: US + Southeast Asia)",IF(I158="Marketplace-only seller","US + newly opened markets (crowded mature markets punish beginners)",IF(I158="Marketplace-validated products","US + Southeast Asia: open a new channel on proven products",""))))</f>
        <v/>
      </c>
      <c r="K158" s="3">
        <f>IF(A158="","",ROUND((C158+D158+2*F158+H158)-(E158+G158)/2,1))</f>
        <v/>
      </c>
      <c r="L158" s="3">
        <f>IF(A158="","",IF(H158=0,"Rate supply fit",IF(H158&lt;3,"Fix supply first - don't enter yet","OK")))</f>
        <v/>
      </c>
      <c r="M158" s="3">
        <f>IF(A158="","",IF(B158="1","Creator outreach and seeding; hire partnerships",IF(B158="2","Own short video + paid; hire shoot/edit + media buyer",IF(B158="3","Live selling, private traffic (community), brand; multi-channel",IF(B158="4","(aiOS addition) Owned audience: community, direct list, repeat purchase","")))))</f>
        <v/>
      </c>
      <c r="O158" s="3">
        <f>IF(A158="","",IF(N158="1","Prove scripts + sampling; don't chase ROI",IF(N158="2","Build a creator pool; test by niche/audience/deal",IF(N158="3","Rates rising: judge by ROI + retention",IF(N158="4","Long-term partners as local distributors","")))))</f>
        <v/>
      </c>
    </row>
    <row r="159">
      <c r="J159" s="3">
        <f>IF(A159="","",IF(I159="Content-commerce veteran","Mature content markets (CC: US + Southeast Asia)",IF(I159="Marketplace-only seller","US + newly opened markets (crowded mature markets punish beginners)",IF(I159="Marketplace-validated products","US + Southeast Asia: open a new channel on proven products",""))))</f>
        <v/>
      </c>
      <c r="K159" s="3">
        <f>IF(A159="","",ROUND((C159+D159+2*F159+H159)-(E159+G159)/2,1))</f>
        <v/>
      </c>
      <c r="L159" s="3">
        <f>IF(A159="","",IF(H159=0,"Rate supply fit",IF(H159&lt;3,"Fix supply first - don't enter yet","OK")))</f>
        <v/>
      </c>
      <c r="M159" s="3">
        <f>IF(A159="","",IF(B159="1","Creator outreach and seeding; hire partnerships",IF(B159="2","Own short video + paid; hire shoot/edit + media buyer",IF(B159="3","Live selling, private traffic (community), brand; multi-channel",IF(B159="4","(aiOS addition) Owned audience: community, direct list, repeat purchase","")))))</f>
        <v/>
      </c>
      <c r="O159" s="3">
        <f>IF(A159="","",IF(N159="1","Prove scripts + sampling; don't chase ROI",IF(N159="2","Build a creator pool; test by niche/audience/deal",IF(N159="3","Rates rising: judge by ROI + retention",IF(N159="4","Long-term partners as local distributors","")))))</f>
        <v/>
      </c>
    </row>
    <row r="160">
      <c r="J160" s="3">
        <f>IF(A160="","",IF(I160="Content-commerce veteran","Mature content markets (CC: US + Southeast Asia)",IF(I160="Marketplace-only seller","US + newly opened markets (crowded mature markets punish beginners)",IF(I160="Marketplace-validated products","US + Southeast Asia: open a new channel on proven products",""))))</f>
        <v/>
      </c>
      <c r="K160" s="3">
        <f>IF(A160="","",ROUND((C160+D160+2*F160+H160)-(E160+G160)/2,1))</f>
        <v/>
      </c>
      <c r="L160" s="3">
        <f>IF(A160="","",IF(H160=0,"Rate supply fit",IF(H160&lt;3,"Fix supply first - don't enter yet","OK")))</f>
        <v/>
      </c>
      <c r="M160" s="3">
        <f>IF(A160="","",IF(B160="1","Creator outreach and seeding; hire partnerships",IF(B160="2","Own short video + paid; hire shoot/edit + media buyer",IF(B160="3","Live selling, private traffic (community), brand; multi-channel",IF(B160="4","(aiOS addition) Owned audience: community, direct list, repeat purchase","")))))</f>
        <v/>
      </c>
      <c r="O160" s="3">
        <f>IF(A160="","",IF(N160="1","Prove scripts + sampling; don't chase ROI",IF(N160="2","Build a creator pool; test by niche/audience/deal",IF(N160="3","Rates rising: judge by ROI + retention",IF(N160="4","Long-term partners as local distributors","")))))</f>
        <v/>
      </c>
    </row>
    <row r="161">
      <c r="J161" s="3">
        <f>IF(A161="","",IF(I161="Content-commerce veteran","Mature content markets (CC: US + Southeast Asia)",IF(I161="Marketplace-only seller","US + newly opened markets (crowded mature markets punish beginners)",IF(I161="Marketplace-validated products","US + Southeast Asia: open a new channel on proven products",""))))</f>
        <v/>
      </c>
      <c r="K161" s="3">
        <f>IF(A161="","",ROUND((C161+D161+2*F161+H161)-(E161+G161)/2,1))</f>
        <v/>
      </c>
      <c r="L161" s="3">
        <f>IF(A161="","",IF(H161=0,"Rate supply fit",IF(H161&lt;3,"Fix supply first - don't enter yet","OK")))</f>
        <v/>
      </c>
      <c r="M161" s="3">
        <f>IF(A161="","",IF(B161="1","Creator outreach and seeding; hire partnerships",IF(B161="2","Own short video + paid; hire shoot/edit + media buyer",IF(B161="3","Live selling, private traffic (community), brand; multi-channel",IF(B161="4","(aiOS addition) Owned audience: community, direct list, repeat purchase","")))))</f>
        <v/>
      </c>
      <c r="O161" s="3">
        <f>IF(A161="","",IF(N161="1","Prove scripts + sampling; don't chase ROI",IF(N161="2","Build a creator pool; test by niche/audience/deal",IF(N161="3","Rates rising: judge by ROI + retention",IF(N161="4","Long-term partners as local distributors","")))))</f>
        <v/>
      </c>
    </row>
    <row r="162">
      <c r="J162" s="3">
        <f>IF(A162="","",IF(I162="Content-commerce veteran","Mature content markets (CC: US + Southeast Asia)",IF(I162="Marketplace-only seller","US + newly opened markets (crowded mature markets punish beginners)",IF(I162="Marketplace-validated products","US + Southeast Asia: open a new channel on proven products",""))))</f>
        <v/>
      </c>
      <c r="K162" s="3">
        <f>IF(A162="","",ROUND((C162+D162+2*F162+H162)-(E162+G162)/2,1))</f>
        <v/>
      </c>
      <c r="L162" s="3">
        <f>IF(A162="","",IF(H162=0,"Rate supply fit",IF(H162&lt;3,"Fix supply first - don't enter yet","OK")))</f>
        <v/>
      </c>
      <c r="M162" s="3">
        <f>IF(A162="","",IF(B162="1","Creator outreach and seeding; hire partnerships",IF(B162="2","Own short video + paid; hire shoot/edit + media buyer",IF(B162="3","Live selling, private traffic (community), brand; multi-channel",IF(B162="4","(aiOS addition) Owned audience: community, direct list, repeat purchase","")))))</f>
        <v/>
      </c>
      <c r="O162" s="3">
        <f>IF(A162="","",IF(N162="1","Prove scripts + sampling; don't chase ROI",IF(N162="2","Build a creator pool; test by niche/audience/deal",IF(N162="3","Rates rising: judge by ROI + retention",IF(N162="4","Long-term partners as local distributors","")))))</f>
        <v/>
      </c>
    </row>
    <row r="163">
      <c r="J163" s="3">
        <f>IF(A163="","",IF(I163="Content-commerce veteran","Mature content markets (CC: US + Southeast Asia)",IF(I163="Marketplace-only seller","US + newly opened markets (crowded mature markets punish beginners)",IF(I163="Marketplace-validated products","US + Southeast Asia: open a new channel on proven products",""))))</f>
        <v/>
      </c>
      <c r="K163" s="3">
        <f>IF(A163="","",ROUND((C163+D163+2*F163+H163)-(E163+G163)/2,1))</f>
        <v/>
      </c>
      <c r="L163" s="3">
        <f>IF(A163="","",IF(H163=0,"Rate supply fit",IF(H163&lt;3,"Fix supply first - don't enter yet","OK")))</f>
        <v/>
      </c>
      <c r="M163" s="3">
        <f>IF(A163="","",IF(B163="1","Creator outreach and seeding; hire partnerships",IF(B163="2","Own short video + paid; hire shoot/edit + media buyer",IF(B163="3","Live selling, private traffic (community), brand; multi-channel",IF(B163="4","(aiOS addition) Owned audience: community, direct list, repeat purchase","")))))</f>
        <v/>
      </c>
      <c r="O163" s="3">
        <f>IF(A163="","",IF(N163="1","Prove scripts + sampling; don't chase ROI",IF(N163="2","Build a creator pool; test by niche/audience/deal",IF(N163="3","Rates rising: judge by ROI + retention",IF(N163="4","Long-term partners as local distributors","")))))</f>
        <v/>
      </c>
    </row>
    <row r="164">
      <c r="J164" s="3">
        <f>IF(A164="","",IF(I164="Content-commerce veteran","Mature content markets (CC: US + Southeast Asia)",IF(I164="Marketplace-only seller","US + newly opened markets (crowded mature markets punish beginners)",IF(I164="Marketplace-validated products","US + Southeast Asia: open a new channel on proven products",""))))</f>
        <v/>
      </c>
      <c r="K164" s="3">
        <f>IF(A164="","",ROUND((C164+D164+2*F164+H164)-(E164+G164)/2,1))</f>
        <v/>
      </c>
      <c r="L164" s="3">
        <f>IF(A164="","",IF(H164=0,"Rate supply fit",IF(H164&lt;3,"Fix supply first - don't enter yet","OK")))</f>
        <v/>
      </c>
      <c r="M164" s="3">
        <f>IF(A164="","",IF(B164="1","Creator outreach and seeding; hire partnerships",IF(B164="2","Own short video + paid; hire shoot/edit + media buyer",IF(B164="3","Live selling, private traffic (community), brand; multi-channel",IF(B164="4","(aiOS addition) Owned audience: community, direct list, repeat purchase","")))))</f>
        <v/>
      </c>
      <c r="O164" s="3">
        <f>IF(A164="","",IF(N164="1","Prove scripts + sampling; don't chase ROI",IF(N164="2","Build a creator pool; test by niche/audience/deal",IF(N164="3","Rates rising: judge by ROI + retention",IF(N164="4","Long-term partners as local distributors","")))))</f>
        <v/>
      </c>
    </row>
    <row r="165">
      <c r="J165" s="3">
        <f>IF(A165="","",IF(I165="Content-commerce veteran","Mature content markets (CC: US + Southeast Asia)",IF(I165="Marketplace-only seller","US + newly opened markets (crowded mature markets punish beginners)",IF(I165="Marketplace-validated products","US + Southeast Asia: open a new channel on proven products",""))))</f>
        <v/>
      </c>
      <c r="K165" s="3">
        <f>IF(A165="","",ROUND((C165+D165+2*F165+H165)-(E165+G165)/2,1))</f>
        <v/>
      </c>
      <c r="L165" s="3">
        <f>IF(A165="","",IF(H165=0,"Rate supply fit",IF(H165&lt;3,"Fix supply first - don't enter yet","OK")))</f>
        <v/>
      </c>
      <c r="M165" s="3">
        <f>IF(A165="","",IF(B165="1","Creator outreach and seeding; hire partnerships",IF(B165="2","Own short video + paid; hire shoot/edit + media buyer",IF(B165="3","Live selling, private traffic (community), brand; multi-channel",IF(B165="4","(aiOS addition) Owned audience: community, direct list, repeat purchase","")))))</f>
        <v/>
      </c>
      <c r="O165" s="3">
        <f>IF(A165="","",IF(N165="1","Prove scripts + sampling; don't chase ROI",IF(N165="2","Build a creator pool; test by niche/audience/deal",IF(N165="3","Rates rising: judge by ROI + retention",IF(N165="4","Long-term partners as local distributors","")))))</f>
        <v/>
      </c>
    </row>
    <row r="166">
      <c r="J166" s="3">
        <f>IF(A166="","",IF(I166="Content-commerce veteran","Mature content markets (CC: US + Southeast Asia)",IF(I166="Marketplace-only seller","US + newly opened markets (crowded mature markets punish beginners)",IF(I166="Marketplace-validated products","US + Southeast Asia: open a new channel on proven products",""))))</f>
        <v/>
      </c>
      <c r="K166" s="3">
        <f>IF(A166="","",ROUND((C166+D166+2*F166+H166)-(E166+G166)/2,1))</f>
        <v/>
      </c>
      <c r="L166" s="3">
        <f>IF(A166="","",IF(H166=0,"Rate supply fit",IF(H166&lt;3,"Fix supply first - don't enter yet","OK")))</f>
        <v/>
      </c>
      <c r="M166" s="3">
        <f>IF(A166="","",IF(B166="1","Creator outreach and seeding; hire partnerships",IF(B166="2","Own short video + paid; hire shoot/edit + media buyer",IF(B166="3","Live selling, private traffic (community), brand; multi-channel",IF(B166="4","(aiOS addition) Owned audience: community, direct list, repeat purchase","")))))</f>
        <v/>
      </c>
      <c r="O166" s="3">
        <f>IF(A166="","",IF(N166="1","Prove scripts + sampling; don't chase ROI",IF(N166="2","Build a creator pool; test by niche/audience/deal",IF(N166="3","Rates rising: judge by ROI + retention",IF(N166="4","Long-term partners as local distributors","")))))</f>
        <v/>
      </c>
    </row>
    <row r="167">
      <c r="J167" s="3">
        <f>IF(A167="","",IF(I167="Content-commerce veteran","Mature content markets (CC: US + Southeast Asia)",IF(I167="Marketplace-only seller","US + newly opened markets (crowded mature markets punish beginners)",IF(I167="Marketplace-validated products","US + Southeast Asia: open a new channel on proven products",""))))</f>
        <v/>
      </c>
      <c r="K167" s="3">
        <f>IF(A167="","",ROUND((C167+D167+2*F167+H167)-(E167+G167)/2,1))</f>
        <v/>
      </c>
      <c r="L167" s="3">
        <f>IF(A167="","",IF(H167=0,"Rate supply fit",IF(H167&lt;3,"Fix supply first - don't enter yet","OK")))</f>
        <v/>
      </c>
      <c r="M167" s="3">
        <f>IF(A167="","",IF(B167="1","Creator outreach and seeding; hire partnerships",IF(B167="2","Own short video + paid; hire shoot/edit + media buyer",IF(B167="3","Live selling, private traffic (community), brand; multi-channel",IF(B167="4","(aiOS addition) Owned audience: community, direct list, repeat purchase","")))))</f>
        <v/>
      </c>
      <c r="O167" s="3">
        <f>IF(A167="","",IF(N167="1","Prove scripts + sampling; don't chase ROI",IF(N167="2","Build a creator pool; test by niche/audience/deal",IF(N167="3","Rates rising: judge by ROI + retention",IF(N167="4","Long-term partners as local distributors","")))))</f>
        <v/>
      </c>
    </row>
    <row r="168">
      <c r="J168" s="3">
        <f>IF(A168="","",IF(I168="Content-commerce veteran","Mature content markets (CC: US + Southeast Asia)",IF(I168="Marketplace-only seller","US + newly opened markets (crowded mature markets punish beginners)",IF(I168="Marketplace-validated products","US + Southeast Asia: open a new channel on proven products",""))))</f>
        <v/>
      </c>
      <c r="K168" s="3">
        <f>IF(A168="","",ROUND((C168+D168+2*F168+H168)-(E168+G168)/2,1))</f>
        <v/>
      </c>
      <c r="L168" s="3">
        <f>IF(A168="","",IF(H168=0,"Rate supply fit",IF(H168&lt;3,"Fix supply first - don't enter yet","OK")))</f>
        <v/>
      </c>
      <c r="M168" s="3">
        <f>IF(A168="","",IF(B168="1","Creator outreach and seeding; hire partnerships",IF(B168="2","Own short video + paid; hire shoot/edit + media buyer",IF(B168="3","Live selling, private traffic (community), brand; multi-channel",IF(B168="4","(aiOS addition) Owned audience: community, direct list, repeat purchase","")))))</f>
        <v/>
      </c>
      <c r="O168" s="3">
        <f>IF(A168="","",IF(N168="1","Prove scripts + sampling; don't chase ROI",IF(N168="2","Build a creator pool; test by niche/audience/deal",IF(N168="3","Rates rising: judge by ROI + retention",IF(N168="4","Long-term partners as local distributors","")))))</f>
        <v/>
      </c>
    </row>
    <row r="169">
      <c r="J169" s="3">
        <f>IF(A169="","",IF(I169="Content-commerce veteran","Mature content markets (CC: US + Southeast Asia)",IF(I169="Marketplace-only seller","US + newly opened markets (crowded mature markets punish beginners)",IF(I169="Marketplace-validated products","US + Southeast Asia: open a new channel on proven products",""))))</f>
        <v/>
      </c>
      <c r="K169" s="3">
        <f>IF(A169="","",ROUND((C169+D169+2*F169+H169)-(E169+G169)/2,1))</f>
        <v/>
      </c>
      <c r="L169" s="3">
        <f>IF(A169="","",IF(H169=0,"Rate supply fit",IF(H169&lt;3,"Fix supply first - don't enter yet","OK")))</f>
        <v/>
      </c>
      <c r="M169" s="3">
        <f>IF(A169="","",IF(B169="1","Creator outreach and seeding; hire partnerships",IF(B169="2","Own short video + paid; hire shoot/edit + media buyer",IF(B169="3","Live selling, private traffic (community), brand; multi-channel",IF(B169="4","(aiOS addition) Owned audience: community, direct list, repeat purchase","")))))</f>
        <v/>
      </c>
      <c r="O169" s="3">
        <f>IF(A169="","",IF(N169="1","Prove scripts + sampling; don't chase ROI",IF(N169="2","Build a creator pool; test by niche/audience/deal",IF(N169="3","Rates rising: judge by ROI + retention",IF(N169="4","Long-term partners as local distributors","")))))</f>
        <v/>
      </c>
    </row>
    <row r="170">
      <c r="J170" s="3">
        <f>IF(A170="","",IF(I170="Content-commerce veteran","Mature content markets (CC: US + Southeast Asia)",IF(I170="Marketplace-only seller","US + newly opened markets (crowded mature markets punish beginners)",IF(I170="Marketplace-validated products","US + Southeast Asia: open a new channel on proven products",""))))</f>
        <v/>
      </c>
      <c r="K170" s="3">
        <f>IF(A170="","",ROUND((C170+D170+2*F170+H170)-(E170+G170)/2,1))</f>
        <v/>
      </c>
      <c r="L170" s="3">
        <f>IF(A170="","",IF(H170=0,"Rate supply fit",IF(H170&lt;3,"Fix supply first - don't enter yet","OK")))</f>
        <v/>
      </c>
      <c r="M170" s="3">
        <f>IF(A170="","",IF(B170="1","Creator outreach and seeding; hire partnerships",IF(B170="2","Own short video + paid; hire shoot/edit + media buyer",IF(B170="3","Live selling, private traffic (community), brand; multi-channel",IF(B170="4","(aiOS addition) Owned audience: community, direct list, repeat purchase","")))))</f>
        <v/>
      </c>
      <c r="O170" s="3">
        <f>IF(A170="","",IF(N170="1","Prove scripts + sampling; don't chase ROI",IF(N170="2","Build a creator pool; test by niche/audience/deal",IF(N170="3","Rates rising: judge by ROI + retention",IF(N170="4","Long-term partners as local distributors","")))))</f>
        <v/>
      </c>
    </row>
    <row r="171">
      <c r="J171" s="3">
        <f>IF(A171="","",IF(I171="Content-commerce veteran","Mature content markets (CC: US + Southeast Asia)",IF(I171="Marketplace-only seller","US + newly opened markets (crowded mature markets punish beginners)",IF(I171="Marketplace-validated products","US + Southeast Asia: open a new channel on proven products",""))))</f>
        <v/>
      </c>
      <c r="K171" s="3">
        <f>IF(A171="","",ROUND((C171+D171+2*F171+H171)-(E171+G171)/2,1))</f>
        <v/>
      </c>
      <c r="L171" s="3">
        <f>IF(A171="","",IF(H171=0,"Rate supply fit",IF(H171&lt;3,"Fix supply first - don't enter yet","OK")))</f>
        <v/>
      </c>
      <c r="M171" s="3">
        <f>IF(A171="","",IF(B171="1","Creator outreach and seeding; hire partnerships",IF(B171="2","Own short video + paid; hire shoot/edit + media buyer",IF(B171="3","Live selling, private traffic (community), brand; multi-channel",IF(B171="4","(aiOS addition) Owned audience: community, direct list, repeat purchase","")))))</f>
        <v/>
      </c>
      <c r="O171" s="3">
        <f>IF(A171="","",IF(N171="1","Prove scripts + sampling; don't chase ROI",IF(N171="2","Build a creator pool; test by niche/audience/deal",IF(N171="3","Rates rising: judge by ROI + retention",IF(N171="4","Long-term partners as local distributors","")))))</f>
        <v/>
      </c>
    </row>
    <row r="172">
      <c r="J172" s="3">
        <f>IF(A172="","",IF(I172="Content-commerce veteran","Mature content markets (CC: US + Southeast Asia)",IF(I172="Marketplace-only seller","US + newly opened markets (crowded mature markets punish beginners)",IF(I172="Marketplace-validated products","US + Southeast Asia: open a new channel on proven products",""))))</f>
        <v/>
      </c>
      <c r="K172" s="3">
        <f>IF(A172="","",ROUND((C172+D172+2*F172+H172)-(E172+G172)/2,1))</f>
        <v/>
      </c>
      <c r="L172" s="3">
        <f>IF(A172="","",IF(H172=0,"Rate supply fit",IF(H172&lt;3,"Fix supply first - don't enter yet","OK")))</f>
        <v/>
      </c>
      <c r="M172" s="3">
        <f>IF(A172="","",IF(B172="1","Creator outreach and seeding; hire partnerships",IF(B172="2","Own short video + paid; hire shoot/edit + media buyer",IF(B172="3","Live selling, private traffic (community), brand; multi-channel",IF(B172="4","(aiOS addition) Owned audience: community, direct list, repeat purchase","")))))</f>
        <v/>
      </c>
      <c r="O172" s="3">
        <f>IF(A172="","",IF(N172="1","Prove scripts + sampling; don't chase ROI",IF(N172="2","Build a creator pool; test by niche/audience/deal",IF(N172="3","Rates rising: judge by ROI + retention",IF(N172="4","Long-term partners as local distributors","")))))</f>
        <v/>
      </c>
    </row>
    <row r="173">
      <c r="J173" s="3">
        <f>IF(A173="","",IF(I173="Content-commerce veteran","Mature content markets (CC: US + Southeast Asia)",IF(I173="Marketplace-only seller","US + newly opened markets (crowded mature markets punish beginners)",IF(I173="Marketplace-validated products","US + Southeast Asia: open a new channel on proven products",""))))</f>
        <v/>
      </c>
      <c r="K173" s="3">
        <f>IF(A173="","",ROUND((C173+D173+2*F173+H173)-(E173+G173)/2,1))</f>
        <v/>
      </c>
      <c r="L173" s="3">
        <f>IF(A173="","",IF(H173=0,"Rate supply fit",IF(H173&lt;3,"Fix supply first - don't enter yet","OK")))</f>
        <v/>
      </c>
      <c r="M173" s="3">
        <f>IF(A173="","",IF(B173="1","Creator outreach and seeding; hire partnerships",IF(B173="2","Own short video + paid; hire shoot/edit + media buyer",IF(B173="3","Live selling, private traffic (community), brand; multi-channel",IF(B173="4","(aiOS addition) Owned audience: community, direct list, repeat purchase","")))))</f>
        <v/>
      </c>
      <c r="O173" s="3">
        <f>IF(A173="","",IF(N173="1","Prove scripts + sampling; don't chase ROI",IF(N173="2","Build a creator pool; test by niche/audience/deal",IF(N173="3","Rates rising: judge by ROI + retention",IF(N173="4","Long-term partners as local distributors","")))))</f>
        <v/>
      </c>
    </row>
    <row r="174">
      <c r="J174" s="3">
        <f>IF(A174="","",IF(I174="Content-commerce veteran","Mature content markets (CC: US + Southeast Asia)",IF(I174="Marketplace-only seller","US + newly opened markets (crowded mature markets punish beginners)",IF(I174="Marketplace-validated products","US + Southeast Asia: open a new channel on proven products",""))))</f>
        <v/>
      </c>
      <c r="K174" s="3">
        <f>IF(A174="","",ROUND((C174+D174+2*F174+H174)-(E174+G174)/2,1))</f>
        <v/>
      </c>
      <c r="L174" s="3">
        <f>IF(A174="","",IF(H174=0,"Rate supply fit",IF(H174&lt;3,"Fix supply first - don't enter yet","OK")))</f>
        <v/>
      </c>
      <c r="M174" s="3">
        <f>IF(A174="","",IF(B174="1","Creator outreach and seeding; hire partnerships",IF(B174="2","Own short video + paid; hire shoot/edit + media buyer",IF(B174="3","Live selling, private traffic (community), brand; multi-channel",IF(B174="4","(aiOS addition) Owned audience: community, direct list, repeat purchase","")))))</f>
        <v/>
      </c>
      <c r="O174" s="3">
        <f>IF(A174="","",IF(N174="1","Prove scripts + sampling; don't chase ROI",IF(N174="2","Build a creator pool; test by niche/audience/deal",IF(N174="3","Rates rising: judge by ROI + retention",IF(N174="4","Long-term partners as local distributors","")))))</f>
        <v/>
      </c>
    </row>
    <row r="175">
      <c r="J175" s="3">
        <f>IF(A175="","",IF(I175="Content-commerce veteran","Mature content markets (CC: US + Southeast Asia)",IF(I175="Marketplace-only seller","US + newly opened markets (crowded mature markets punish beginners)",IF(I175="Marketplace-validated products","US + Southeast Asia: open a new channel on proven products",""))))</f>
        <v/>
      </c>
      <c r="K175" s="3">
        <f>IF(A175="","",ROUND((C175+D175+2*F175+H175)-(E175+G175)/2,1))</f>
        <v/>
      </c>
      <c r="L175" s="3">
        <f>IF(A175="","",IF(H175=0,"Rate supply fit",IF(H175&lt;3,"Fix supply first - don't enter yet","OK")))</f>
        <v/>
      </c>
      <c r="M175" s="3">
        <f>IF(A175="","",IF(B175="1","Creator outreach and seeding; hire partnerships",IF(B175="2","Own short video + paid; hire shoot/edit + media buyer",IF(B175="3","Live selling, private traffic (community), brand; multi-channel",IF(B175="4","(aiOS addition) Owned audience: community, direct list, repeat purchase","")))))</f>
        <v/>
      </c>
      <c r="O175" s="3">
        <f>IF(A175="","",IF(N175="1","Prove scripts + sampling; don't chase ROI",IF(N175="2","Build a creator pool; test by niche/audience/deal",IF(N175="3","Rates rising: judge by ROI + retention",IF(N175="4","Long-term partners as local distributors","")))))</f>
        <v/>
      </c>
    </row>
    <row r="176">
      <c r="J176" s="3">
        <f>IF(A176="","",IF(I176="Content-commerce veteran","Mature content markets (CC: US + Southeast Asia)",IF(I176="Marketplace-only seller","US + newly opened markets (crowded mature markets punish beginners)",IF(I176="Marketplace-validated products","US + Southeast Asia: open a new channel on proven products",""))))</f>
        <v/>
      </c>
      <c r="K176" s="3">
        <f>IF(A176="","",ROUND((C176+D176+2*F176+H176)-(E176+G176)/2,1))</f>
        <v/>
      </c>
      <c r="L176" s="3">
        <f>IF(A176="","",IF(H176=0,"Rate supply fit",IF(H176&lt;3,"Fix supply first - don't enter yet","OK")))</f>
        <v/>
      </c>
      <c r="M176" s="3">
        <f>IF(A176="","",IF(B176="1","Creator outreach and seeding; hire partnerships",IF(B176="2","Own short video + paid; hire shoot/edit + media buyer",IF(B176="3","Live selling, private traffic (community), brand; multi-channel",IF(B176="4","(aiOS addition) Owned audience: community, direct list, repeat purchase","")))))</f>
        <v/>
      </c>
      <c r="O176" s="3">
        <f>IF(A176="","",IF(N176="1","Prove scripts + sampling; don't chase ROI",IF(N176="2","Build a creator pool; test by niche/audience/deal",IF(N176="3","Rates rising: judge by ROI + retention",IF(N176="4","Long-term partners as local distributors","")))))</f>
        <v/>
      </c>
    </row>
    <row r="177">
      <c r="J177" s="3">
        <f>IF(A177="","",IF(I177="Content-commerce veteran","Mature content markets (CC: US + Southeast Asia)",IF(I177="Marketplace-only seller","US + newly opened markets (crowded mature markets punish beginners)",IF(I177="Marketplace-validated products","US + Southeast Asia: open a new channel on proven products",""))))</f>
        <v/>
      </c>
      <c r="K177" s="3">
        <f>IF(A177="","",ROUND((C177+D177+2*F177+H177)-(E177+G177)/2,1))</f>
        <v/>
      </c>
      <c r="L177" s="3">
        <f>IF(A177="","",IF(H177=0,"Rate supply fit",IF(H177&lt;3,"Fix supply first - don't enter yet","OK")))</f>
        <v/>
      </c>
      <c r="M177" s="3">
        <f>IF(A177="","",IF(B177="1","Creator outreach and seeding; hire partnerships",IF(B177="2","Own short video + paid; hire shoot/edit + media buyer",IF(B177="3","Live selling, private traffic (community), brand; multi-channel",IF(B177="4","(aiOS addition) Owned audience: community, direct list, repeat purchase","")))))</f>
        <v/>
      </c>
      <c r="O177" s="3">
        <f>IF(A177="","",IF(N177="1","Prove scripts + sampling; don't chase ROI",IF(N177="2","Build a creator pool; test by niche/audience/deal",IF(N177="3","Rates rising: judge by ROI + retention",IF(N177="4","Long-term partners as local distributors","")))))</f>
        <v/>
      </c>
    </row>
    <row r="178">
      <c r="J178" s="3">
        <f>IF(A178="","",IF(I178="Content-commerce veteran","Mature content markets (CC: US + Southeast Asia)",IF(I178="Marketplace-only seller","US + newly opened markets (crowded mature markets punish beginners)",IF(I178="Marketplace-validated products","US + Southeast Asia: open a new channel on proven products",""))))</f>
        <v/>
      </c>
      <c r="K178" s="3">
        <f>IF(A178="","",ROUND((C178+D178+2*F178+H178)-(E178+G178)/2,1))</f>
        <v/>
      </c>
      <c r="L178" s="3">
        <f>IF(A178="","",IF(H178=0,"Rate supply fit",IF(H178&lt;3,"Fix supply first - don't enter yet","OK")))</f>
        <v/>
      </c>
      <c r="M178" s="3">
        <f>IF(A178="","",IF(B178="1","Creator outreach and seeding; hire partnerships",IF(B178="2","Own short video + paid; hire shoot/edit + media buyer",IF(B178="3","Live selling, private traffic (community), brand; multi-channel",IF(B178="4","(aiOS addition) Owned audience: community, direct list, repeat purchase","")))))</f>
        <v/>
      </c>
      <c r="O178" s="3">
        <f>IF(A178="","",IF(N178="1","Prove scripts + sampling; don't chase ROI",IF(N178="2","Build a creator pool; test by niche/audience/deal",IF(N178="3","Rates rising: judge by ROI + retention",IF(N178="4","Long-term partners as local distributors","")))))</f>
        <v/>
      </c>
    </row>
    <row r="179">
      <c r="J179" s="3">
        <f>IF(A179="","",IF(I179="Content-commerce veteran","Mature content markets (CC: US + Southeast Asia)",IF(I179="Marketplace-only seller","US + newly opened markets (crowded mature markets punish beginners)",IF(I179="Marketplace-validated products","US + Southeast Asia: open a new channel on proven products",""))))</f>
        <v/>
      </c>
      <c r="K179" s="3">
        <f>IF(A179="","",ROUND((C179+D179+2*F179+H179)-(E179+G179)/2,1))</f>
        <v/>
      </c>
      <c r="L179" s="3">
        <f>IF(A179="","",IF(H179=0,"Rate supply fit",IF(H179&lt;3,"Fix supply first - don't enter yet","OK")))</f>
        <v/>
      </c>
      <c r="M179" s="3">
        <f>IF(A179="","",IF(B179="1","Creator outreach and seeding; hire partnerships",IF(B179="2","Own short video + paid; hire shoot/edit + media buyer",IF(B179="3","Live selling, private traffic (community), brand; multi-channel",IF(B179="4","(aiOS addition) Owned audience: community, direct list, repeat purchase","")))))</f>
        <v/>
      </c>
      <c r="O179" s="3">
        <f>IF(A179="","",IF(N179="1","Prove scripts + sampling; don't chase ROI",IF(N179="2","Build a creator pool; test by niche/audience/deal",IF(N179="3","Rates rising: judge by ROI + retention",IF(N179="4","Long-term partners as local distributors","")))))</f>
        <v/>
      </c>
    </row>
    <row r="180">
      <c r="J180" s="3">
        <f>IF(A180="","",IF(I180="Content-commerce veteran","Mature content markets (CC: US + Southeast Asia)",IF(I180="Marketplace-only seller","US + newly opened markets (crowded mature markets punish beginners)",IF(I180="Marketplace-validated products","US + Southeast Asia: open a new channel on proven products",""))))</f>
        <v/>
      </c>
      <c r="K180" s="3">
        <f>IF(A180="","",ROUND((C180+D180+2*F180+H180)-(E180+G180)/2,1))</f>
        <v/>
      </c>
      <c r="L180" s="3">
        <f>IF(A180="","",IF(H180=0,"Rate supply fit",IF(H180&lt;3,"Fix supply first - don't enter yet","OK")))</f>
        <v/>
      </c>
      <c r="M180" s="3">
        <f>IF(A180="","",IF(B180="1","Creator outreach and seeding; hire partnerships",IF(B180="2","Own short video + paid; hire shoot/edit + media buyer",IF(B180="3","Live selling, private traffic (community), brand; multi-channel",IF(B180="4","(aiOS addition) Owned audience: community, direct list, repeat purchase","")))))</f>
        <v/>
      </c>
      <c r="O180" s="3">
        <f>IF(A180="","",IF(N180="1","Prove scripts + sampling; don't chase ROI",IF(N180="2","Build a creator pool; test by niche/audience/deal",IF(N180="3","Rates rising: judge by ROI + retention",IF(N180="4","Long-term partners as local distributors","")))))</f>
        <v/>
      </c>
    </row>
    <row r="181">
      <c r="J181" s="3">
        <f>IF(A181="","",IF(I181="Content-commerce veteran","Mature content markets (CC: US + Southeast Asia)",IF(I181="Marketplace-only seller","US + newly opened markets (crowded mature markets punish beginners)",IF(I181="Marketplace-validated products","US + Southeast Asia: open a new channel on proven products",""))))</f>
        <v/>
      </c>
      <c r="K181" s="3">
        <f>IF(A181="","",ROUND((C181+D181+2*F181+H181)-(E181+G181)/2,1))</f>
        <v/>
      </c>
      <c r="L181" s="3">
        <f>IF(A181="","",IF(H181=0,"Rate supply fit",IF(H181&lt;3,"Fix supply first - don't enter yet","OK")))</f>
        <v/>
      </c>
      <c r="M181" s="3">
        <f>IF(A181="","",IF(B181="1","Creator outreach and seeding; hire partnerships",IF(B181="2","Own short video + paid; hire shoot/edit + media buyer",IF(B181="3","Live selling, private traffic (community), brand; multi-channel",IF(B181="4","(aiOS addition) Owned audience: community, direct list, repeat purchase","")))))</f>
        <v/>
      </c>
      <c r="O181" s="3">
        <f>IF(A181="","",IF(N181="1","Prove scripts + sampling; don't chase ROI",IF(N181="2","Build a creator pool; test by niche/audience/deal",IF(N181="3","Rates rising: judge by ROI + retention",IF(N181="4","Long-term partners as local distributors","")))))</f>
        <v/>
      </c>
    </row>
    <row r="182">
      <c r="J182" s="3">
        <f>IF(A182="","",IF(I182="Content-commerce veteran","Mature content markets (CC: US + Southeast Asia)",IF(I182="Marketplace-only seller","US + newly opened markets (crowded mature markets punish beginners)",IF(I182="Marketplace-validated products","US + Southeast Asia: open a new channel on proven products",""))))</f>
        <v/>
      </c>
      <c r="K182" s="3">
        <f>IF(A182="","",ROUND((C182+D182+2*F182+H182)-(E182+G182)/2,1))</f>
        <v/>
      </c>
      <c r="L182" s="3">
        <f>IF(A182="","",IF(H182=0,"Rate supply fit",IF(H182&lt;3,"Fix supply first - don't enter yet","OK")))</f>
        <v/>
      </c>
      <c r="M182" s="3">
        <f>IF(A182="","",IF(B182="1","Creator outreach and seeding; hire partnerships",IF(B182="2","Own short video + paid; hire shoot/edit + media buyer",IF(B182="3","Live selling, private traffic (community), brand; multi-channel",IF(B182="4","(aiOS addition) Owned audience: community, direct list, repeat purchase","")))))</f>
        <v/>
      </c>
      <c r="O182" s="3">
        <f>IF(A182="","",IF(N182="1","Prove scripts + sampling; don't chase ROI",IF(N182="2","Build a creator pool; test by niche/audience/deal",IF(N182="3","Rates rising: judge by ROI + retention",IF(N182="4","Long-term partners as local distributors","")))))</f>
        <v/>
      </c>
    </row>
    <row r="183">
      <c r="J183" s="3">
        <f>IF(A183="","",IF(I183="Content-commerce veteran","Mature content markets (CC: US + Southeast Asia)",IF(I183="Marketplace-only seller","US + newly opened markets (crowded mature markets punish beginners)",IF(I183="Marketplace-validated products","US + Southeast Asia: open a new channel on proven products",""))))</f>
        <v/>
      </c>
      <c r="K183" s="3">
        <f>IF(A183="","",ROUND((C183+D183+2*F183+H183)-(E183+G183)/2,1))</f>
        <v/>
      </c>
      <c r="L183" s="3">
        <f>IF(A183="","",IF(H183=0,"Rate supply fit",IF(H183&lt;3,"Fix supply first - don't enter yet","OK")))</f>
        <v/>
      </c>
      <c r="M183" s="3">
        <f>IF(A183="","",IF(B183="1","Creator outreach and seeding; hire partnerships",IF(B183="2","Own short video + paid; hire shoot/edit + media buyer",IF(B183="3","Live selling, private traffic (community), brand; multi-channel",IF(B183="4","(aiOS addition) Owned audience: community, direct list, repeat purchase","")))))</f>
        <v/>
      </c>
      <c r="O183" s="3">
        <f>IF(A183="","",IF(N183="1","Prove scripts + sampling; don't chase ROI",IF(N183="2","Build a creator pool; test by niche/audience/deal",IF(N183="3","Rates rising: judge by ROI + retention",IF(N183="4","Long-term partners as local distributors","")))))</f>
        <v/>
      </c>
    </row>
    <row r="184">
      <c r="J184" s="3">
        <f>IF(A184="","",IF(I184="Content-commerce veteran","Mature content markets (CC: US + Southeast Asia)",IF(I184="Marketplace-only seller","US + newly opened markets (crowded mature markets punish beginners)",IF(I184="Marketplace-validated products","US + Southeast Asia: open a new channel on proven products",""))))</f>
        <v/>
      </c>
      <c r="K184" s="3">
        <f>IF(A184="","",ROUND((C184+D184+2*F184+H184)-(E184+G184)/2,1))</f>
        <v/>
      </c>
      <c r="L184" s="3">
        <f>IF(A184="","",IF(H184=0,"Rate supply fit",IF(H184&lt;3,"Fix supply first - don't enter yet","OK")))</f>
        <v/>
      </c>
      <c r="M184" s="3">
        <f>IF(A184="","",IF(B184="1","Creator outreach and seeding; hire partnerships",IF(B184="2","Own short video + paid; hire shoot/edit + media buyer",IF(B184="3","Live selling, private traffic (community), brand; multi-channel",IF(B184="4","(aiOS addition) Owned audience: community, direct list, repeat purchase","")))))</f>
        <v/>
      </c>
      <c r="O184" s="3">
        <f>IF(A184="","",IF(N184="1","Prove scripts + sampling; don't chase ROI",IF(N184="2","Build a creator pool; test by niche/audience/deal",IF(N184="3","Rates rising: judge by ROI + retention",IF(N184="4","Long-term partners as local distributors","")))))</f>
        <v/>
      </c>
    </row>
    <row r="185">
      <c r="J185" s="3">
        <f>IF(A185="","",IF(I185="Content-commerce veteran","Mature content markets (CC: US + Southeast Asia)",IF(I185="Marketplace-only seller","US + newly opened markets (crowded mature markets punish beginners)",IF(I185="Marketplace-validated products","US + Southeast Asia: open a new channel on proven products",""))))</f>
        <v/>
      </c>
      <c r="K185" s="3">
        <f>IF(A185="","",ROUND((C185+D185+2*F185+H185)-(E185+G185)/2,1))</f>
        <v/>
      </c>
      <c r="L185" s="3">
        <f>IF(A185="","",IF(H185=0,"Rate supply fit",IF(H185&lt;3,"Fix supply first - don't enter yet","OK")))</f>
        <v/>
      </c>
      <c r="M185" s="3">
        <f>IF(A185="","",IF(B185="1","Creator outreach and seeding; hire partnerships",IF(B185="2","Own short video + paid; hire shoot/edit + media buyer",IF(B185="3","Live selling, private traffic (community), brand; multi-channel",IF(B185="4","(aiOS addition) Owned audience: community, direct list, repeat purchase","")))))</f>
        <v/>
      </c>
      <c r="O185" s="3">
        <f>IF(A185="","",IF(N185="1","Prove scripts + sampling; don't chase ROI",IF(N185="2","Build a creator pool; test by niche/audience/deal",IF(N185="3","Rates rising: judge by ROI + retention",IF(N185="4","Long-term partners as local distributors","")))))</f>
        <v/>
      </c>
    </row>
    <row r="186">
      <c r="J186" s="3">
        <f>IF(A186="","",IF(I186="Content-commerce veteran","Mature content markets (CC: US + Southeast Asia)",IF(I186="Marketplace-only seller","US + newly opened markets (crowded mature markets punish beginners)",IF(I186="Marketplace-validated products","US + Southeast Asia: open a new channel on proven products",""))))</f>
        <v/>
      </c>
      <c r="K186" s="3">
        <f>IF(A186="","",ROUND((C186+D186+2*F186+H186)-(E186+G186)/2,1))</f>
        <v/>
      </c>
      <c r="L186" s="3">
        <f>IF(A186="","",IF(H186=0,"Rate supply fit",IF(H186&lt;3,"Fix supply first - don't enter yet","OK")))</f>
        <v/>
      </c>
      <c r="M186" s="3">
        <f>IF(A186="","",IF(B186="1","Creator outreach and seeding; hire partnerships",IF(B186="2","Own short video + paid; hire shoot/edit + media buyer",IF(B186="3","Live selling, private traffic (community), brand; multi-channel",IF(B186="4","(aiOS addition) Owned audience: community, direct list, repeat purchase","")))))</f>
        <v/>
      </c>
      <c r="O186" s="3">
        <f>IF(A186="","",IF(N186="1","Prove scripts + sampling; don't chase ROI",IF(N186="2","Build a creator pool; test by niche/audience/deal",IF(N186="3","Rates rising: judge by ROI + retention",IF(N186="4","Long-term partners as local distributors","")))))</f>
        <v/>
      </c>
    </row>
    <row r="187">
      <c r="J187" s="3">
        <f>IF(A187="","",IF(I187="Content-commerce veteran","Mature content markets (CC: US + Southeast Asia)",IF(I187="Marketplace-only seller","US + newly opened markets (crowded mature markets punish beginners)",IF(I187="Marketplace-validated products","US + Southeast Asia: open a new channel on proven products",""))))</f>
        <v/>
      </c>
      <c r="K187" s="3">
        <f>IF(A187="","",ROUND((C187+D187+2*F187+H187)-(E187+G187)/2,1))</f>
        <v/>
      </c>
      <c r="L187" s="3">
        <f>IF(A187="","",IF(H187=0,"Rate supply fit",IF(H187&lt;3,"Fix supply first - don't enter yet","OK")))</f>
        <v/>
      </c>
      <c r="M187" s="3">
        <f>IF(A187="","",IF(B187="1","Creator outreach and seeding; hire partnerships",IF(B187="2","Own short video + paid; hire shoot/edit + media buyer",IF(B187="3","Live selling, private traffic (community), brand; multi-channel",IF(B187="4","(aiOS addition) Owned audience: community, direct list, repeat purchase","")))))</f>
        <v/>
      </c>
      <c r="O187" s="3">
        <f>IF(A187="","",IF(N187="1","Prove scripts + sampling; don't chase ROI",IF(N187="2","Build a creator pool; test by niche/audience/deal",IF(N187="3","Rates rising: judge by ROI + retention",IF(N187="4","Long-term partners as local distributors","")))))</f>
        <v/>
      </c>
    </row>
    <row r="188">
      <c r="J188" s="3">
        <f>IF(A188="","",IF(I188="Content-commerce veteran","Mature content markets (CC: US + Southeast Asia)",IF(I188="Marketplace-only seller","US + newly opened markets (crowded mature markets punish beginners)",IF(I188="Marketplace-validated products","US + Southeast Asia: open a new channel on proven products",""))))</f>
        <v/>
      </c>
      <c r="K188" s="3">
        <f>IF(A188="","",ROUND((C188+D188+2*F188+H188)-(E188+G188)/2,1))</f>
        <v/>
      </c>
      <c r="L188" s="3">
        <f>IF(A188="","",IF(H188=0,"Rate supply fit",IF(H188&lt;3,"Fix supply first - don't enter yet","OK")))</f>
        <v/>
      </c>
      <c r="M188" s="3">
        <f>IF(A188="","",IF(B188="1","Creator outreach and seeding; hire partnerships",IF(B188="2","Own short video + paid; hire shoot/edit + media buyer",IF(B188="3","Live selling, private traffic (community), brand; multi-channel",IF(B188="4","(aiOS addition) Owned audience: community, direct list, repeat purchase","")))))</f>
        <v/>
      </c>
      <c r="O188" s="3">
        <f>IF(A188="","",IF(N188="1","Prove scripts + sampling; don't chase ROI",IF(N188="2","Build a creator pool; test by niche/audience/deal",IF(N188="3","Rates rising: judge by ROI + retention",IF(N188="4","Long-term partners as local distributors","")))))</f>
        <v/>
      </c>
    </row>
    <row r="189">
      <c r="J189" s="3">
        <f>IF(A189="","",IF(I189="Content-commerce veteran","Mature content markets (CC: US + Southeast Asia)",IF(I189="Marketplace-only seller","US + newly opened markets (crowded mature markets punish beginners)",IF(I189="Marketplace-validated products","US + Southeast Asia: open a new channel on proven products",""))))</f>
        <v/>
      </c>
      <c r="K189" s="3">
        <f>IF(A189="","",ROUND((C189+D189+2*F189+H189)-(E189+G189)/2,1))</f>
        <v/>
      </c>
      <c r="L189" s="3">
        <f>IF(A189="","",IF(H189=0,"Rate supply fit",IF(H189&lt;3,"Fix supply first - don't enter yet","OK")))</f>
        <v/>
      </c>
      <c r="M189" s="3">
        <f>IF(A189="","",IF(B189="1","Creator outreach and seeding; hire partnerships",IF(B189="2","Own short video + paid; hire shoot/edit + media buyer",IF(B189="3","Live selling, private traffic (community), brand; multi-channel",IF(B189="4","(aiOS addition) Owned audience: community, direct list, repeat purchase","")))))</f>
        <v/>
      </c>
      <c r="O189" s="3">
        <f>IF(A189="","",IF(N189="1","Prove scripts + sampling; don't chase ROI",IF(N189="2","Build a creator pool; test by niche/audience/deal",IF(N189="3","Rates rising: judge by ROI + retention",IF(N189="4","Long-term partners as local distributors","")))))</f>
        <v/>
      </c>
    </row>
    <row r="190">
      <c r="J190" s="3">
        <f>IF(A190="","",IF(I190="Content-commerce veteran","Mature content markets (CC: US + Southeast Asia)",IF(I190="Marketplace-only seller","US + newly opened markets (crowded mature markets punish beginners)",IF(I190="Marketplace-validated products","US + Southeast Asia: open a new channel on proven products",""))))</f>
        <v/>
      </c>
      <c r="K190" s="3">
        <f>IF(A190="","",ROUND((C190+D190+2*F190+H190)-(E190+G190)/2,1))</f>
        <v/>
      </c>
      <c r="L190" s="3">
        <f>IF(A190="","",IF(H190=0,"Rate supply fit",IF(H190&lt;3,"Fix supply first - don't enter yet","OK")))</f>
        <v/>
      </c>
      <c r="M190" s="3">
        <f>IF(A190="","",IF(B190="1","Creator outreach and seeding; hire partnerships",IF(B190="2","Own short video + paid; hire shoot/edit + media buyer",IF(B190="3","Live selling, private traffic (community), brand; multi-channel",IF(B190="4","(aiOS addition) Owned audience: community, direct list, repeat purchase","")))))</f>
        <v/>
      </c>
      <c r="O190" s="3">
        <f>IF(A190="","",IF(N190="1","Prove scripts + sampling; don't chase ROI",IF(N190="2","Build a creator pool; test by niche/audience/deal",IF(N190="3","Rates rising: judge by ROI + retention",IF(N190="4","Long-term partners as local distributors","")))))</f>
        <v/>
      </c>
    </row>
    <row r="191">
      <c r="J191" s="3">
        <f>IF(A191="","",IF(I191="Content-commerce veteran","Mature content markets (CC: US + Southeast Asia)",IF(I191="Marketplace-only seller","US + newly opened markets (crowded mature markets punish beginners)",IF(I191="Marketplace-validated products","US + Southeast Asia: open a new channel on proven products",""))))</f>
        <v/>
      </c>
      <c r="K191" s="3">
        <f>IF(A191="","",ROUND((C191+D191+2*F191+H191)-(E191+G191)/2,1))</f>
        <v/>
      </c>
      <c r="L191" s="3">
        <f>IF(A191="","",IF(H191=0,"Rate supply fit",IF(H191&lt;3,"Fix supply first - don't enter yet","OK")))</f>
        <v/>
      </c>
      <c r="M191" s="3">
        <f>IF(A191="","",IF(B191="1","Creator outreach and seeding; hire partnerships",IF(B191="2","Own short video + paid; hire shoot/edit + media buyer",IF(B191="3","Live selling, private traffic (community), brand; multi-channel",IF(B191="4","(aiOS addition) Owned audience: community, direct list, repeat purchase","")))))</f>
        <v/>
      </c>
      <c r="O191" s="3">
        <f>IF(A191="","",IF(N191="1","Prove scripts + sampling; don't chase ROI",IF(N191="2","Build a creator pool; test by niche/audience/deal",IF(N191="3","Rates rising: judge by ROI + retention",IF(N191="4","Long-term partners as local distributors","")))))</f>
        <v/>
      </c>
    </row>
    <row r="192">
      <c r="J192" s="3">
        <f>IF(A192="","",IF(I192="Content-commerce veteran","Mature content markets (CC: US + Southeast Asia)",IF(I192="Marketplace-only seller","US + newly opened markets (crowded mature markets punish beginners)",IF(I192="Marketplace-validated products","US + Southeast Asia: open a new channel on proven products",""))))</f>
        <v/>
      </c>
      <c r="K192" s="3">
        <f>IF(A192="","",ROUND((C192+D192+2*F192+H192)-(E192+G192)/2,1))</f>
        <v/>
      </c>
      <c r="L192" s="3">
        <f>IF(A192="","",IF(H192=0,"Rate supply fit",IF(H192&lt;3,"Fix supply first - don't enter yet","OK")))</f>
        <v/>
      </c>
      <c r="M192" s="3">
        <f>IF(A192="","",IF(B192="1","Creator outreach and seeding; hire partnerships",IF(B192="2","Own short video + paid; hire shoot/edit + media buyer",IF(B192="3","Live selling, private traffic (community), brand; multi-channel",IF(B192="4","(aiOS addition) Owned audience: community, direct list, repeat purchase","")))))</f>
        <v/>
      </c>
      <c r="O192" s="3">
        <f>IF(A192="","",IF(N192="1","Prove scripts + sampling; don't chase ROI",IF(N192="2","Build a creator pool; test by niche/audience/deal",IF(N192="3","Rates rising: judge by ROI + retention",IF(N192="4","Long-term partners as local distributors","")))))</f>
        <v/>
      </c>
    </row>
    <row r="193">
      <c r="J193" s="3">
        <f>IF(A193="","",IF(I193="Content-commerce veteran","Mature content markets (CC: US + Southeast Asia)",IF(I193="Marketplace-only seller","US + newly opened markets (crowded mature markets punish beginners)",IF(I193="Marketplace-validated products","US + Southeast Asia: open a new channel on proven products",""))))</f>
        <v/>
      </c>
      <c r="K193" s="3">
        <f>IF(A193="","",ROUND((C193+D193+2*F193+H193)-(E193+G193)/2,1))</f>
        <v/>
      </c>
      <c r="L193" s="3">
        <f>IF(A193="","",IF(H193=0,"Rate supply fit",IF(H193&lt;3,"Fix supply first - don't enter yet","OK")))</f>
        <v/>
      </c>
      <c r="M193" s="3">
        <f>IF(A193="","",IF(B193="1","Creator outreach and seeding; hire partnerships",IF(B193="2","Own short video + paid; hire shoot/edit + media buyer",IF(B193="3","Live selling, private traffic (community), brand; multi-channel",IF(B193="4","(aiOS addition) Owned audience: community, direct list, repeat purchase","")))))</f>
        <v/>
      </c>
      <c r="O193" s="3">
        <f>IF(A193="","",IF(N193="1","Prove scripts + sampling; don't chase ROI",IF(N193="2","Build a creator pool; test by niche/audience/deal",IF(N193="3","Rates rising: judge by ROI + retention",IF(N193="4","Long-term partners as local distributors","")))))</f>
        <v/>
      </c>
    </row>
    <row r="194">
      <c r="J194" s="3">
        <f>IF(A194="","",IF(I194="Content-commerce veteran","Mature content markets (CC: US + Southeast Asia)",IF(I194="Marketplace-only seller","US + newly opened markets (crowded mature markets punish beginners)",IF(I194="Marketplace-validated products","US + Southeast Asia: open a new channel on proven products",""))))</f>
        <v/>
      </c>
      <c r="K194" s="3">
        <f>IF(A194="","",ROUND((C194+D194+2*F194+H194)-(E194+G194)/2,1))</f>
        <v/>
      </c>
      <c r="L194" s="3">
        <f>IF(A194="","",IF(H194=0,"Rate supply fit",IF(H194&lt;3,"Fix supply first - don't enter yet","OK")))</f>
        <v/>
      </c>
      <c r="M194" s="3">
        <f>IF(A194="","",IF(B194="1","Creator outreach and seeding; hire partnerships",IF(B194="2","Own short video + paid; hire shoot/edit + media buyer",IF(B194="3","Live selling, private traffic (community), brand; multi-channel",IF(B194="4","(aiOS addition) Owned audience: community, direct list, repeat purchase","")))))</f>
        <v/>
      </c>
      <c r="O194" s="3">
        <f>IF(A194="","",IF(N194="1","Prove scripts + sampling; don't chase ROI",IF(N194="2","Build a creator pool; test by niche/audience/deal",IF(N194="3","Rates rising: judge by ROI + retention",IF(N194="4","Long-term partners as local distributors","")))))</f>
        <v/>
      </c>
    </row>
    <row r="195">
      <c r="J195" s="3">
        <f>IF(A195="","",IF(I195="Content-commerce veteran","Mature content markets (CC: US + Southeast Asia)",IF(I195="Marketplace-only seller","US + newly opened markets (crowded mature markets punish beginners)",IF(I195="Marketplace-validated products","US + Southeast Asia: open a new channel on proven products",""))))</f>
        <v/>
      </c>
      <c r="K195" s="3">
        <f>IF(A195="","",ROUND((C195+D195+2*F195+H195)-(E195+G195)/2,1))</f>
        <v/>
      </c>
      <c r="L195" s="3">
        <f>IF(A195="","",IF(H195=0,"Rate supply fit",IF(H195&lt;3,"Fix supply first - don't enter yet","OK")))</f>
        <v/>
      </c>
      <c r="M195" s="3">
        <f>IF(A195="","",IF(B195="1","Creator outreach and seeding; hire partnerships",IF(B195="2","Own short video + paid; hire shoot/edit + media buyer",IF(B195="3","Live selling, private traffic (community), brand; multi-channel",IF(B195="4","(aiOS addition) Owned audience: community, direct list, repeat purchase","")))))</f>
        <v/>
      </c>
      <c r="O195" s="3">
        <f>IF(A195="","",IF(N195="1","Prove scripts + sampling; don't chase ROI",IF(N195="2","Build a creator pool; test by niche/audience/deal",IF(N195="3","Rates rising: judge by ROI + retention",IF(N195="4","Long-term partners as local distributors","")))))</f>
        <v/>
      </c>
    </row>
    <row r="196">
      <c r="J196" s="3">
        <f>IF(A196="","",IF(I196="Content-commerce veteran","Mature content markets (CC: US + Southeast Asia)",IF(I196="Marketplace-only seller","US + newly opened markets (crowded mature markets punish beginners)",IF(I196="Marketplace-validated products","US + Southeast Asia: open a new channel on proven products",""))))</f>
        <v/>
      </c>
      <c r="K196" s="3">
        <f>IF(A196="","",ROUND((C196+D196+2*F196+H196)-(E196+G196)/2,1))</f>
        <v/>
      </c>
      <c r="L196" s="3">
        <f>IF(A196="","",IF(H196=0,"Rate supply fit",IF(H196&lt;3,"Fix supply first - don't enter yet","OK")))</f>
        <v/>
      </c>
      <c r="M196" s="3">
        <f>IF(A196="","",IF(B196="1","Creator outreach and seeding; hire partnerships",IF(B196="2","Own short video + paid; hire shoot/edit + media buyer",IF(B196="3","Live selling, private traffic (community), brand; multi-channel",IF(B196="4","(aiOS addition) Owned audience: community, direct list, repeat purchase","")))))</f>
        <v/>
      </c>
      <c r="O196" s="3">
        <f>IF(A196="","",IF(N196="1","Prove scripts + sampling; don't chase ROI",IF(N196="2","Build a creator pool; test by niche/audience/deal",IF(N196="3","Rates rising: judge by ROI + retention",IF(N196="4","Long-term partners as local distributors","")))))</f>
        <v/>
      </c>
    </row>
    <row r="197">
      <c r="J197" s="3">
        <f>IF(A197="","",IF(I197="Content-commerce veteran","Mature content markets (CC: US + Southeast Asia)",IF(I197="Marketplace-only seller","US + newly opened markets (crowded mature markets punish beginners)",IF(I197="Marketplace-validated products","US + Southeast Asia: open a new channel on proven products",""))))</f>
        <v/>
      </c>
      <c r="K197" s="3">
        <f>IF(A197="","",ROUND((C197+D197+2*F197+H197)-(E197+G197)/2,1))</f>
        <v/>
      </c>
      <c r="L197" s="3">
        <f>IF(A197="","",IF(H197=0,"Rate supply fit",IF(H197&lt;3,"Fix supply first - don't enter yet","OK")))</f>
        <v/>
      </c>
      <c r="M197" s="3">
        <f>IF(A197="","",IF(B197="1","Creator outreach and seeding; hire partnerships",IF(B197="2","Own short video + paid; hire shoot/edit + media buyer",IF(B197="3","Live selling, private traffic (community), brand; multi-channel",IF(B197="4","(aiOS addition) Owned audience: community, direct list, repeat purchase","")))))</f>
        <v/>
      </c>
      <c r="O197" s="3">
        <f>IF(A197="","",IF(N197="1","Prove scripts + sampling; don't chase ROI",IF(N197="2","Build a creator pool; test by niche/audience/deal",IF(N197="3","Rates rising: judge by ROI + retention",IF(N197="4","Long-term partners as local distributors","")))))</f>
        <v/>
      </c>
    </row>
    <row r="198">
      <c r="J198" s="3">
        <f>IF(A198="","",IF(I198="Content-commerce veteran","Mature content markets (CC: US + Southeast Asia)",IF(I198="Marketplace-only seller","US + newly opened markets (crowded mature markets punish beginners)",IF(I198="Marketplace-validated products","US + Southeast Asia: open a new channel on proven products",""))))</f>
        <v/>
      </c>
      <c r="K198" s="3">
        <f>IF(A198="","",ROUND((C198+D198+2*F198+H198)-(E198+G198)/2,1))</f>
        <v/>
      </c>
      <c r="L198" s="3">
        <f>IF(A198="","",IF(H198=0,"Rate supply fit",IF(H198&lt;3,"Fix supply first - don't enter yet","OK")))</f>
        <v/>
      </c>
      <c r="M198" s="3">
        <f>IF(A198="","",IF(B198="1","Creator outreach and seeding; hire partnerships",IF(B198="2","Own short video + paid; hire shoot/edit + media buyer",IF(B198="3","Live selling, private traffic (community), brand; multi-channel",IF(B198="4","(aiOS addition) Owned audience: community, direct list, repeat purchase","")))))</f>
        <v/>
      </c>
      <c r="O198" s="3">
        <f>IF(A198="","",IF(N198="1","Prove scripts + sampling; don't chase ROI",IF(N198="2","Build a creator pool; test by niche/audience/deal",IF(N198="3","Rates rising: judge by ROI + retention",IF(N198="4","Long-term partners as local distributors","")))))</f>
        <v/>
      </c>
    </row>
    <row r="199">
      <c r="J199" s="3">
        <f>IF(A199="","",IF(I199="Content-commerce veteran","Mature content markets (CC: US + Southeast Asia)",IF(I199="Marketplace-only seller","US + newly opened markets (crowded mature markets punish beginners)",IF(I199="Marketplace-validated products","US + Southeast Asia: open a new channel on proven products",""))))</f>
        <v/>
      </c>
      <c r="K199" s="3">
        <f>IF(A199="","",ROUND((C199+D199+2*F199+H199)-(E199+G199)/2,1))</f>
        <v/>
      </c>
      <c r="L199" s="3">
        <f>IF(A199="","",IF(H199=0,"Rate supply fit",IF(H199&lt;3,"Fix supply first - don't enter yet","OK")))</f>
        <v/>
      </c>
      <c r="M199" s="3">
        <f>IF(A199="","",IF(B199="1","Creator outreach and seeding; hire partnerships",IF(B199="2","Own short video + paid; hire shoot/edit + media buyer",IF(B199="3","Live selling, private traffic (community), brand; multi-channel",IF(B199="4","(aiOS addition) Owned audience: community, direct list, repeat purchase","")))))</f>
        <v/>
      </c>
      <c r="O199" s="3">
        <f>IF(A199="","",IF(N199="1","Prove scripts + sampling; don't chase ROI",IF(N199="2","Build a creator pool; test by niche/audience/deal",IF(N199="3","Rates rising: judge by ROI + retention",IF(N199="4","Long-term partners as local distributors","")))))</f>
        <v/>
      </c>
    </row>
    <row r="200">
      <c r="J200" s="3">
        <f>IF(A200="","",IF(I200="Content-commerce veteran","Mature content markets (CC: US + Southeast Asia)",IF(I200="Marketplace-only seller","US + newly opened markets (crowded mature markets punish beginners)",IF(I200="Marketplace-validated products","US + Southeast Asia: open a new channel on proven products",""))))</f>
        <v/>
      </c>
      <c r="K200" s="3">
        <f>IF(A200="","",ROUND((C200+D200+2*F200+H200)-(E200+G200)/2,1))</f>
        <v/>
      </c>
      <c r="L200" s="3">
        <f>IF(A200="","",IF(H200=0,"Rate supply fit",IF(H200&lt;3,"Fix supply first - don't enter yet","OK")))</f>
        <v/>
      </c>
      <c r="M200" s="3">
        <f>IF(A200="","",IF(B200="1","Creator outreach and seeding; hire partnerships",IF(B200="2","Own short video + paid; hire shoot/edit + media buyer",IF(B200="3","Live selling, private traffic (community), brand; multi-channel",IF(B200="4","(aiOS addition) Owned audience: community, direct list, repeat purchase","")))))</f>
        <v/>
      </c>
      <c r="O200" s="3">
        <f>IF(A200="","",IF(N200="1","Prove scripts + sampling; don't chase ROI",IF(N200="2","Build a creator pool; test by niche/audience/deal",IF(N200="3","Rates rising: judge by ROI + retention",IF(N200="4","Long-term partners as local distributors","")))))</f>
        <v/>
      </c>
    </row>
    <row r="201">
      <c r="J201" s="3">
        <f>IF(A201="","",IF(I201="Content-commerce veteran","Mature content markets (CC: US + Southeast Asia)",IF(I201="Marketplace-only seller","US + newly opened markets (crowded mature markets punish beginners)",IF(I201="Marketplace-validated products","US + Southeast Asia: open a new channel on proven products",""))))</f>
        <v/>
      </c>
      <c r="K201" s="3">
        <f>IF(A201="","",ROUND((C201+D201+2*F201+H201)-(E201+G201)/2,1))</f>
        <v/>
      </c>
      <c r="L201" s="3">
        <f>IF(A201="","",IF(H201=0,"Rate supply fit",IF(H201&lt;3,"Fix supply first - don't enter yet","OK")))</f>
        <v/>
      </c>
      <c r="M201" s="3">
        <f>IF(A201="","",IF(B201="1","Creator outreach and seeding; hire partnerships",IF(B201="2","Own short video + paid; hire shoot/edit + media buyer",IF(B201="3","Live selling, private traffic (community), brand; multi-channel",IF(B201="4","(aiOS addition) Owned audience: community, direct list, repeat purchase","")))))</f>
        <v/>
      </c>
      <c r="O201" s="3">
        <f>IF(A201="","",IF(N201="1","Prove scripts + sampling; don't chase ROI",IF(N201="2","Build a creator pool; test by niche/audience/deal",IF(N201="3","Rates rising: judge by ROI + retention",IF(N201="4","Long-term partners as local distributors","")))))</f>
        <v/>
      </c>
    </row>
  </sheetData>
  <dataValidations count="3">
    <dataValidation sqref="B2:B201" showDropDown="0" showInputMessage="0" showErrorMessage="0" allowBlank="1" type="list">
      <formula1>"1,2,3,4"</formula1>
    </dataValidation>
    <dataValidation sqref="I2:I201" showDropDown="0" showInputMessage="0" showErrorMessage="0" allowBlank="1" type="list">
      <formula1>"Content-commerce veteran,Marketplace-only seller,Marketplace-validated products"</formula1>
    </dataValidation>
    <dataValidation sqref="N2:N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Market Stage &amp; Fit</t>
        </is>
      </c>
    </row>
    <row r="2">
      <c r="A2" t="inlineStr">
        <is>
          <t>Choose markets/channels by maturity stage and fit with your capabilities (CC's entry ladder: read the stage → validate demand → match supply-chain capability → choose creators / own content / ads → small test, then replicate; start with 1–2 SKUs). Stages 1–3 and their example markets are CC's (lecture slide); stage 4 'owned audience' is an aiOS addition. The fit-score weighting is an aiOS default, not a lecture formula.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2026-10-17T05:24:02Z</dcterms:created>
  <dcterms:modified xmlns:dcterms="http://purl.org/dc/terms/" xmlns:xsi="http://www.w3.org/2001/XMLSchema-instance" xsi:type="dcterms:W3CDTF">2026-10-17T05:24:02Z</dcterms:modified>
</cp:coreProperties>
</file>