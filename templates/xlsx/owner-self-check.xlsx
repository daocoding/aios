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Self-Check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3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57142857142857" customWidth="1" min="1" max="1"/>
    <col width="14.28571428571429" customWidth="1" min="2" max="2"/>
    <col width="17.14285714285714" customWidth="1" min="3" max="3"/>
    <col width="17.14285714285714" customWidth="1" min="4" max="4"/>
    <col width="17.14285714285714" customWidth="1" min="5" max="5"/>
    <col width="17.14285714285714" customWidth="1" min="6" max="6"/>
    <col width="17.14285714285714" customWidth="1" min="7" max="7"/>
    <col width="17.14285714285714" customWidth="1" min="8" max="8"/>
    <col width="15.71428571428571" customWidth="1" min="9" max="9"/>
    <col width="42.85714285714285" customWidth="1" min="10" max="10"/>
    <col width="28.57142857142857" customWidth="1" min="11" max="11"/>
    <col width="34.28571428571428" customWidth="1" min="12" max="12"/>
  </cols>
  <sheetData>
    <row r="1" ht="48" customHeight="1">
      <c r="A1" s="1" t="inlineStr">
        <is>
          <t>Project (one live project per row)</t>
        </is>
      </c>
      <c r="B1" s="1" t="inlineStr">
        <is>
          <t>Review date</t>
        </is>
      </c>
      <c r="C1" s="1" t="inlineStr">
        <is>
          <t>Passion-driven: stock/ads because "I like it" (0/1/2)</t>
        </is>
      </c>
      <c r="D1" s="1" t="inlineStr">
        <is>
          <t>Slogan worship: "blue ocean / hit / live wave" copied in (0/1/2)</t>
        </is>
      </c>
      <c r="E1" s="1" t="inlineStr">
        <is>
          <t>Emotional decisions: swap market/people/play on one ROI dip (0/1/2)</t>
        </is>
      </c>
      <c r="F1" s="1" t="inlineStr">
        <is>
          <t>False analogy: old platform/market playbook moved over as-is (0/1/2)</t>
        </is>
      </c>
      <c r="G1" s="1" t="inlineStr">
        <is>
          <t>Single-point: one hit video or creator → all in (0/1/2)</t>
        </is>
      </c>
      <c r="H1" s="1" t="inlineStr">
        <is>
          <t>No validation: heavy stock/team/spend before a small test (0/1/2)</t>
        </is>
      </c>
      <c r="I1" s="2" t="inlineStr">
        <is>
          <t>Total /12 ƒ</t>
        </is>
      </c>
      <c r="J1" s="2" t="inlineStr">
        <is>
          <t>Reading ƒ</t>
        </is>
      </c>
      <c r="K1" s="1" t="inlineStr">
        <is>
          <t>Fix first (highest-scoring trap)</t>
        </is>
      </c>
      <c r="L1" s="1" t="inlineStr">
        <is>
          <t>Evidence / next validation step</t>
        </is>
      </c>
    </row>
    <row r="2">
      <c r="A2" t="inlineStr">
        <is>
          <t>Example: new market launch</t>
        </is>
      </c>
      <c r="B2" t="inlineStr">
        <is>
          <t>2026-10-01</t>
        </is>
      </c>
      <c r="C2" t="n">
        <v>1</v>
      </c>
      <c r="D2" t="n">
        <v>0</v>
      </c>
      <c r="E2" t="n">
        <v>2</v>
      </c>
      <c r="F2" t="n">
        <v>1</v>
      </c>
      <c r="G2" t="n">
        <v>1</v>
      </c>
      <c r="H2" t="n">
        <v>0</v>
      </c>
      <c r="I2" s="3">
        <f>IF(A2="","",MIN(2,MAX(0,ROUND(C2,0)))+MIN(2,MAX(0,ROUND(D2,0)))+MIN(2,MAX(0,ROUND(E2,0)))+MIN(2,MAX(0,ROUND(F2,0)))+MIN(2,MAX(0,ROUND(G2,0)))+MIN(2,MAX(0,ROUND(H2,0))))</f>
        <v/>
      </c>
      <c r="J2" s="4">
        <f>IF(A2="","",IF(I2&lt;=3,"0-3 Foundation: verification habit; building a decision system",IF(I2&lt;=7,"4-7 Volatile: experience-led, swayed by short-term swings; add validation + retros",IF(I2&lt;=10,"8-10 At risk: emotion, analogy and single-point calls dominate","11-12 High risk: reactive pattern, no validation, cash at risk"))))</f>
        <v/>
      </c>
      <c r="K2" t="inlineStr">
        <is>
          <t>Emotional decisions</t>
        </is>
      </c>
      <c r="L2" t="inlineStr">
        <is>
          <t>Sleep on ROI dips; decide at weekly review with checklist</t>
        </is>
      </c>
    </row>
    <row r="3">
      <c r="I3" s="3">
        <f>IF(A3="","",MIN(2,MAX(0,ROUND(C3,0)))+MIN(2,MAX(0,ROUND(D3,0)))+MIN(2,MAX(0,ROUND(E3,0)))+MIN(2,MAX(0,ROUND(F3,0)))+MIN(2,MAX(0,ROUND(G3,0)))+MIN(2,MAX(0,ROUND(H3,0))))</f>
        <v/>
      </c>
      <c r="J3" s="4">
        <f>IF(A3="","",IF(I3&lt;=3,"0-3 Foundation: verification habit; building a decision system",IF(I3&lt;=7,"4-7 Volatile: experience-led, swayed by short-term swings; add validation + retros",IF(I3&lt;=10,"8-10 At risk: emotion, analogy and single-point calls dominate","11-12 High risk: reactive pattern, no validation, cash at risk"))))</f>
        <v/>
      </c>
    </row>
    <row r="4">
      <c r="I4" s="3">
        <f>IF(A4="","",MIN(2,MAX(0,ROUND(C4,0)))+MIN(2,MAX(0,ROUND(D4,0)))+MIN(2,MAX(0,ROUND(E4,0)))+MIN(2,MAX(0,ROUND(F4,0)))+MIN(2,MAX(0,ROUND(G4,0)))+MIN(2,MAX(0,ROUND(H4,0))))</f>
        <v/>
      </c>
      <c r="J4" s="4">
        <f>IF(A4="","",IF(I4&lt;=3,"0-3 Foundation: verification habit; building a decision system",IF(I4&lt;=7,"4-7 Volatile: experience-led, swayed by short-term swings; add validation + retros",IF(I4&lt;=10,"8-10 At risk: emotion, analogy and single-point calls dominate","11-12 High risk: reactive pattern, no validation, cash at risk"))))</f>
        <v/>
      </c>
    </row>
    <row r="5">
      <c r="I5" s="3">
        <f>IF(A5="","",MIN(2,MAX(0,ROUND(C5,0)))+MIN(2,MAX(0,ROUND(D5,0)))+MIN(2,MAX(0,ROUND(E5,0)))+MIN(2,MAX(0,ROUND(F5,0)))+MIN(2,MAX(0,ROUND(G5,0)))+MIN(2,MAX(0,ROUND(H5,0))))</f>
        <v/>
      </c>
      <c r="J5" s="4">
        <f>IF(A5="","",IF(I5&lt;=3,"0-3 Foundation: verification habit; building a decision system",IF(I5&lt;=7,"4-7 Volatile: experience-led, swayed by short-term swings; add validation + retros",IF(I5&lt;=10,"8-10 At risk: emotion, analogy and single-point calls dominate","11-12 High risk: reactive pattern, no validation, cash at risk"))))</f>
        <v/>
      </c>
    </row>
    <row r="6">
      <c r="I6" s="3">
        <f>IF(A6="","",MIN(2,MAX(0,ROUND(C6,0)))+MIN(2,MAX(0,ROUND(D6,0)))+MIN(2,MAX(0,ROUND(E6,0)))+MIN(2,MAX(0,ROUND(F6,0)))+MIN(2,MAX(0,ROUND(G6,0)))+MIN(2,MAX(0,ROUND(H6,0))))</f>
        <v/>
      </c>
      <c r="J6" s="4">
        <f>IF(A6="","",IF(I6&lt;=3,"0-3 Foundation: verification habit; building a decision system",IF(I6&lt;=7,"4-7 Volatile: experience-led, swayed by short-term swings; add validation + retros",IF(I6&lt;=10,"8-10 At risk: emotion, analogy and single-point calls dominate","11-12 High risk: reactive pattern, no validation, cash at risk"))))</f>
        <v/>
      </c>
    </row>
    <row r="7">
      <c r="I7" s="3">
        <f>IF(A7="","",MIN(2,MAX(0,ROUND(C7,0)))+MIN(2,MAX(0,ROUND(D7,0)))+MIN(2,MAX(0,ROUND(E7,0)))+MIN(2,MAX(0,ROUND(F7,0)))+MIN(2,MAX(0,ROUND(G7,0)))+MIN(2,MAX(0,ROUND(H7,0))))</f>
        <v/>
      </c>
      <c r="J7" s="4">
        <f>IF(A7="","",IF(I7&lt;=3,"0-3 Foundation: verification habit; building a decision system",IF(I7&lt;=7,"4-7 Volatile: experience-led, swayed by short-term swings; add validation + retros",IF(I7&lt;=10,"8-10 At risk: emotion, analogy and single-point calls dominate","11-12 High risk: reactive pattern, no validation, cash at risk"))))</f>
        <v/>
      </c>
    </row>
    <row r="8">
      <c r="I8" s="3">
        <f>IF(A8="","",MIN(2,MAX(0,ROUND(C8,0)))+MIN(2,MAX(0,ROUND(D8,0)))+MIN(2,MAX(0,ROUND(E8,0)))+MIN(2,MAX(0,ROUND(F8,0)))+MIN(2,MAX(0,ROUND(G8,0)))+MIN(2,MAX(0,ROUND(H8,0))))</f>
        <v/>
      </c>
      <c r="J8" s="4">
        <f>IF(A8="","",IF(I8&lt;=3,"0-3 Foundation: verification habit; building a decision system",IF(I8&lt;=7,"4-7 Volatile: experience-led, swayed by short-term swings; add validation + retros",IF(I8&lt;=10,"8-10 At risk: emotion, analogy and single-point calls dominate","11-12 High risk: reactive pattern, no validation, cash at risk"))))</f>
        <v/>
      </c>
    </row>
    <row r="9">
      <c r="I9" s="3">
        <f>IF(A9="","",MIN(2,MAX(0,ROUND(C9,0)))+MIN(2,MAX(0,ROUND(D9,0)))+MIN(2,MAX(0,ROUND(E9,0)))+MIN(2,MAX(0,ROUND(F9,0)))+MIN(2,MAX(0,ROUND(G9,0)))+MIN(2,MAX(0,ROUND(H9,0))))</f>
        <v/>
      </c>
      <c r="J9" s="4">
        <f>IF(A9="","",IF(I9&lt;=3,"0-3 Foundation: verification habit; building a decision system",IF(I9&lt;=7,"4-7 Volatile: experience-led, swayed by short-term swings; add validation + retros",IF(I9&lt;=10,"8-10 At risk: emotion, analogy and single-point calls dominate","11-12 High risk: reactive pattern, no validation, cash at risk"))))</f>
        <v/>
      </c>
    </row>
    <row r="10">
      <c r="I10" s="3">
        <f>IF(A10="","",MIN(2,MAX(0,ROUND(C10,0)))+MIN(2,MAX(0,ROUND(D10,0)))+MIN(2,MAX(0,ROUND(E10,0)))+MIN(2,MAX(0,ROUND(F10,0)))+MIN(2,MAX(0,ROUND(G10,0)))+MIN(2,MAX(0,ROUND(H10,0))))</f>
        <v/>
      </c>
      <c r="J10" s="4">
        <f>IF(A10="","",IF(I10&lt;=3,"0-3 Foundation: verification habit; building a decision system",IF(I10&lt;=7,"4-7 Volatile: experience-led, swayed by short-term swings; add validation + retros",IF(I10&lt;=10,"8-10 At risk: emotion, analogy and single-point calls dominate","11-12 High risk: reactive pattern, no validation, cash at risk"))))</f>
        <v/>
      </c>
    </row>
    <row r="11">
      <c r="I11" s="3">
        <f>IF(A11="","",MIN(2,MAX(0,ROUND(C11,0)))+MIN(2,MAX(0,ROUND(D11,0)))+MIN(2,MAX(0,ROUND(E11,0)))+MIN(2,MAX(0,ROUND(F11,0)))+MIN(2,MAX(0,ROUND(G11,0)))+MIN(2,MAX(0,ROUND(H11,0))))</f>
        <v/>
      </c>
      <c r="J11" s="4">
        <f>IF(A11="","",IF(I11&lt;=3,"0-3 Foundation: verification habit; building a decision system",IF(I11&lt;=7,"4-7 Volatile: experience-led, swayed by short-term swings; add validation + retros",IF(I11&lt;=10,"8-10 At risk: emotion, analogy and single-point calls dominate","11-12 High risk: reactive pattern, no validation, cash at risk"))))</f>
        <v/>
      </c>
    </row>
    <row r="12">
      <c r="I12" s="3">
        <f>IF(A12="","",MIN(2,MAX(0,ROUND(C12,0)))+MIN(2,MAX(0,ROUND(D12,0)))+MIN(2,MAX(0,ROUND(E12,0)))+MIN(2,MAX(0,ROUND(F12,0)))+MIN(2,MAX(0,ROUND(G12,0)))+MIN(2,MAX(0,ROUND(H12,0))))</f>
        <v/>
      </c>
      <c r="J12" s="4">
        <f>IF(A12="","",IF(I12&lt;=3,"0-3 Foundation: verification habit; building a decision system",IF(I12&lt;=7,"4-7 Volatile: experience-led, swayed by short-term swings; add validation + retros",IF(I12&lt;=10,"8-10 At risk: emotion, analogy and single-point calls dominate","11-12 High risk: reactive pattern, no validation, cash at risk"))))</f>
        <v/>
      </c>
    </row>
    <row r="13">
      <c r="I13" s="3">
        <f>IF(A13="","",MIN(2,MAX(0,ROUND(C13,0)))+MIN(2,MAX(0,ROUND(D13,0)))+MIN(2,MAX(0,ROUND(E13,0)))+MIN(2,MAX(0,ROUND(F13,0)))+MIN(2,MAX(0,ROUND(G13,0)))+MIN(2,MAX(0,ROUND(H13,0))))</f>
        <v/>
      </c>
      <c r="J13" s="4">
        <f>IF(A13="","",IF(I13&lt;=3,"0-3 Foundation: verification habit; building a decision system",IF(I13&lt;=7,"4-7 Volatile: experience-led, swayed by short-term swings; add validation + retros",IF(I13&lt;=10,"8-10 At risk: emotion, analogy and single-point calls dominate","11-12 High risk: reactive pattern, no validation, cash at risk"))))</f>
        <v/>
      </c>
    </row>
    <row r="14">
      <c r="I14" s="3">
        <f>IF(A14="","",MIN(2,MAX(0,ROUND(C14,0)))+MIN(2,MAX(0,ROUND(D14,0)))+MIN(2,MAX(0,ROUND(E14,0)))+MIN(2,MAX(0,ROUND(F14,0)))+MIN(2,MAX(0,ROUND(G14,0)))+MIN(2,MAX(0,ROUND(H14,0))))</f>
        <v/>
      </c>
      <c r="J14" s="4">
        <f>IF(A14="","",IF(I14&lt;=3,"0-3 Foundation: verification habit; building a decision system",IF(I14&lt;=7,"4-7 Volatile: experience-led, swayed by short-term swings; add validation + retros",IF(I14&lt;=10,"8-10 At risk: emotion, analogy and single-point calls dominate","11-12 High risk: reactive pattern, no validation, cash at risk"))))</f>
        <v/>
      </c>
    </row>
    <row r="15">
      <c r="I15" s="3">
        <f>IF(A15="","",MIN(2,MAX(0,ROUND(C15,0)))+MIN(2,MAX(0,ROUND(D15,0)))+MIN(2,MAX(0,ROUND(E15,0)))+MIN(2,MAX(0,ROUND(F15,0)))+MIN(2,MAX(0,ROUND(G15,0)))+MIN(2,MAX(0,ROUND(H15,0))))</f>
        <v/>
      </c>
      <c r="J15" s="4">
        <f>IF(A15="","",IF(I15&lt;=3,"0-3 Foundation: verification habit; building a decision system",IF(I15&lt;=7,"4-7 Volatile: experience-led, swayed by short-term swings; add validation + retros",IF(I15&lt;=10,"8-10 At risk: emotion, analogy and single-point calls dominate","11-12 High risk: reactive pattern, no validation, cash at risk"))))</f>
        <v/>
      </c>
    </row>
    <row r="16">
      <c r="I16" s="3">
        <f>IF(A16="","",MIN(2,MAX(0,ROUND(C16,0)))+MIN(2,MAX(0,ROUND(D16,0)))+MIN(2,MAX(0,ROUND(E16,0)))+MIN(2,MAX(0,ROUND(F16,0)))+MIN(2,MAX(0,ROUND(G16,0)))+MIN(2,MAX(0,ROUND(H16,0))))</f>
        <v/>
      </c>
      <c r="J16" s="4">
        <f>IF(A16="","",IF(I16&lt;=3,"0-3 Foundation: verification habit; building a decision system",IF(I16&lt;=7,"4-7 Volatile: experience-led, swayed by short-term swings; add validation + retros",IF(I16&lt;=10,"8-10 At risk: emotion, analogy and single-point calls dominate","11-12 High risk: reactive pattern, no validation, cash at risk"))))</f>
        <v/>
      </c>
    </row>
    <row r="17">
      <c r="I17" s="3">
        <f>IF(A17="","",MIN(2,MAX(0,ROUND(C17,0)))+MIN(2,MAX(0,ROUND(D17,0)))+MIN(2,MAX(0,ROUND(E17,0)))+MIN(2,MAX(0,ROUND(F17,0)))+MIN(2,MAX(0,ROUND(G17,0)))+MIN(2,MAX(0,ROUND(H17,0))))</f>
        <v/>
      </c>
      <c r="J17" s="4">
        <f>IF(A17="","",IF(I17&lt;=3,"0-3 Foundation: verification habit; building a decision system",IF(I17&lt;=7,"4-7 Volatile: experience-led, swayed by short-term swings; add validation + retros",IF(I17&lt;=10,"8-10 At risk: emotion, analogy and single-point calls dominate","11-12 High risk: reactive pattern, no validation, cash at risk"))))</f>
        <v/>
      </c>
    </row>
    <row r="18">
      <c r="I18" s="3">
        <f>IF(A18="","",MIN(2,MAX(0,ROUND(C18,0)))+MIN(2,MAX(0,ROUND(D18,0)))+MIN(2,MAX(0,ROUND(E18,0)))+MIN(2,MAX(0,ROUND(F18,0)))+MIN(2,MAX(0,ROUND(G18,0)))+MIN(2,MAX(0,ROUND(H18,0))))</f>
        <v/>
      </c>
      <c r="J18" s="4">
        <f>IF(A18="","",IF(I18&lt;=3,"0-3 Foundation: verification habit; building a decision system",IF(I18&lt;=7,"4-7 Volatile: experience-led, swayed by short-term swings; add validation + retros",IF(I18&lt;=10,"8-10 At risk: emotion, analogy and single-point calls dominate","11-12 High risk: reactive pattern, no validation, cash at risk"))))</f>
        <v/>
      </c>
    </row>
    <row r="19">
      <c r="I19" s="3">
        <f>IF(A19="","",MIN(2,MAX(0,ROUND(C19,0)))+MIN(2,MAX(0,ROUND(D19,0)))+MIN(2,MAX(0,ROUND(E19,0)))+MIN(2,MAX(0,ROUND(F19,0)))+MIN(2,MAX(0,ROUND(G19,0)))+MIN(2,MAX(0,ROUND(H19,0))))</f>
        <v/>
      </c>
      <c r="J19" s="4">
        <f>IF(A19="","",IF(I19&lt;=3,"0-3 Foundation: verification habit; building a decision system",IF(I19&lt;=7,"4-7 Volatile: experience-led, swayed by short-term swings; add validation + retros",IF(I19&lt;=10,"8-10 At risk: emotion, analogy and single-point calls dominate","11-12 High risk: reactive pattern, no validation, cash at risk"))))</f>
        <v/>
      </c>
    </row>
    <row r="20">
      <c r="I20" s="3">
        <f>IF(A20="","",MIN(2,MAX(0,ROUND(C20,0)))+MIN(2,MAX(0,ROUND(D20,0)))+MIN(2,MAX(0,ROUND(E20,0)))+MIN(2,MAX(0,ROUND(F20,0)))+MIN(2,MAX(0,ROUND(G20,0)))+MIN(2,MAX(0,ROUND(H20,0))))</f>
        <v/>
      </c>
      <c r="J20" s="4">
        <f>IF(A20="","",IF(I20&lt;=3,"0-3 Foundation: verification habit; building a decision system",IF(I20&lt;=7,"4-7 Volatile: experience-led, swayed by short-term swings; add validation + retros",IF(I20&lt;=10,"8-10 At risk: emotion, analogy and single-point calls dominate","11-12 High risk: reactive pattern, no validation, cash at risk"))))</f>
        <v/>
      </c>
    </row>
    <row r="21">
      <c r="I21" s="3">
        <f>IF(A21="","",MIN(2,MAX(0,ROUND(C21,0)))+MIN(2,MAX(0,ROUND(D21,0)))+MIN(2,MAX(0,ROUND(E21,0)))+MIN(2,MAX(0,ROUND(F21,0)))+MIN(2,MAX(0,ROUND(G21,0)))+MIN(2,MAX(0,ROUND(H21,0))))</f>
        <v/>
      </c>
      <c r="J21" s="4">
        <f>IF(A21="","",IF(I21&lt;=3,"0-3 Foundation: verification habit; building a decision system",IF(I21&lt;=7,"4-7 Volatile: experience-led, swayed by short-term swings; add validation + retros",IF(I21&lt;=10,"8-10 At risk: emotion, analogy and single-point calls dominate","11-12 High risk: reactive pattern, no validation, cash at risk"))))</f>
        <v/>
      </c>
    </row>
    <row r="22">
      <c r="I22" s="3">
        <f>IF(A22="","",MIN(2,MAX(0,ROUND(C22,0)))+MIN(2,MAX(0,ROUND(D22,0)))+MIN(2,MAX(0,ROUND(E22,0)))+MIN(2,MAX(0,ROUND(F22,0)))+MIN(2,MAX(0,ROUND(G22,0)))+MIN(2,MAX(0,ROUND(H22,0))))</f>
        <v/>
      </c>
      <c r="J22" s="4">
        <f>IF(A22="","",IF(I22&lt;=3,"0-3 Foundation: verification habit; building a decision system",IF(I22&lt;=7,"4-7 Volatile: experience-led, swayed by short-term swings; add validation + retros",IF(I22&lt;=10,"8-10 At risk: emotion, analogy and single-point calls dominate","11-12 High risk: reactive pattern, no validation, cash at risk"))))</f>
        <v/>
      </c>
    </row>
    <row r="23">
      <c r="I23" s="3">
        <f>IF(A23="","",MIN(2,MAX(0,ROUND(C23,0)))+MIN(2,MAX(0,ROUND(D23,0)))+MIN(2,MAX(0,ROUND(E23,0)))+MIN(2,MAX(0,ROUND(F23,0)))+MIN(2,MAX(0,ROUND(G23,0)))+MIN(2,MAX(0,ROUND(H23,0))))</f>
        <v/>
      </c>
      <c r="J23" s="4">
        <f>IF(A23="","",IF(I23&lt;=3,"0-3 Foundation: verification habit; building a decision system",IF(I23&lt;=7,"4-7 Volatile: experience-led, swayed by short-term swings; add validation + retros",IF(I23&lt;=10,"8-10 At risk: emotion, analogy and single-point calls dominate","11-12 High risk: reactive pattern, no validation, cash at risk"))))</f>
        <v/>
      </c>
    </row>
    <row r="24">
      <c r="I24" s="3">
        <f>IF(A24="","",MIN(2,MAX(0,ROUND(C24,0)))+MIN(2,MAX(0,ROUND(D24,0)))+MIN(2,MAX(0,ROUND(E24,0)))+MIN(2,MAX(0,ROUND(F24,0)))+MIN(2,MAX(0,ROUND(G24,0)))+MIN(2,MAX(0,ROUND(H24,0))))</f>
        <v/>
      </c>
      <c r="J24" s="4">
        <f>IF(A24="","",IF(I24&lt;=3,"0-3 Foundation: verification habit; building a decision system",IF(I24&lt;=7,"4-7 Volatile: experience-led, swayed by short-term swings; add validation + retros",IF(I24&lt;=10,"8-10 At risk: emotion, analogy and single-point calls dominate","11-12 High risk: reactive pattern, no validation, cash at risk"))))</f>
        <v/>
      </c>
    </row>
    <row r="25">
      <c r="I25" s="3">
        <f>IF(A25="","",MIN(2,MAX(0,ROUND(C25,0)))+MIN(2,MAX(0,ROUND(D25,0)))+MIN(2,MAX(0,ROUND(E25,0)))+MIN(2,MAX(0,ROUND(F25,0)))+MIN(2,MAX(0,ROUND(G25,0)))+MIN(2,MAX(0,ROUND(H25,0))))</f>
        <v/>
      </c>
      <c r="J25" s="4">
        <f>IF(A25="","",IF(I25&lt;=3,"0-3 Foundation: verification habit; building a decision system",IF(I25&lt;=7,"4-7 Volatile: experience-led, swayed by short-term swings; add validation + retros",IF(I25&lt;=10,"8-10 At risk: emotion, analogy and single-point calls dominate","11-12 High risk: reactive pattern, no validation, cash at risk"))))</f>
        <v/>
      </c>
    </row>
    <row r="26">
      <c r="I26" s="3">
        <f>IF(A26="","",MIN(2,MAX(0,ROUND(C26,0)))+MIN(2,MAX(0,ROUND(D26,0)))+MIN(2,MAX(0,ROUND(E26,0)))+MIN(2,MAX(0,ROUND(F26,0)))+MIN(2,MAX(0,ROUND(G26,0)))+MIN(2,MAX(0,ROUND(H26,0))))</f>
        <v/>
      </c>
      <c r="J26" s="4">
        <f>IF(A26="","",IF(I26&lt;=3,"0-3 Foundation: verification habit; building a decision system",IF(I26&lt;=7,"4-7 Volatile: experience-led, swayed by short-term swings; add validation + retros",IF(I26&lt;=10,"8-10 At risk: emotion, analogy and single-point calls dominate","11-12 High risk: reactive pattern, no validation, cash at risk"))))</f>
        <v/>
      </c>
    </row>
    <row r="27">
      <c r="I27" s="3">
        <f>IF(A27="","",MIN(2,MAX(0,ROUND(C27,0)))+MIN(2,MAX(0,ROUND(D27,0)))+MIN(2,MAX(0,ROUND(E27,0)))+MIN(2,MAX(0,ROUND(F27,0)))+MIN(2,MAX(0,ROUND(G27,0)))+MIN(2,MAX(0,ROUND(H27,0))))</f>
        <v/>
      </c>
      <c r="J27" s="4">
        <f>IF(A27="","",IF(I27&lt;=3,"0-3 Foundation: verification habit; building a decision system",IF(I27&lt;=7,"4-7 Volatile: experience-led, swayed by short-term swings; add validation + retros",IF(I27&lt;=10,"8-10 At risk: emotion, analogy and single-point calls dominate","11-12 High risk: reactive pattern, no validation, cash at risk"))))</f>
        <v/>
      </c>
    </row>
    <row r="28">
      <c r="I28" s="3">
        <f>IF(A28="","",MIN(2,MAX(0,ROUND(C28,0)))+MIN(2,MAX(0,ROUND(D28,0)))+MIN(2,MAX(0,ROUND(E28,0)))+MIN(2,MAX(0,ROUND(F28,0)))+MIN(2,MAX(0,ROUND(G28,0)))+MIN(2,MAX(0,ROUND(H28,0))))</f>
        <v/>
      </c>
      <c r="J28" s="4">
        <f>IF(A28="","",IF(I28&lt;=3,"0-3 Foundation: verification habit; building a decision system",IF(I28&lt;=7,"4-7 Volatile: experience-led, swayed by short-term swings; add validation + retros",IF(I28&lt;=10,"8-10 At risk: emotion, analogy and single-point calls dominate","11-12 High risk: reactive pattern, no validation, cash at risk"))))</f>
        <v/>
      </c>
    </row>
    <row r="29">
      <c r="I29" s="3">
        <f>IF(A29="","",MIN(2,MAX(0,ROUND(C29,0)))+MIN(2,MAX(0,ROUND(D29,0)))+MIN(2,MAX(0,ROUND(E29,0)))+MIN(2,MAX(0,ROUND(F29,0)))+MIN(2,MAX(0,ROUND(G29,0)))+MIN(2,MAX(0,ROUND(H29,0))))</f>
        <v/>
      </c>
      <c r="J29" s="4">
        <f>IF(A29="","",IF(I29&lt;=3,"0-3 Foundation: verification habit; building a decision system",IF(I29&lt;=7,"4-7 Volatile: experience-led, swayed by short-term swings; add validation + retros",IF(I29&lt;=10,"8-10 At risk: emotion, analogy and single-point calls dominate","11-12 High risk: reactive pattern, no validation, cash at risk"))))</f>
        <v/>
      </c>
    </row>
    <row r="30">
      <c r="I30" s="3">
        <f>IF(A30="","",MIN(2,MAX(0,ROUND(C30,0)))+MIN(2,MAX(0,ROUND(D30,0)))+MIN(2,MAX(0,ROUND(E30,0)))+MIN(2,MAX(0,ROUND(F30,0)))+MIN(2,MAX(0,ROUND(G30,0)))+MIN(2,MAX(0,ROUND(H30,0))))</f>
        <v/>
      </c>
      <c r="J30" s="4">
        <f>IF(A30="","",IF(I30&lt;=3,"0-3 Foundation: verification habit; building a decision system",IF(I30&lt;=7,"4-7 Volatile: experience-led, swayed by short-term swings; add validation + retros",IF(I30&lt;=10,"8-10 At risk: emotion, analogy and single-point calls dominate","11-12 High risk: reactive pattern, no validation, cash at risk"))))</f>
        <v/>
      </c>
    </row>
    <row r="31">
      <c r="I31" s="3">
        <f>IF(A31="","",MIN(2,MAX(0,ROUND(C31,0)))+MIN(2,MAX(0,ROUND(D31,0)))+MIN(2,MAX(0,ROUND(E31,0)))+MIN(2,MAX(0,ROUND(F31,0)))+MIN(2,MAX(0,ROUND(G31,0)))+MIN(2,MAX(0,ROUND(H31,0))))</f>
        <v/>
      </c>
      <c r="J31" s="4">
        <f>IF(A31="","",IF(I31&lt;=3,"0-3 Foundation: verification habit; building a decision system",IF(I31&lt;=7,"4-7 Volatile: experience-led, swayed by short-term swings; add validation + retros",IF(I31&lt;=10,"8-10 At risk: emotion, analogy and single-point calls dominate","11-12 High risk: reactive pattern, no validation, cash at risk"))))</f>
        <v/>
      </c>
    </row>
    <row r="32">
      <c r="I32" s="3">
        <f>IF(A32="","",MIN(2,MAX(0,ROUND(C32,0)))+MIN(2,MAX(0,ROUND(D32,0)))+MIN(2,MAX(0,ROUND(E32,0)))+MIN(2,MAX(0,ROUND(F32,0)))+MIN(2,MAX(0,ROUND(G32,0)))+MIN(2,MAX(0,ROUND(H32,0))))</f>
        <v/>
      </c>
      <c r="J32" s="4">
        <f>IF(A32="","",IF(I32&lt;=3,"0-3 Foundation: verification habit; building a decision system",IF(I32&lt;=7,"4-7 Volatile: experience-led, swayed by short-term swings; add validation + retros",IF(I32&lt;=10,"8-10 At risk: emotion, analogy and single-point calls dominate","11-12 High risk: reactive pattern, no validation, cash at risk"))))</f>
        <v/>
      </c>
    </row>
    <row r="33">
      <c r="I33" s="3">
        <f>IF(A33="","",MIN(2,MAX(0,ROUND(C33,0)))+MIN(2,MAX(0,ROUND(D33,0)))+MIN(2,MAX(0,ROUND(E33,0)))+MIN(2,MAX(0,ROUND(F33,0)))+MIN(2,MAX(0,ROUND(G33,0)))+MIN(2,MAX(0,ROUND(H33,0))))</f>
        <v/>
      </c>
      <c r="J33" s="4">
        <f>IF(A33="","",IF(I33&lt;=3,"0-3 Foundation: verification habit; building a decision system",IF(I33&lt;=7,"4-7 Volatile: experience-led, swayed by short-term swings; add validation + retros",IF(I33&lt;=10,"8-10 At risk: emotion, analogy and single-point calls dominate","11-12 High risk: reactive pattern, no validation, cash at risk"))))</f>
        <v/>
      </c>
    </row>
    <row r="34">
      <c r="I34" s="3">
        <f>IF(A34="","",MIN(2,MAX(0,ROUND(C34,0)))+MIN(2,MAX(0,ROUND(D34,0)))+MIN(2,MAX(0,ROUND(E34,0)))+MIN(2,MAX(0,ROUND(F34,0)))+MIN(2,MAX(0,ROUND(G34,0)))+MIN(2,MAX(0,ROUND(H34,0))))</f>
        <v/>
      </c>
      <c r="J34" s="4">
        <f>IF(A34="","",IF(I34&lt;=3,"0-3 Foundation: verification habit; building a decision system",IF(I34&lt;=7,"4-7 Volatile: experience-led, swayed by short-term swings; add validation + retros",IF(I34&lt;=10,"8-10 At risk: emotion, analogy and single-point calls dominate","11-12 High risk: reactive pattern, no validation, cash at risk"))))</f>
        <v/>
      </c>
    </row>
    <row r="35">
      <c r="I35" s="3">
        <f>IF(A35="","",MIN(2,MAX(0,ROUND(C35,0)))+MIN(2,MAX(0,ROUND(D35,0)))+MIN(2,MAX(0,ROUND(E35,0)))+MIN(2,MAX(0,ROUND(F35,0)))+MIN(2,MAX(0,ROUND(G35,0)))+MIN(2,MAX(0,ROUND(H35,0))))</f>
        <v/>
      </c>
      <c r="J35" s="4">
        <f>IF(A35="","",IF(I35&lt;=3,"0-3 Foundation: verification habit; building a decision system",IF(I35&lt;=7,"4-7 Volatile: experience-led, swayed by short-term swings; add validation + retros",IF(I35&lt;=10,"8-10 At risk: emotion, analogy and single-point calls dominate","11-12 High risk: reactive pattern, no validation, cash at risk"))))</f>
        <v/>
      </c>
    </row>
    <row r="36">
      <c r="I36" s="3">
        <f>IF(A36="","",MIN(2,MAX(0,ROUND(C36,0)))+MIN(2,MAX(0,ROUND(D36,0)))+MIN(2,MAX(0,ROUND(E36,0)))+MIN(2,MAX(0,ROUND(F36,0)))+MIN(2,MAX(0,ROUND(G36,0)))+MIN(2,MAX(0,ROUND(H36,0))))</f>
        <v/>
      </c>
      <c r="J36" s="4">
        <f>IF(A36="","",IF(I36&lt;=3,"0-3 Foundation: verification habit; building a decision system",IF(I36&lt;=7,"4-7 Volatile: experience-led, swayed by short-term swings; add validation + retros",IF(I36&lt;=10,"8-10 At risk: emotion, analogy and single-point calls dominate","11-12 High risk: reactive pattern, no validation, cash at risk"))))</f>
        <v/>
      </c>
    </row>
    <row r="37">
      <c r="I37" s="3">
        <f>IF(A37="","",MIN(2,MAX(0,ROUND(C37,0)))+MIN(2,MAX(0,ROUND(D37,0)))+MIN(2,MAX(0,ROUND(E37,0)))+MIN(2,MAX(0,ROUND(F37,0)))+MIN(2,MAX(0,ROUND(G37,0)))+MIN(2,MAX(0,ROUND(H37,0))))</f>
        <v/>
      </c>
      <c r="J37" s="4">
        <f>IF(A37="","",IF(I37&lt;=3,"0-3 Foundation: verification habit; building a decision system",IF(I37&lt;=7,"4-7 Volatile: experience-led, swayed by short-term swings; add validation + retros",IF(I37&lt;=10,"8-10 At risk: emotion, analogy and single-point calls dominate","11-12 High risk: reactive pattern, no validation, cash at risk"))))</f>
        <v/>
      </c>
    </row>
    <row r="38">
      <c r="I38" s="3">
        <f>IF(A38="","",MIN(2,MAX(0,ROUND(C38,0)))+MIN(2,MAX(0,ROUND(D38,0)))+MIN(2,MAX(0,ROUND(E38,0)))+MIN(2,MAX(0,ROUND(F38,0)))+MIN(2,MAX(0,ROUND(G38,0)))+MIN(2,MAX(0,ROUND(H38,0))))</f>
        <v/>
      </c>
      <c r="J38" s="4">
        <f>IF(A38="","",IF(I38&lt;=3,"0-3 Foundation: verification habit; building a decision system",IF(I38&lt;=7,"4-7 Volatile: experience-led, swayed by short-term swings; add validation + retros",IF(I38&lt;=10,"8-10 At risk: emotion, analogy and single-point calls dominate","11-12 High risk: reactive pattern, no validation, cash at risk"))))</f>
        <v/>
      </c>
    </row>
    <row r="39">
      <c r="I39" s="3">
        <f>IF(A39="","",MIN(2,MAX(0,ROUND(C39,0)))+MIN(2,MAX(0,ROUND(D39,0)))+MIN(2,MAX(0,ROUND(E39,0)))+MIN(2,MAX(0,ROUND(F39,0)))+MIN(2,MAX(0,ROUND(G39,0)))+MIN(2,MAX(0,ROUND(H39,0))))</f>
        <v/>
      </c>
      <c r="J39" s="4">
        <f>IF(A39="","",IF(I39&lt;=3,"0-3 Foundation: verification habit; building a decision system",IF(I39&lt;=7,"4-7 Volatile: experience-led, swayed by short-term swings; add validation + retros",IF(I39&lt;=10,"8-10 At risk: emotion, analogy and single-point calls dominate","11-12 High risk: reactive pattern, no validation, cash at risk"))))</f>
        <v/>
      </c>
    </row>
    <row r="40">
      <c r="I40" s="3">
        <f>IF(A40="","",MIN(2,MAX(0,ROUND(C40,0)))+MIN(2,MAX(0,ROUND(D40,0)))+MIN(2,MAX(0,ROUND(E40,0)))+MIN(2,MAX(0,ROUND(F40,0)))+MIN(2,MAX(0,ROUND(G40,0)))+MIN(2,MAX(0,ROUND(H40,0))))</f>
        <v/>
      </c>
      <c r="J40" s="4">
        <f>IF(A40="","",IF(I40&lt;=3,"0-3 Foundation: verification habit; building a decision system",IF(I40&lt;=7,"4-7 Volatile: experience-led, swayed by short-term swings; add validation + retros",IF(I40&lt;=10,"8-10 At risk: emotion, analogy and single-point calls dominate","11-12 High risk: reactive pattern, no validation, cash at risk"))))</f>
        <v/>
      </c>
    </row>
    <row r="41">
      <c r="I41" s="3">
        <f>IF(A41="","",MIN(2,MAX(0,ROUND(C41,0)))+MIN(2,MAX(0,ROUND(D41,0)))+MIN(2,MAX(0,ROUND(E41,0)))+MIN(2,MAX(0,ROUND(F41,0)))+MIN(2,MAX(0,ROUND(G41,0)))+MIN(2,MAX(0,ROUND(H41,0))))</f>
        <v/>
      </c>
      <c r="J41" s="4">
        <f>IF(A41="","",IF(I41&lt;=3,"0-3 Foundation: verification habit; building a decision system",IF(I41&lt;=7,"4-7 Volatile: experience-led, swayed by short-term swings; add validation + retros",IF(I41&lt;=10,"8-10 At risk: emotion, analogy and single-point calls dominate","11-12 High risk: reactive pattern, no validation, cash at risk"))))</f>
        <v/>
      </c>
    </row>
    <row r="42">
      <c r="I42" s="3">
        <f>IF(A42="","",MIN(2,MAX(0,ROUND(C42,0)))+MIN(2,MAX(0,ROUND(D42,0)))+MIN(2,MAX(0,ROUND(E42,0)))+MIN(2,MAX(0,ROUND(F42,0)))+MIN(2,MAX(0,ROUND(G42,0)))+MIN(2,MAX(0,ROUND(H42,0))))</f>
        <v/>
      </c>
      <c r="J42" s="4">
        <f>IF(A42="","",IF(I42&lt;=3,"0-3 Foundation: verification habit; building a decision system",IF(I42&lt;=7,"4-7 Volatile: experience-led, swayed by short-term swings; add validation + retros",IF(I42&lt;=10,"8-10 At risk: emotion, analogy and single-point calls dominate","11-12 High risk: reactive pattern, no validation, cash at risk"))))</f>
        <v/>
      </c>
    </row>
    <row r="43">
      <c r="I43" s="3">
        <f>IF(A43="","",MIN(2,MAX(0,ROUND(C43,0)))+MIN(2,MAX(0,ROUND(D43,0)))+MIN(2,MAX(0,ROUND(E43,0)))+MIN(2,MAX(0,ROUND(F43,0)))+MIN(2,MAX(0,ROUND(G43,0)))+MIN(2,MAX(0,ROUND(H43,0))))</f>
        <v/>
      </c>
      <c r="J43" s="4">
        <f>IF(A43="","",IF(I43&lt;=3,"0-3 Foundation: verification habit; building a decision system",IF(I43&lt;=7,"4-7 Volatile: experience-led, swayed by short-term swings; add validation + retros",IF(I43&lt;=10,"8-10 At risk: emotion, analogy and single-point calls dominate","11-12 High risk: reactive pattern, no validation, cash at risk"))))</f>
        <v/>
      </c>
    </row>
    <row r="44">
      <c r="I44" s="3">
        <f>IF(A44="","",MIN(2,MAX(0,ROUND(C44,0)))+MIN(2,MAX(0,ROUND(D44,0)))+MIN(2,MAX(0,ROUND(E44,0)))+MIN(2,MAX(0,ROUND(F44,0)))+MIN(2,MAX(0,ROUND(G44,0)))+MIN(2,MAX(0,ROUND(H44,0))))</f>
        <v/>
      </c>
      <c r="J44" s="4">
        <f>IF(A44="","",IF(I44&lt;=3,"0-3 Foundation: verification habit; building a decision system",IF(I44&lt;=7,"4-7 Volatile: experience-led, swayed by short-term swings; add validation + retros",IF(I44&lt;=10,"8-10 At risk: emotion, analogy and single-point calls dominate","11-12 High risk: reactive pattern, no validation, cash at risk"))))</f>
        <v/>
      </c>
    </row>
    <row r="45">
      <c r="I45" s="3">
        <f>IF(A45="","",MIN(2,MAX(0,ROUND(C45,0)))+MIN(2,MAX(0,ROUND(D45,0)))+MIN(2,MAX(0,ROUND(E45,0)))+MIN(2,MAX(0,ROUND(F45,0)))+MIN(2,MAX(0,ROUND(G45,0)))+MIN(2,MAX(0,ROUND(H45,0))))</f>
        <v/>
      </c>
      <c r="J45" s="4">
        <f>IF(A45="","",IF(I45&lt;=3,"0-3 Foundation: verification habit; building a decision system",IF(I45&lt;=7,"4-7 Volatile: experience-led, swayed by short-term swings; add validation + retros",IF(I45&lt;=10,"8-10 At risk: emotion, analogy and single-point calls dominate","11-12 High risk: reactive pattern, no validation, cash at risk"))))</f>
        <v/>
      </c>
    </row>
    <row r="46">
      <c r="I46" s="3">
        <f>IF(A46="","",MIN(2,MAX(0,ROUND(C46,0)))+MIN(2,MAX(0,ROUND(D46,0)))+MIN(2,MAX(0,ROUND(E46,0)))+MIN(2,MAX(0,ROUND(F46,0)))+MIN(2,MAX(0,ROUND(G46,0)))+MIN(2,MAX(0,ROUND(H46,0))))</f>
        <v/>
      </c>
      <c r="J46" s="4">
        <f>IF(A46="","",IF(I46&lt;=3,"0-3 Foundation: verification habit; building a decision system",IF(I46&lt;=7,"4-7 Volatile: experience-led, swayed by short-term swings; add validation + retros",IF(I46&lt;=10,"8-10 At risk: emotion, analogy and single-point calls dominate","11-12 High risk: reactive pattern, no validation, cash at risk"))))</f>
        <v/>
      </c>
    </row>
    <row r="47">
      <c r="I47" s="3">
        <f>IF(A47="","",MIN(2,MAX(0,ROUND(C47,0)))+MIN(2,MAX(0,ROUND(D47,0)))+MIN(2,MAX(0,ROUND(E47,0)))+MIN(2,MAX(0,ROUND(F47,0)))+MIN(2,MAX(0,ROUND(G47,0)))+MIN(2,MAX(0,ROUND(H47,0))))</f>
        <v/>
      </c>
      <c r="J47" s="4">
        <f>IF(A47="","",IF(I47&lt;=3,"0-3 Foundation: verification habit; building a decision system",IF(I47&lt;=7,"4-7 Volatile: experience-led, swayed by short-term swings; add validation + retros",IF(I47&lt;=10,"8-10 At risk: emotion, analogy and single-point calls dominate","11-12 High risk: reactive pattern, no validation, cash at risk"))))</f>
        <v/>
      </c>
    </row>
    <row r="48">
      <c r="I48" s="3">
        <f>IF(A48="","",MIN(2,MAX(0,ROUND(C48,0)))+MIN(2,MAX(0,ROUND(D48,0)))+MIN(2,MAX(0,ROUND(E48,0)))+MIN(2,MAX(0,ROUND(F48,0)))+MIN(2,MAX(0,ROUND(G48,0)))+MIN(2,MAX(0,ROUND(H48,0))))</f>
        <v/>
      </c>
      <c r="J48" s="4">
        <f>IF(A48="","",IF(I48&lt;=3,"0-3 Foundation: verification habit; building a decision system",IF(I48&lt;=7,"4-7 Volatile: experience-led, swayed by short-term swings; add validation + retros",IF(I48&lt;=10,"8-10 At risk: emotion, analogy and single-point calls dominate","11-12 High risk: reactive pattern, no validation, cash at risk"))))</f>
        <v/>
      </c>
    </row>
    <row r="49">
      <c r="I49" s="3">
        <f>IF(A49="","",MIN(2,MAX(0,ROUND(C49,0)))+MIN(2,MAX(0,ROUND(D49,0)))+MIN(2,MAX(0,ROUND(E49,0)))+MIN(2,MAX(0,ROUND(F49,0)))+MIN(2,MAX(0,ROUND(G49,0)))+MIN(2,MAX(0,ROUND(H49,0))))</f>
        <v/>
      </c>
      <c r="J49" s="4">
        <f>IF(A49="","",IF(I49&lt;=3,"0-3 Foundation: verification habit; building a decision system",IF(I49&lt;=7,"4-7 Volatile: experience-led, swayed by short-term swings; add validation + retros",IF(I49&lt;=10,"8-10 At risk: emotion, analogy and single-point calls dominate","11-12 High risk: reactive pattern, no validation, cash at risk"))))</f>
        <v/>
      </c>
    </row>
    <row r="50">
      <c r="I50" s="3">
        <f>IF(A50="","",MIN(2,MAX(0,ROUND(C50,0)))+MIN(2,MAX(0,ROUND(D50,0)))+MIN(2,MAX(0,ROUND(E50,0)))+MIN(2,MAX(0,ROUND(F50,0)))+MIN(2,MAX(0,ROUND(G50,0)))+MIN(2,MAX(0,ROUND(H50,0))))</f>
        <v/>
      </c>
      <c r="J50" s="4">
        <f>IF(A50="","",IF(I50&lt;=3,"0-3 Foundation: verification habit; building a decision system",IF(I50&lt;=7,"4-7 Volatile: experience-led, swayed by short-term swings; add validation + retros",IF(I50&lt;=10,"8-10 At risk: emotion, analogy and single-point calls dominate","11-12 High risk: reactive pattern, no validation, cash at risk"))))</f>
        <v/>
      </c>
    </row>
    <row r="51">
      <c r="I51" s="3">
        <f>IF(A51="","",MIN(2,MAX(0,ROUND(C51,0)))+MIN(2,MAX(0,ROUND(D51,0)))+MIN(2,MAX(0,ROUND(E51,0)))+MIN(2,MAX(0,ROUND(F51,0)))+MIN(2,MAX(0,ROUND(G51,0)))+MIN(2,MAX(0,ROUND(H51,0))))</f>
        <v/>
      </c>
      <c r="J51" s="4">
        <f>IF(A51="","",IF(I51&lt;=3,"0-3 Foundation: verification habit; building a decision system",IF(I51&lt;=7,"4-7 Volatile: experience-led, swayed by short-term swings; add validation + retros",IF(I51&lt;=10,"8-10 At risk: emotion, analogy and single-point calls dominate","11-12 High risk: reactive pattern, no validation, cash at risk"))))</f>
        <v/>
      </c>
    </row>
    <row r="52">
      <c r="I52" s="3">
        <f>IF(A52="","",MIN(2,MAX(0,ROUND(C52,0)))+MIN(2,MAX(0,ROUND(D52,0)))+MIN(2,MAX(0,ROUND(E52,0)))+MIN(2,MAX(0,ROUND(F52,0)))+MIN(2,MAX(0,ROUND(G52,0)))+MIN(2,MAX(0,ROUND(H52,0))))</f>
        <v/>
      </c>
      <c r="J52" s="4">
        <f>IF(A52="","",IF(I52&lt;=3,"0-3 Foundation: verification habit; building a decision system",IF(I52&lt;=7,"4-7 Volatile: experience-led, swayed by short-term swings; add validation + retros",IF(I52&lt;=10,"8-10 At risk: emotion, analogy and single-point calls dominate","11-12 High risk: reactive pattern, no validation, cash at risk"))))</f>
        <v/>
      </c>
    </row>
    <row r="53">
      <c r="I53" s="3">
        <f>IF(A53="","",MIN(2,MAX(0,ROUND(C53,0)))+MIN(2,MAX(0,ROUND(D53,0)))+MIN(2,MAX(0,ROUND(E53,0)))+MIN(2,MAX(0,ROUND(F53,0)))+MIN(2,MAX(0,ROUND(G53,0)))+MIN(2,MAX(0,ROUND(H53,0))))</f>
        <v/>
      </c>
      <c r="J53" s="4">
        <f>IF(A53="","",IF(I53&lt;=3,"0-3 Foundation: verification habit; building a decision system",IF(I53&lt;=7,"4-7 Volatile: experience-led, swayed by short-term swings; add validation + retros",IF(I53&lt;=10,"8-10 At risk: emotion, analogy and single-point calls dominate","11-12 High risk: reactive pattern, no validation, cash at risk"))))</f>
        <v/>
      </c>
    </row>
    <row r="54">
      <c r="I54" s="3">
        <f>IF(A54="","",MIN(2,MAX(0,ROUND(C54,0)))+MIN(2,MAX(0,ROUND(D54,0)))+MIN(2,MAX(0,ROUND(E54,0)))+MIN(2,MAX(0,ROUND(F54,0)))+MIN(2,MAX(0,ROUND(G54,0)))+MIN(2,MAX(0,ROUND(H54,0))))</f>
        <v/>
      </c>
      <c r="J54" s="4">
        <f>IF(A54="","",IF(I54&lt;=3,"0-3 Foundation: verification habit; building a decision system",IF(I54&lt;=7,"4-7 Volatile: experience-led, swayed by short-term swings; add validation + retros",IF(I54&lt;=10,"8-10 At risk: emotion, analogy and single-point calls dominate","11-12 High risk: reactive pattern, no validation, cash at risk"))))</f>
        <v/>
      </c>
    </row>
    <row r="55">
      <c r="I55" s="3">
        <f>IF(A55="","",MIN(2,MAX(0,ROUND(C55,0)))+MIN(2,MAX(0,ROUND(D55,0)))+MIN(2,MAX(0,ROUND(E55,0)))+MIN(2,MAX(0,ROUND(F55,0)))+MIN(2,MAX(0,ROUND(G55,0)))+MIN(2,MAX(0,ROUND(H55,0))))</f>
        <v/>
      </c>
      <c r="J55" s="4">
        <f>IF(A55="","",IF(I55&lt;=3,"0-3 Foundation: verification habit; building a decision system",IF(I55&lt;=7,"4-7 Volatile: experience-led, swayed by short-term swings; add validation + retros",IF(I55&lt;=10,"8-10 At risk: emotion, analogy and single-point calls dominate","11-12 High risk: reactive pattern, no validation, cash at risk"))))</f>
        <v/>
      </c>
    </row>
    <row r="56">
      <c r="I56" s="3">
        <f>IF(A56="","",MIN(2,MAX(0,ROUND(C56,0)))+MIN(2,MAX(0,ROUND(D56,0)))+MIN(2,MAX(0,ROUND(E56,0)))+MIN(2,MAX(0,ROUND(F56,0)))+MIN(2,MAX(0,ROUND(G56,0)))+MIN(2,MAX(0,ROUND(H56,0))))</f>
        <v/>
      </c>
      <c r="J56" s="4">
        <f>IF(A56="","",IF(I56&lt;=3,"0-3 Foundation: verification habit; building a decision system",IF(I56&lt;=7,"4-7 Volatile: experience-led, swayed by short-term swings; add validation + retros",IF(I56&lt;=10,"8-10 At risk: emotion, analogy and single-point calls dominate","11-12 High risk: reactive pattern, no validation, cash at risk"))))</f>
        <v/>
      </c>
    </row>
    <row r="57">
      <c r="I57" s="3">
        <f>IF(A57="","",MIN(2,MAX(0,ROUND(C57,0)))+MIN(2,MAX(0,ROUND(D57,0)))+MIN(2,MAX(0,ROUND(E57,0)))+MIN(2,MAX(0,ROUND(F57,0)))+MIN(2,MAX(0,ROUND(G57,0)))+MIN(2,MAX(0,ROUND(H57,0))))</f>
        <v/>
      </c>
      <c r="J57" s="4">
        <f>IF(A57="","",IF(I57&lt;=3,"0-3 Foundation: verification habit; building a decision system",IF(I57&lt;=7,"4-7 Volatile: experience-led, swayed by short-term swings; add validation + retros",IF(I57&lt;=10,"8-10 At risk: emotion, analogy and single-point calls dominate","11-12 High risk: reactive pattern, no validation, cash at risk"))))</f>
        <v/>
      </c>
    </row>
    <row r="58">
      <c r="I58" s="3">
        <f>IF(A58="","",MIN(2,MAX(0,ROUND(C58,0)))+MIN(2,MAX(0,ROUND(D58,0)))+MIN(2,MAX(0,ROUND(E58,0)))+MIN(2,MAX(0,ROUND(F58,0)))+MIN(2,MAX(0,ROUND(G58,0)))+MIN(2,MAX(0,ROUND(H58,0))))</f>
        <v/>
      </c>
      <c r="J58" s="4">
        <f>IF(A58="","",IF(I58&lt;=3,"0-3 Foundation: verification habit; building a decision system",IF(I58&lt;=7,"4-7 Volatile: experience-led, swayed by short-term swings; add validation + retros",IF(I58&lt;=10,"8-10 At risk: emotion, analogy and single-point calls dominate","11-12 High risk: reactive pattern, no validation, cash at risk"))))</f>
        <v/>
      </c>
    </row>
    <row r="59">
      <c r="I59" s="3">
        <f>IF(A59="","",MIN(2,MAX(0,ROUND(C59,0)))+MIN(2,MAX(0,ROUND(D59,0)))+MIN(2,MAX(0,ROUND(E59,0)))+MIN(2,MAX(0,ROUND(F59,0)))+MIN(2,MAX(0,ROUND(G59,0)))+MIN(2,MAX(0,ROUND(H59,0))))</f>
        <v/>
      </c>
      <c r="J59" s="4">
        <f>IF(A59="","",IF(I59&lt;=3,"0-3 Foundation: verification habit; building a decision system",IF(I59&lt;=7,"4-7 Volatile: experience-led, swayed by short-term swings; add validation + retros",IF(I59&lt;=10,"8-10 At risk: emotion, analogy and single-point calls dominate","11-12 High risk: reactive pattern, no validation, cash at risk"))))</f>
        <v/>
      </c>
    </row>
    <row r="60">
      <c r="I60" s="3">
        <f>IF(A60="","",MIN(2,MAX(0,ROUND(C60,0)))+MIN(2,MAX(0,ROUND(D60,0)))+MIN(2,MAX(0,ROUND(E60,0)))+MIN(2,MAX(0,ROUND(F60,0)))+MIN(2,MAX(0,ROUND(G60,0)))+MIN(2,MAX(0,ROUND(H60,0))))</f>
        <v/>
      </c>
      <c r="J60" s="4">
        <f>IF(A60="","",IF(I60&lt;=3,"0-3 Foundation: verification habit; building a decision system",IF(I60&lt;=7,"4-7 Volatile: experience-led, swayed by short-term swings; add validation + retros",IF(I60&lt;=10,"8-10 At risk: emotion, analogy and single-point calls dominate","11-12 High risk: reactive pattern, no validation, cash at risk"))))</f>
        <v/>
      </c>
    </row>
    <row r="61">
      <c r="I61" s="3">
        <f>IF(A61="","",MIN(2,MAX(0,ROUND(C61,0)))+MIN(2,MAX(0,ROUND(D61,0)))+MIN(2,MAX(0,ROUND(E61,0)))+MIN(2,MAX(0,ROUND(F61,0)))+MIN(2,MAX(0,ROUND(G61,0)))+MIN(2,MAX(0,ROUND(H61,0))))</f>
        <v/>
      </c>
      <c r="J61" s="4">
        <f>IF(A61="","",IF(I61&lt;=3,"0-3 Foundation: verification habit; building a decision system",IF(I61&lt;=7,"4-7 Volatile: experience-led, swayed by short-term swings; add validation + retros",IF(I61&lt;=10,"8-10 At risk: emotion, analogy and single-point calls dominate","11-12 High risk: reactive pattern, no validation, cash at risk"))))</f>
        <v/>
      </c>
    </row>
    <row r="62">
      <c r="I62" s="3">
        <f>IF(A62="","",MIN(2,MAX(0,ROUND(C62,0)))+MIN(2,MAX(0,ROUND(D62,0)))+MIN(2,MAX(0,ROUND(E62,0)))+MIN(2,MAX(0,ROUND(F62,0)))+MIN(2,MAX(0,ROUND(G62,0)))+MIN(2,MAX(0,ROUND(H62,0))))</f>
        <v/>
      </c>
      <c r="J62" s="4">
        <f>IF(A62="","",IF(I62&lt;=3,"0-3 Foundation: verification habit; building a decision system",IF(I62&lt;=7,"4-7 Volatile: experience-led, swayed by short-term swings; add validation + retros",IF(I62&lt;=10,"8-10 At risk: emotion, analogy and single-point calls dominate","11-12 High risk: reactive pattern, no validation, cash at risk"))))</f>
        <v/>
      </c>
    </row>
    <row r="63">
      <c r="I63" s="3">
        <f>IF(A63="","",MIN(2,MAX(0,ROUND(C63,0)))+MIN(2,MAX(0,ROUND(D63,0)))+MIN(2,MAX(0,ROUND(E63,0)))+MIN(2,MAX(0,ROUND(F63,0)))+MIN(2,MAX(0,ROUND(G63,0)))+MIN(2,MAX(0,ROUND(H63,0))))</f>
        <v/>
      </c>
      <c r="J63" s="4">
        <f>IF(A63="","",IF(I63&lt;=3,"0-3 Foundation: verification habit; building a decision system",IF(I63&lt;=7,"4-7 Volatile: experience-led, swayed by short-term swings; add validation + retros",IF(I63&lt;=10,"8-10 At risk: emotion, analogy and single-point calls dominate","11-12 High risk: reactive pattern, no validation, cash at risk"))))</f>
        <v/>
      </c>
    </row>
    <row r="64">
      <c r="I64" s="3">
        <f>IF(A64="","",MIN(2,MAX(0,ROUND(C64,0)))+MIN(2,MAX(0,ROUND(D64,0)))+MIN(2,MAX(0,ROUND(E64,0)))+MIN(2,MAX(0,ROUND(F64,0)))+MIN(2,MAX(0,ROUND(G64,0)))+MIN(2,MAX(0,ROUND(H64,0))))</f>
        <v/>
      </c>
      <c r="J64" s="4">
        <f>IF(A64="","",IF(I64&lt;=3,"0-3 Foundation: verification habit; building a decision system",IF(I64&lt;=7,"4-7 Volatile: experience-led, swayed by short-term swings; add validation + retros",IF(I64&lt;=10,"8-10 At risk: emotion, analogy and single-point calls dominate","11-12 High risk: reactive pattern, no validation, cash at risk"))))</f>
        <v/>
      </c>
    </row>
    <row r="65">
      <c r="I65" s="3">
        <f>IF(A65="","",MIN(2,MAX(0,ROUND(C65,0)))+MIN(2,MAX(0,ROUND(D65,0)))+MIN(2,MAX(0,ROUND(E65,0)))+MIN(2,MAX(0,ROUND(F65,0)))+MIN(2,MAX(0,ROUND(G65,0)))+MIN(2,MAX(0,ROUND(H65,0))))</f>
        <v/>
      </c>
      <c r="J65" s="4">
        <f>IF(A65="","",IF(I65&lt;=3,"0-3 Foundation: verification habit; building a decision system",IF(I65&lt;=7,"4-7 Volatile: experience-led, swayed by short-term swings; add validation + retros",IF(I65&lt;=10,"8-10 At risk: emotion, analogy and single-point calls dominate","11-12 High risk: reactive pattern, no validation, cash at risk"))))</f>
        <v/>
      </c>
    </row>
    <row r="66">
      <c r="I66" s="3">
        <f>IF(A66="","",MIN(2,MAX(0,ROUND(C66,0)))+MIN(2,MAX(0,ROUND(D66,0)))+MIN(2,MAX(0,ROUND(E66,0)))+MIN(2,MAX(0,ROUND(F66,0)))+MIN(2,MAX(0,ROUND(G66,0)))+MIN(2,MAX(0,ROUND(H66,0))))</f>
        <v/>
      </c>
      <c r="J66" s="4">
        <f>IF(A66="","",IF(I66&lt;=3,"0-3 Foundation: verification habit; building a decision system",IF(I66&lt;=7,"4-7 Volatile: experience-led, swayed by short-term swings; add validation + retros",IF(I66&lt;=10,"8-10 At risk: emotion, analogy and single-point calls dominate","11-12 High risk: reactive pattern, no validation, cash at risk"))))</f>
        <v/>
      </c>
    </row>
    <row r="67">
      <c r="I67" s="3">
        <f>IF(A67="","",MIN(2,MAX(0,ROUND(C67,0)))+MIN(2,MAX(0,ROUND(D67,0)))+MIN(2,MAX(0,ROUND(E67,0)))+MIN(2,MAX(0,ROUND(F67,0)))+MIN(2,MAX(0,ROUND(G67,0)))+MIN(2,MAX(0,ROUND(H67,0))))</f>
        <v/>
      </c>
      <c r="J67" s="4">
        <f>IF(A67="","",IF(I67&lt;=3,"0-3 Foundation: verification habit; building a decision system",IF(I67&lt;=7,"4-7 Volatile: experience-led, swayed by short-term swings; add validation + retros",IF(I67&lt;=10,"8-10 At risk: emotion, analogy and single-point calls dominate","11-12 High risk: reactive pattern, no validation, cash at risk"))))</f>
        <v/>
      </c>
    </row>
    <row r="68">
      <c r="I68" s="3">
        <f>IF(A68="","",MIN(2,MAX(0,ROUND(C68,0)))+MIN(2,MAX(0,ROUND(D68,0)))+MIN(2,MAX(0,ROUND(E68,0)))+MIN(2,MAX(0,ROUND(F68,0)))+MIN(2,MAX(0,ROUND(G68,0)))+MIN(2,MAX(0,ROUND(H68,0))))</f>
        <v/>
      </c>
      <c r="J68" s="4">
        <f>IF(A68="","",IF(I68&lt;=3,"0-3 Foundation: verification habit; building a decision system",IF(I68&lt;=7,"4-7 Volatile: experience-led, swayed by short-term swings; add validation + retros",IF(I68&lt;=10,"8-10 At risk: emotion, analogy and single-point calls dominate","11-12 High risk: reactive pattern, no validation, cash at risk"))))</f>
        <v/>
      </c>
    </row>
    <row r="69">
      <c r="I69" s="3">
        <f>IF(A69="","",MIN(2,MAX(0,ROUND(C69,0)))+MIN(2,MAX(0,ROUND(D69,0)))+MIN(2,MAX(0,ROUND(E69,0)))+MIN(2,MAX(0,ROUND(F69,0)))+MIN(2,MAX(0,ROUND(G69,0)))+MIN(2,MAX(0,ROUND(H69,0))))</f>
        <v/>
      </c>
      <c r="J69" s="4">
        <f>IF(A69="","",IF(I69&lt;=3,"0-3 Foundation: verification habit; building a decision system",IF(I69&lt;=7,"4-7 Volatile: experience-led, swayed by short-term swings; add validation + retros",IF(I69&lt;=10,"8-10 At risk: emotion, analogy and single-point calls dominate","11-12 High risk: reactive pattern, no validation, cash at risk"))))</f>
        <v/>
      </c>
    </row>
    <row r="70">
      <c r="I70" s="3">
        <f>IF(A70="","",MIN(2,MAX(0,ROUND(C70,0)))+MIN(2,MAX(0,ROUND(D70,0)))+MIN(2,MAX(0,ROUND(E70,0)))+MIN(2,MAX(0,ROUND(F70,0)))+MIN(2,MAX(0,ROUND(G70,0)))+MIN(2,MAX(0,ROUND(H70,0))))</f>
        <v/>
      </c>
      <c r="J70" s="4">
        <f>IF(A70="","",IF(I70&lt;=3,"0-3 Foundation: verification habit; building a decision system",IF(I70&lt;=7,"4-7 Volatile: experience-led, swayed by short-term swings; add validation + retros",IF(I70&lt;=10,"8-10 At risk: emotion, analogy and single-point calls dominate","11-12 High risk: reactive pattern, no validation, cash at risk"))))</f>
        <v/>
      </c>
    </row>
    <row r="71">
      <c r="I71" s="3">
        <f>IF(A71="","",MIN(2,MAX(0,ROUND(C71,0)))+MIN(2,MAX(0,ROUND(D71,0)))+MIN(2,MAX(0,ROUND(E71,0)))+MIN(2,MAX(0,ROUND(F71,0)))+MIN(2,MAX(0,ROUND(G71,0)))+MIN(2,MAX(0,ROUND(H71,0))))</f>
        <v/>
      </c>
      <c r="J71" s="4">
        <f>IF(A71="","",IF(I71&lt;=3,"0-3 Foundation: verification habit; building a decision system",IF(I71&lt;=7,"4-7 Volatile: experience-led, swayed by short-term swings; add validation + retros",IF(I71&lt;=10,"8-10 At risk: emotion, analogy and single-point calls dominate","11-12 High risk: reactive pattern, no validation, cash at risk"))))</f>
        <v/>
      </c>
    </row>
    <row r="72">
      <c r="I72" s="3">
        <f>IF(A72="","",MIN(2,MAX(0,ROUND(C72,0)))+MIN(2,MAX(0,ROUND(D72,0)))+MIN(2,MAX(0,ROUND(E72,0)))+MIN(2,MAX(0,ROUND(F72,0)))+MIN(2,MAX(0,ROUND(G72,0)))+MIN(2,MAX(0,ROUND(H72,0))))</f>
        <v/>
      </c>
      <c r="J72" s="4">
        <f>IF(A72="","",IF(I72&lt;=3,"0-3 Foundation: verification habit; building a decision system",IF(I72&lt;=7,"4-7 Volatile: experience-led, swayed by short-term swings; add validation + retros",IF(I72&lt;=10,"8-10 At risk: emotion, analogy and single-point calls dominate","11-12 High risk: reactive pattern, no validation, cash at risk"))))</f>
        <v/>
      </c>
    </row>
    <row r="73">
      <c r="I73" s="3">
        <f>IF(A73="","",MIN(2,MAX(0,ROUND(C73,0)))+MIN(2,MAX(0,ROUND(D73,0)))+MIN(2,MAX(0,ROUND(E73,0)))+MIN(2,MAX(0,ROUND(F73,0)))+MIN(2,MAX(0,ROUND(G73,0)))+MIN(2,MAX(0,ROUND(H73,0))))</f>
        <v/>
      </c>
      <c r="J73" s="4">
        <f>IF(A73="","",IF(I73&lt;=3,"0-3 Foundation: verification habit; building a decision system",IF(I73&lt;=7,"4-7 Volatile: experience-led, swayed by short-term swings; add validation + retros",IF(I73&lt;=10,"8-10 At risk: emotion, analogy and single-point calls dominate","11-12 High risk: reactive pattern, no validation, cash at risk"))))</f>
        <v/>
      </c>
    </row>
    <row r="74">
      <c r="I74" s="3">
        <f>IF(A74="","",MIN(2,MAX(0,ROUND(C74,0)))+MIN(2,MAX(0,ROUND(D74,0)))+MIN(2,MAX(0,ROUND(E74,0)))+MIN(2,MAX(0,ROUND(F74,0)))+MIN(2,MAX(0,ROUND(G74,0)))+MIN(2,MAX(0,ROUND(H74,0))))</f>
        <v/>
      </c>
      <c r="J74" s="4">
        <f>IF(A74="","",IF(I74&lt;=3,"0-3 Foundation: verification habit; building a decision system",IF(I74&lt;=7,"4-7 Volatile: experience-led, swayed by short-term swings; add validation + retros",IF(I74&lt;=10,"8-10 At risk: emotion, analogy and single-point calls dominate","11-12 High risk: reactive pattern, no validation, cash at risk"))))</f>
        <v/>
      </c>
    </row>
    <row r="75">
      <c r="I75" s="3">
        <f>IF(A75="","",MIN(2,MAX(0,ROUND(C75,0)))+MIN(2,MAX(0,ROUND(D75,0)))+MIN(2,MAX(0,ROUND(E75,0)))+MIN(2,MAX(0,ROUND(F75,0)))+MIN(2,MAX(0,ROUND(G75,0)))+MIN(2,MAX(0,ROUND(H75,0))))</f>
        <v/>
      </c>
      <c r="J75" s="4">
        <f>IF(A75="","",IF(I75&lt;=3,"0-3 Foundation: verification habit; building a decision system",IF(I75&lt;=7,"4-7 Volatile: experience-led, swayed by short-term swings; add validation + retros",IF(I75&lt;=10,"8-10 At risk: emotion, analogy and single-point calls dominate","11-12 High risk: reactive pattern, no validation, cash at risk"))))</f>
        <v/>
      </c>
    </row>
    <row r="76">
      <c r="I76" s="3">
        <f>IF(A76="","",MIN(2,MAX(0,ROUND(C76,0)))+MIN(2,MAX(0,ROUND(D76,0)))+MIN(2,MAX(0,ROUND(E76,0)))+MIN(2,MAX(0,ROUND(F76,0)))+MIN(2,MAX(0,ROUND(G76,0)))+MIN(2,MAX(0,ROUND(H76,0))))</f>
        <v/>
      </c>
      <c r="J76" s="4">
        <f>IF(A76="","",IF(I76&lt;=3,"0-3 Foundation: verification habit; building a decision system",IF(I76&lt;=7,"4-7 Volatile: experience-led, swayed by short-term swings; add validation + retros",IF(I76&lt;=10,"8-10 At risk: emotion, analogy and single-point calls dominate","11-12 High risk: reactive pattern, no validation, cash at risk"))))</f>
        <v/>
      </c>
    </row>
    <row r="77">
      <c r="I77" s="3">
        <f>IF(A77="","",MIN(2,MAX(0,ROUND(C77,0)))+MIN(2,MAX(0,ROUND(D77,0)))+MIN(2,MAX(0,ROUND(E77,0)))+MIN(2,MAX(0,ROUND(F77,0)))+MIN(2,MAX(0,ROUND(G77,0)))+MIN(2,MAX(0,ROUND(H77,0))))</f>
        <v/>
      </c>
      <c r="J77" s="4">
        <f>IF(A77="","",IF(I77&lt;=3,"0-3 Foundation: verification habit; building a decision system",IF(I77&lt;=7,"4-7 Volatile: experience-led, swayed by short-term swings; add validation + retros",IF(I77&lt;=10,"8-10 At risk: emotion, analogy and single-point calls dominate","11-12 High risk: reactive pattern, no validation, cash at risk"))))</f>
        <v/>
      </c>
    </row>
    <row r="78">
      <c r="I78" s="3">
        <f>IF(A78="","",MIN(2,MAX(0,ROUND(C78,0)))+MIN(2,MAX(0,ROUND(D78,0)))+MIN(2,MAX(0,ROUND(E78,0)))+MIN(2,MAX(0,ROUND(F78,0)))+MIN(2,MAX(0,ROUND(G78,0)))+MIN(2,MAX(0,ROUND(H78,0))))</f>
        <v/>
      </c>
      <c r="J78" s="4">
        <f>IF(A78="","",IF(I78&lt;=3,"0-3 Foundation: verification habit; building a decision system",IF(I78&lt;=7,"4-7 Volatile: experience-led, swayed by short-term swings; add validation + retros",IF(I78&lt;=10,"8-10 At risk: emotion, analogy and single-point calls dominate","11-12 High risk: reactive pattern, no validation, cash at risk"))))</f>
        <v/>
      </c>
    </row>
    <row r="79">
      <c r="I79" s="3">
        <f>IF(A79="","",MIN(2,MAX(0,ROUND(C79,0)))+MIN(2,MAX(0,ROUND(D79,0)))+MIN(2,MAX(0,ROUND(E79,0)))+MIN(2,MAX(0,ROUND(F79,0)))+MIN(2,MAX(0,ROUND(G79,0)))+MIN(2,MAX(0,ROUND(H79,0))))</f>
        <v/>
      </c>
      <c r="J79" s="4">
        <f>IF(A79="","",IF(I79&lt;=3,"0-3 Foundation: verification habit; building a decision system",IF(I79&lt;=7,"4-7 Volatile: experience-led, swayed by short-term swings; add validation + retros",IF(I79&lt;=10,"8-10 At risk: emotion, analogy and single-point calls dominate","11-12 High risk: reactive pattern, no validation, cash at risk"))))</f>
        <v/>
      </c>
    </row>
    <row r="80">
      <c r="I80" s="3">
        <f>IF(A80="","",MIN(2,MAX(0,ROUND(C80,0)))+MIN(2,MAX(0,ROUND(D80,0)))+MIN(2,MAX(0,ROUND(E80,0)))+MIN(2,MAX(0,ROUND(F80,0)))+MIN(2,MAX(0,ROUND(G80,0)))+MIN(2,MAX(0,ROUND(H80,0))))</f>
        <v/>
      </c>
      <c r="J80" s="4">
        <f>IF(A80="","",IF(I80&lt;=3,"0-3 Foundation: verification habit; building a decision system",IF(I80&lt;=7,"4-7 Volatile: experience-led, swayed by short-term swings; add validation + retros",IF(I80&lt;=10,"8-10 At risk: emotion, analogy and single-point calls dominate","11-12 High risk: reactive pattern, no validation, cash at risk"))))</f>
        <v/>
      </c>
    </row>
    <row r="81">
      <c r="I81" s="3">
        <f>IF(A81="","",MIN(2,MAX(0,ROUND(C81,0)))+MIN(2,MAX(0,ROUND(D81,0)))+MIN(2,MAX(0,ROUND(E81,0)))+MIN(2,MAX(0,ROUND(F81,0)))+MIN(2,MAX(0,ROUND(G81,0)))+MIN(2,MAX(0,ROUND(H81,0))))</f>
        <v/>
      </c>
      <c r="J81" s="4">
        <f>IF(A81="","",IF(I81&lt;=3,"0-3 Foundation: verification habit; building a decision system",IF(I81&lt;=7,"4-7 Volatile: experience-led, swayed by short-term swings; add validation + retros",IF(I81&lt;=10,"8-10 At risk: emotion, analogy and single-point calls dominate","11-12 High risk: reactive pattern, no validation, cash at risk"))))</f>
        <v/>
      </c>
    </row>
    <row r="82">
      <c r="I82" s="3">
        <f>IF(A82="","",MIN(2,MAX(0,ROUND(C82,0)))+MIN(2,MAX(0,ROUND(D82,0)))+MIN(2,MAX(0,ROUND(E82,0)))+MIN(2,MAX(0,ROUND(F82,0)))+MIN(2,MAX(0,ROUND(G82,0)))+MIN(2,MAX(0,ROUND(H82,0))))</f>
        <v/>
      </c>
      <c r="J82" s="4">
        <f>IF(A82="","",IF(I82&lt;=3,"0-3 Foundation: verification habit; building a decision system",IF(I82&lt;=7,"4-7 Volatile: experience-led, swayed by short-term swings; add validation + retros",IF(I82&lt;=10,"8-10 At risk: emotion, analogy and single-point calls dominate","11-12 High risk: reactive pattern, no validation, cash at risk"))))</f>
        <v/>
      </c>
    </row>
    <row r="83">
      <c r="I83" s="3">
        <f>IF(A83="","",MIN(2,MAX(0,ROUND(C83,0)))+MIN(2,MAX(0,ROUND(D83,0)))+MIN(2,MAX(0,ROUND(E83,0)))+MIN(2,MAX(0,ROUND(F83,0)))+MIN(2,MAX(0,ROUND(G83,0)))+MIN(2,MAX(0,ROUND(H83,0))))</f>
        <v/>
      </c>
      <c r="J83" s="4">
        <f>IF(A83="","",IF(I83&lt;=3,"0-3 Foundation: verification habit; building a decision system",IF(I83&lt;=7,"4-7 Volatile: experience-led, swayed by short-term swings; add validation + retros",IF(I83&lt;=10,"8-10 At risk: emotion, analogy and single-point calls dominate","11-12 High risk: reactive pattern, no validation, cash at risk"))))</f>
        <v/>
      </c>
    </row>
    <row r="84">
      <c r="I84" s="3">
        <f>IF(A84="","",MIN(2,MAX(0,ROUND(C84,0)))+MIN(2,MAX(0,ROUND(D84,0)))+MIN(2,MAX(0,ROUND(E84,0)))+MIN(2,MAX(0,ROUND(F84,0)))+MIN(2,MAX(0,ROUND(G84,0)))+MIN(2,MAX(0,ROUND(H84,0))))</f>
        <v/>
      </c>
      <c r="J84" s="4">
        <f>IF(A84="","",IF(I84&lt;=3,"0-3 Foundation: verification habit; building a decision system",IF(I84&lt;=7,"4-7 Volatile: experience-led, swayed by short-term swings; add validation + retros",IF(I84&lt;=10,"8-10 At risk: emotion, analogy and single-point calls dominate","11-12 High risk: reactive pattern, no validation, cash at risk"))))</f>
        <v/>
      </c>
    </row>
    <row r="85">
      <c r="I85" s="3">
        <f>IF(A85="","",MIN(2,MAX(0,ROUND(C85,0)))+MIN(2,MAX(0,ROUND(D85,0)))+MIN(2,MAX(0,ROUND(E85,0)))+MIN(2,MAX(0,ROUND(F85,0)))+MIN(2,MAX(0,ROUND(G85,0)))+MIN(2,MAX(0,ROUND(H85,0))))</f>
        <v/>
      </c>
      <c r="J85" s="4">
        <f>IF(A85="","",IF(I85&lt;=3,"0-3 Foundation: verification habit; building a decision system",IF(I85&lt;=7,"4-7 Volatile: experience-led, swayed by short-term swings; add validation + retros",IF(I85&lt;=10,"8-10 At risk: emotion, analogy and single-point calls dominate","11-12 High risk: reactive pattern, no validation, cash at risk"))))</f>
        <v/>
      </c>
    </row>
    <row r="86">
      <c r="I86" s="3">
        <f>IF(A86="","",MIN(2,MAX(0,ROUND(C86,0)))+MIN(2,MAX(0,ROUND(D86,0)))+MIN(2,MAX(0,ROUND(E86,0)))+MIN(2,MAX(0,ROUND(F86,0)))+MIN(2,MAX(0,ROUND(G86,0)))+MIN(2,MAX(0,ROUND(H86,0))))</f>
        <v/>
      </c>
      <c r="J86" s="4">
        <f>IF(A86="","",IF(I86&lt;=3,"0-3 Foundation: verification habit; building a decision system",IF(I86&lt;=7,"4-7 Volatile: experience-led, swayed by short-term swings; add validation + retros",IF(I86&lt;=10,"8-10 At risk: emotion, analogy and single-point calls dominate","11-12 High risk: reactive pattern, no validation, cash at risk"))))</f>
        <v/>
      </c>
    </row>
    <row r="87">
      <c r="I87" s="3">
        <f>IF(A87="","",MIN(2,MAX(0,ROUND(C87,0)))+MIN(2,MAX(0,ROUND(D87,0)))+MIN(2,MAX(0,ROUND(E87,0)))+MIN(2,MAX(0,ROUND(F87,0)))+MIN(2,MAX(0,ROUND(G87,0)))+MIN(2,MAX(0,ROUND(H87,0))))</f>
        <v/>
      </c>
      <c r="J87" s="4">
        <f>IF(A87="","",IF(I87&lt;=3,"0-3 Foundation: verification habit; building a decision system",IF(I87&lt;=7,"4-7 Volatile: experience-led, swayed by short-term swings; add validation + retros",IF(I87&lt;=10,"8-10 At risk: emotion, analogy and single-point calls dominate","11-12 High risk: reactive pattern, no validation, cash at risk"))))</f>
        <v/>
      </c>
    </row>
    <row r="88">
      <c r="I88" s="3">
        <f>IF(A88="","",MIN(2,MAX(0,ROUND(C88,0)))+MIN(2,MAX(0,ROUND(D88,0)))+MIN(2,MAX(0,ROUND(E88,0)))+MIN(2,MAX(0,ROUND(F88,0)))+MIN(2,MAX(0,ROUND(G88,0)))+MIN(2,MAX(0,ROUND(H88,0))))</f>
        <v/>
      </c>
      <c r="J88" s="4">
        <f>IF(A88="","",IF(I88&lt;=3,"0-3 Foundation: verification habit; building a decision system",IF(I88&lt;=7,"4-7 Volatile: experience-led, swayed by short-term swings; add validation + retros",IF(I88&lt;=10,"8-10 At risk: emotion, analogy and single-point calls dominate","11-12 High risk: reactive pattern, no validation, cash at risk"))))</f>
        <v/>
      </c>
    </row>
    <row r="89">
      <c r="I89" s="3">
        <f>IF(A89="","",MIN(2,MAX(0,ROUND(C89,0)))+MIN(2,MAX(0,ROUND(D89,0)))+MIN(2,MAX(0,ROUND(E89,0)))+MIN(2,MAX(0,ROUND(F89,0)))+MIN(2,MAX(0,ROUND(G89,0)))+MIN(2,MAX(0,ROUND(H89,0))))</f>
        <v/>
      </c>
      <c r="J89" s="4">
        <f>IF(A89="","",IF(I89&lt;=3,"0-3 Foundation: verification habit; building a decision system",IF(I89&lt;=7,"4-7 Volatile: experience-led, swayed by short-term swings; add validation + retros",IF(I89&lt;=10,"8-10 At risk: emotion, analogy and single-point calls dominate","11-12 High risk: reactive pattern, no validation, cash at risk"))))</f>
        <v/>
      </c>
    </row>
    <row r="90">
      <c r="I90" s="3">
        <f>IF(A90="","",MIN(2,MAX(0,ROUND(C90,0)))+MIN(2,MAX(0,ROUND(D90,0)))+MIN(2,MAX(0,ROUND(E90,0)))+MIN(2,MAX(0,ROUND(F90,0)))+MIN(2,MAX(0,ROUND(G90,0)))+MIN(2,MAX(0,ROUND(H90,0))))</f>
        <v/>
      </c>
      <c r="J90" s="4">
        <f>IF(A90="","",IF(I90&lt;=3,"0-3 Foundation: verification habit; building a decision system",IF(I90&lt;=7,"4-7 Volatile: experience-led, swayed by short-term swings; add validation + retros",IF(I90&lt;=10,"8-10 At risk: emotion, analogy and single-point calls dominate","11-12 High risk: reactive pattern, no validation, cash at risk"))))</f>
        <v/>
      </c>
    </row>
    <row r="91">
      <c r="I91" s="3">
        <f>IF(A91="","",MIN(2,MAX(0,ROUND(C91,0)))+MIN(2,MAX(0,ROUND(D91,0)))+MIN(2,MAX(0,ROUND(E91,0)))+MIN(2,MAX(0,ROUND(F91,0)))+MIN(2,MAX(0,ROUND(G91,0)))+MIN(2,MAX(0,ROUND(H91,0))))</f>
        <v/>
      </c>
      <c r="J91" s="4">
        <f>IF(A91="","",IF(I91&lt;=3,"0-3 Foundation: verification habit; building a decision system",IF(I91&lt;=7,"4-7 Volatile: experience-led, swayed by short-term swings; add validation + retros",IF(I91&lt;=10,"8-10 At risk: emotion, analogy and single-point calls dominate","11-12 High risk: reactive pattern, no validation, cash at risk"))))</f>
        <v/>
      </c>
    </row>
    <row r="92">
      <c r="I92" s="3">
        <f>IF(A92="","",MIN(2,MAX(0,ROUND(C92,0)))+MIN(2,MAX(0,ROUND(D92,0)))+MIN(2,MAX(0,ROUND(E92,0)))+MIN(2,MAX(0,ROUND(F92,0)))+MIN(2,MAX(0,ROUND(G92,0)))+MIN(2,MAX(0,ROUND(H92,0))))</f>
        <v/>
      </c>
      <c r="J92" s="4">
        <f>IF(A92="","",IF(I92&lt;=3,"0-3 Foundation: verification habit; building a decision system",IF(I92&lt;=7,"4-7 Volatile: experience-led, swayed by short-term swings; add validation + retros",IF(I92&lt;=10,"8-10 At risk: emotion, analogy and single-point calls dominate","11-12 High risk: reactive pattern, no validation, cash at risk"))))</f>
        <v/>
      </c>
    </row>
    <row r="93">
      <c r="I93" s="3">
        <f>IF(A93="","",MIN(2,MAX(0,ROUND(C93,0)))+MIN(2,MAX(0,ROUND(D93,0)))+MIN(2,MAX(0,ROUND(E93,0)))+MIN(2,MAX(0,ROUND(F93,0)))+MIN(2,MAX(0,ROUND(G93,0)))+MIN(2,MAX(0,ROUND(H93,0))))</f>
        <v/>
      </c>
      <c r="J93" s="4">
        <f>IF(A93="","",IF(I93&lt;=3,"0-3 Foundation: verification habit; building a decision system",IF(I93&lt;=7,"4-7 Volatile: experience-led, swayed by short-term swings; add validation + retros",IF(I93&lt;=10,"8-10 At risk: emotion, analogy and single-point calls dominate","11-12 High risk: reactive pattern, no validation, cash at risk"))))</f>
        <v/>
      </c>
    </row>
    <row r="94">
      <c r="I94" s="3">
        <f>IF(A94="","",MIN(2,MAX(0,ROUND(C94,0)))+MIN(2,MAX(0,ROUND(D94,0)))+MIN(2,MAX(0,ROUND(E94,0)))+MIN(2,MAX(0,ROUND(F94,0)))+MIN(2,MAX(0,ROUND(G94,0)))+MIN(2,MAX(0,ROUND(H94,0))))</f>
        <v/>
      </c>
      <c r="J94" s="4">
        <f>IF(A94="","",IF(I94&lt;=3,"0-3 Foundation: verification habit; building a decision system",IF(I94&lt;=7,"4-7 Volatile: experience-led, swayed by short-term swings; add validation + retros",IF(I94&lt;=10,"8-10 At risk: emotion, analogy and single-point calls dominate","11-12 High risk: reactive pattern, no validation, cash at risk"))))</f>
        <v/>
      </c>
    </row>
    <row r="95">
      <c r="I95" s="3">
        <f>IF(A95="","",MIN(2,MAX(0,ROUND(C95,0)))+MIN(2,MAX(0,ROUND(D95,0)))+MIN(2,MAX(0,ROUND(E95,0)))+MIN(2,MAX(0,ROUND(F95,0)))+MIN(2,MAX(0,ROUND(G95,0)))+MIN(2,MAX(0,ROUND(H95,0))))</f>
        <v/>
      </c>
      <c r="J95" s="4">
        <f>IF(A95="","",IF(I95&lt;=3,"0-3 Foundation: verification habit; building a decision system",IF(I95&lt;=7,"4-7 Volatile: experience-led, swayed by short-term swings; add validation + retros",IF(I95&lt;=10,"8-10 At risk: emotion, analogy and single-point calls dominate","11-12 High risk: reactive pattern, no validation, cash at risk"))))</f>
        <v/>
      </c>
    </row>
    <row r="96">
      <c r="I96" s="3">
        <f>IF(A96="","",MIN(2,MAX(0,ROUND(C96,0)))+MIN(2,MAX(0,ROUND(D96,0)))+MIN(2,MAX(0,ROUND(E96,0)))+MIN(2,MAX(0,ROUND(F96,0)))+MIN(2,MAX(0,ROUND(G96,0)))+MIN(2,MAX(0,ROUND(H96,0))))</f>
        <v/>
      </c>
      <c r="J96" s="4">
        <f>IF(A96="","",IF(I96&lt;=3,"0-3 Foundation: verification habit; building a decision system",IF(I96&lt;=7,"4-7 Volatile: experience-led, swayed by short-term swings; add validation + retros",IF(I96&lt;=10,"8-10 At risk: emotion, analogy and single-point calls dominate","11-12 High risk: reactive pattern, no validation, cash at risk"))))</f>
        <v/>
      </c>
    </row>
    <row r="97">
      <c r="I97" s="3">
        <f>IF(A97="","",MIN(2,MAX(0,ROUND(C97,0)))+MIN(2,MAX(0,ROUND(D97,0)))+MIN(2,MAX(0,ROUND(E97,0)))+MIN(2,MAX(0,ROUND(F97,0)))+MIN(2,MAX(0,ROUND(G97,0)))+MIN(2,MAX(0,ROUND(H97,0))))</f>
        <v/>
      </c>
      <c r="J97" s="4">
        <f>IF(A97="","",IF(I97&lt;=3,"0-3 Foundation: verification habit; building a decision system",IF(I97&lt;=7,"4-7 Volatile: experience-led, swayed by short-term swings; add validation + retros",IF(I97&lt;=10,"8-10 At risk: emotion, analogy and single-point calls dominate","11-12 High risk: reactive pattern, no validation, cash at risk"))))</f>
        <v/>
      </c>
    </row>
    <row r="98">
      <c r="I98" s="3">
        <f>IF(A98="","",MIN(2,MAX(0,ROUND(C98,0)))+MIN(2,MAX(0,ROUND(D98,0)))+MIN(2,MAX(0,ROUND(E98,0)))+MIN(2,MAX(0,ROUND(F98,0)))+MIN(2,MAX(0,ROUND(G98,0)))+MIN(2,MAX(0,ROUND(H98,0))))</f>
        <v/>
      </c>
      <c r="J98" s="4">
        <f>IF(A98="","",IF(I98&lt;=3,"0-3 Foundation: verification habit; building a decision system",IF(I98&lt;=7,"4-7 Volatile: experience-led, swayed by short-term swings; add validation + retros",IF(I98&lt;=10,"8-10 At risk: emotion, analogy and single-point calls dominate","11-12 High risk: reactive pattern, no validation, cash at risk"))))</f>
        <v/>
      </c>
    </row>
    <row r="99">
      <c r="I99" s="3">
        <f>IF(A99="","",MIN(2,MAX(0,ROUND(C99,0)))+MIN(2,MAX(0,ROUND(D99,0)))+MIN(2,MAX(0,ROUND(E99,0)))+MIN(2,MAX(0,ROUND(F99,0)))+MIN(2,MAX(0,ROUND(G99,0)))+MIN(2,MAX(0,ROUND(H99,0))))</f>
        <v/>
      </c>
      <c r="J99" s="4">
        <f>IF(A99="","",IF(I99&lt;=3,"0-3 Foundation: verification habit; building a decision system",IF(I99&lt;=7,"4-7 Volatile: experience-led, swayed by short-term swings; add validation + retros",IF(I99&lt;=10,"8-10 At risk: emotion, analogy and single-point calls dominate","11-12 High risk: reactive pattern, no validation, cash at risk"))))</f>
        <v/>
      </c>
    </row>
    <row r="100">
      <c r="I100" s="3">
        <f>IF(A100="","",MIN(2,MAX(0,ROUND(C100,0)))+MIN(2,MAX(0,ROUND(D100,0)))+MIN(2,MAX(0,ROUND(E100,0)))+MIN(2,MAX(0,ROUND(F100,0)))+MIN(2,MAX(0,ROUND(G100,0)))+MIN(2,MAX(0,ROUND(H100,0))))</f>
        <v/>
      </c>
      <c r="J100" s="4">
        <f>IF(A100="","",IF(I100&lt;=3,"0-3 Foundation: verification habit; building a decision system",IF(I100&lt;=7,"4-7 Volatile: experience-led, swayed by short-term swings; add validation + retros",IF(I100&lt;=10,"8-10 At risk: emotion, analogy and single-point calls dominate","11-12 High risk: reactive pattern, no validation, cash at risk"))))</f>
        <v/>
      </c>
    </row>
    <row r="101">
      <c r="I101" s="3">
        <f>IF(A101="","",MIN(2,MAX(0,ROUND(C101,0)))+MIN(2,MAX(0,ROUND(D101,0)))+MIN(2,MAX(0,ROUND(E101,0)))+MIN(2,MAX(0,ROUND(F101,0)))+MIN(2,MAX(0,ROUND(G101,0)))+MIN(2,MAX(0,ROUND(H101,0))))</f>
        <v/>
      </c>
      <c r="J101" s="4">
        <f>IF(A101="","",IF(I101&lt;=3,"0-3 Foundation: verification habit; building a decision system",IF(I101&lt;=7,"4-7 Volatile: experience-led, swayed by short-term swings; add validation + retros",IF(I101&lt;=10,"8-10 At risk: emotion, analogy and single-point calls dominate","11-12 High risk: reactive pattern, no validation, cash at risk"))))</f>
        <v/>
      </c>
    </row>
    <row r="102">
      <c r="I102" s="3">
        <f>IF(A102="","",MIN(2,MAX(0,ROUND(C102,0)))+MIN(2,MAX(0,ROUND(D102,0)))+MIN(2,MAX(0,ROUND(E102,0)))+MIN(2,MAX(0,ROUND(F102,0)))+MIN(2,MAX(0,ROUND(G102,0)))+MIN(2,MAX(0,ROUND(H102,0))))</f>
        <v/>
      </c>
      <c r="J102" s="4">
        <f>IF(A102="","",IF(I102&lt;=3,"0-3 Foundation: verification habit; building a decision system",IF(I102&lt;=7,"4-7 Volatile: experience-led, swayed by short-term swings; add validation + retros",IF(I102&lt;=10,"8-10 At risk: emotion, analogy and single-point calls dominate","11-12 High risk: reactive pattern, no validation, cash at risk"))))</f>
        <v/>
      </c>
    </row>
    <row r="103">
      <c r="I103" s="3">
        <f>IF(A103="","",MIN(2,MAX(0,ROUND(C103,0)))+MIN(2,MAX(0,ROUND(D103,0)))+MIN(2,MAX(0,ROUND(E103,0)))+MIN(2,MAX(0,ROUND(F103,0)))+MIN(2,MAX(0,ROUND(G103,0)))+MIN(2,MAX(0,ROUND(H103,0))))</f>
        <v/>
      </c>
      <c r="J103" s="4">
        <f>IF(A103="","",IF(I103&lt;=3,"0-3 Foundation: verification habit; building a decision system",IF(I103&lt;=7,"4-7 Volatile: experience-led, swayed by short-term swings; add validation + retros",IF(I103&lt;=10,"8-10 At risk: emotion, analogy and single-point calls dominate","11-12 High risk: reactive pattern, no validation, cash at risk"))))</f>
        <v/>
      </c>
    </row>
    <row r="104">
      <c r="I104" s="3">
        <f>IF(A104="","",MIN(2,MAX(0,ROUND(C104,0)))+MIN(2,MAX(0,ROUND(D104,0)))+MIN(2,MAX(0,ROUND(E104,0)))+MIN(2,MAX(0,ROUND(F104,0)))+MIN(2,MAX(0,ROUND(G104,0)))+MIN(2,MAX(0,ROUND(H104,0))))</f>
        <v/>
      </c>
      <c r="J104" s="4">
        <f>IF(A104="","",IF(I104&lt;=3,"0-3 Foundation: verification habit; building a decision system",IF(I104&lt;=7,"4-7 Volatile: experience-led, swayed by short-term swings; add validation + retros",IF(I104&lt;=10,"8-10 At risk: emotion, analogy and single-point calls dominate","11-12 High risk: reactive pattern, no validation, cash at risk"))))</f>
        <v/>
      </c>
    </row>
    <row r="105">
      <c r="I105" s="3">
        <f>IF(A105="","",MIN(2,MAX(0,ROUND(C105,0)))+MIN(2,MAX(0,ROUND(D105,0)))+MIN(2,MAX(0,ROUND(E105,0)))+MIN(2,MAX(0,ROUND(F105,0)))+MIN(2,MAX(0,ROUND(G105,0)))+MIN(2,MAX(0,ROUND(H105,0))))</f>
        <v/>
      </c>
      <c r="J105" s="4">
        <f>IF(A105="","",IF(I105&lt;=3,"0-3 Foundation: verification habit; building a decision system",IF(I105&lt;=7,"4-7 Volatile: experience-led, swayed by short-term swings; add validation + retros",IF(I105&lt;=10,"8-10 At risk: emotion, analogy and single-point calls dominate","11-12 High risk: reactive pattern, no validation, cash at risk"))))</f>
        <v/>
      </c>
    </row>
    <row r="106">
      <c r="I106" s="3">
        <f>IF(A106="","",MIN(2,MAX(0,ROUND(C106,0)))+MIN(2,MAX(0,ROUND(D106,0)))+MIN(2,MAX(0,ROUND(E106,0)))+MIN(2,MAX(0,ROUND(F106,0)))+MIN(2,MAX(0,ROUND(G106,0)))+MIN(2,MAX(0,ROUND(H106,0))))</f>
        <v/>
      </c>
      <c r="J106" s="4">
        <f>IF(A106="","",IF(I106&lt;=3,"0-3 Foundation: verification habit; building a decision system",IF(I106&lt;=7,"4-7 Volatile: experience-led, swayed by short-term swings; add validation + retros",IF(I106&lt;=10,"8-10 At risk: emotion, analogy and single-point calls dominate","11-12 High risk: reactive pattern, no validation, cash at risk"))))</f>
        <v/>
      </c>
    </row>
    <row r="107">
      <c r="I107" s="3">
        <f>IF(A107="","",MIN(2,MAX(0,ROUND(C107,0)))+MIN(2,MAX(0,ROUND(D107,0)))+MIN(2,MAX(0,ROUND(E107,0)))+MIN(2,MAX(0,ROUND(F107,0)))+MIN(2,MAX(0,ROUND(G107,0)))+MIN(2,MAX(0,ROUND(H107,0))))</f>
        <v/>
      </c>
      <c r="J107" s="4">
        <f>IF(A107="","",IF(I107&lt;=3,"0-3 Foundation: verification habit; building a decision system",IF(I107&lt;=7,"4-7 Volatile: experience-led, swayed by short-term swings; add validation + retros",IF(I107&lt;=10,"8-10 At risk: emotion, analogy and single-point calls dominate","11-12 High risk: reactive pattern, no validation, cash at risk"))))</f>
        <v/>
      </c>
    </row>
    <row r="108">
      <c r="I108" s="3">
        <f>IF(A108="","",MIN(2,MAX(0,ROUND(C108,0)))+MIN(2,MAX(0,ROUND(D108,0)))+MIN(2,MAX(0,ROUND(E108,0)))+MIN(2,MAX(0,ROUND(F108,0)))+MIN(2,MAX(0,ROUND(G108,0)))+MIN(2,MAX(0,ROUND(H108,0))))</f>
        <v/>
      </c>
      <c r="J108" s="4">
        <f>IF(A108="","",IF(I108&lt;=3,"0-3 Foundation: verification habit; building a decision system",IF(I108&lt;=7,"4-7 Volatile: experience-led, swayed by short-term swings; add validation + retros",IF(I108&lt;=10,"8-10 At risk: emotion, analogy and single-point calls dominate","11-12 High risk: reactive pattern, no validation, cash at risk"))))</f>
        <v/>
      </c>
    </row>
    <row r="109">
      <c r="I109" s="3">
        <f>IF(A109="","",MIN(2,MAX(0,ROUND(C109,0)))+MIN(2,MAX(0,ROUND(D109,0)))+MIN(2,MAX(0,ROUND(E109,0)))+MIN(2,MAX(0,ROUND(F109,0)))+MIN(2,MAX(0,ROUND(G109,0)))+MIN(2,MAX(0,ROUND(H109,0))))</f>
        <v/>
      </c>
      <c r="J109" s="4">
        <f>IF(A109="","",IF(I109&lt;=3,"0-3 Foundation: verification habit; building a decision system",IF(I109&lt;=7,"4-7 Volatile: experience-led, swayed by short-term swings; add validation + retros",IF(I109&lt;=10,"8-10 At risk: emotion, analogy and single-point calls dominate","11-12 High risk: reactive pattern, no validation, cash at risk"))))</f>
        <v/>
      </c>
    </row>
    <row r="110">
      <c r="I110" s="3">
        <f>IF(A110="","",MIN(2,MAX(0,ROUND(C110,0)))+MIN(2,MAX(0,ROUND(D110,0)))+MIN(2,MAX(0,ROUND(E110,0)))+MIN(2,MAX(0,ROUND(F110,0)))+MIN(2,MAX(0,ROUND(G110,0)))+MIN(2,MAX(0,ROUND(H110,0))))</f>
        <v/>
      </c>
      <c r="J110" s="4">
        <f>IF(A110="","",IF(I110&lt;=3,"0-3 Foundation: verification habit; building a decision system",IF(I110&lt;=7,"4-7 Volatile: experience-led, swayed by short-term swings; add validation + retros",IF(I110&lt;=10,"8-10 At risk: emotion, analogy and single-point calls dominate","11-12 High risk: reactive pattern, no validation, cash at risk"))))</f>
        <v/>
      </c>
    </row>
    <row r="111">
      <c r="I111" s="3">
        <f>IF(A111="","",MIN(2,MAX(0,ROUND(C111,0)))+MIN(2,MAX(0,ROUND(D111,0)))+MIN(2,MAX(0,ROUND(E111,0)))+MIN(2,MAX(0,ROUND(F111,0)))+MIN(2,MAX(0,ROUND(G111,0)))+MIN(2,MAX(0,ROUND(H111,0))))</f>
        <v/>
      </c>
      <c r="J111" s="4">
        <f>IF(A111="","",IF(I111&lt;=3,"0-3 Foundation: verification habit; building a decision system",IF(I111&lt;=7,"4-7 Volatile: experience-led, swayed by short-term swings; add validation + retros",IF(I111&lt;=10,"8-10 At risk: emotion, analogy and single-point calls dominate","11-12 High risk: reactive pattern, no validation, cash at risk"))))</f>
        <v/>
      </c>
    </row>
    <row r="112">
      <c r="I112" s="3">
        <f>IF(A112="","",MIN(2,MAX(0,ROUND(C112,0)))+MIN(2,MAX(0,ROUND(D112,0)))+MIN(2,MAX(0,ROUND(E112,0)))+MIN(2,MAX(0,ROUND(F112,0)))+MIN(2,MAX(0,ROUND(G112,0)))+MIN(2,MAX(0,ROUND(H112,0))))</f>
        <v/>
      </c>
      <c r="J112" s="4">
        <f>IF(A112="","",IF(I112&lt;=3,"0-3 Foundation: verification habit; building a decision system",IF(I112&lt;=7,"4-7 Volatile: experience-led, swayed by short-term swings; add validation + retros",IF(I112&lt;=10,"8-10 At risk: emotion, analogy and single-point calls dominate","11-12 High risk: reactive pattern, no validation, cash at risk"))))</f>
        <v/>
      </c>
    </row>
    <row r="113">
      <c r="I113" s="3">
        <f>IF(A113="","",MIN(2,MAX(0,ROUND(C113,0)))+MIN(2,MAX(0,ROUND(D113,0)))+MIN(2,MAX(0,ROUND(E113,0)))+MIN(2,MAX(0,ROUND(F113,0)))+MIN(2,MAX(0,ROUND(G113,0)))+MIN(2,MAX(0,ROUND(H113,0))))</f>
        <v/>
      </c>
      <c r="J113" s="4">
        <f>IF(A113="","",IF(I113&lt;=3,"0-3 Foundation: verification habit; building a decision system",IF(I113&lt;=7,"4-7 Volatile: experience-led, swayed by short-term swings; add validation + retros",IF(I113&lt;=10,"8-10 At risk: emotion, analogy and single-point calls dominate","11-12 High risk: reactive pattern, no validation, cash at risk"))))</f>
        <v/>
      </c>
    </row>
    <row r="114">
      <c r="I114" s="3">
        <f>IF(A114="","",MIN(2,MAX(0,ROUND(C114,0)))+MIN(2,MAX(0,ROUND(D114,0)))+MIN(2,MAX(0,ROUND(E114,0)))+MIN(2,MAX(0,ROUND(F114,0)))+MIN(2,MAX(0,ROUND(G114,0)))+MIN(2,MAX(0,ROUND(H114,0))))</f>
        <v/>
      </c>
      <c r="J114" s="4">
        <f>IF(A114="","",IF(I114&lt;=3,"0-3 Foundation: verification habit; building a decision system",IF(I114&lt;=7,"4-7 Volatile: experience-led, swayed by short-term swings; add validation + retros",IF(I114&lt;=10,"8-10 At risk: emotion, analogy and single-point calls dominate","11-12 High risk: reactive pattern, no validation, cash at risk"))))</f>
        <v/>
      </c>
    </row>
    <row r="115">
      <c r="I115" s="3">
        <f>IF(A115="","",MIN(2,MAX(0,ROUND(C115,0)))+MIN(2,MAX(0,ROUND(D115,0)))+MIN(2,MAX(0,ROUND(E115,0)))+MIN(2,MAX(0,ROUND(F115,0)))+MIN(2,MAX(0,ROUND(G115,0)))+MIN(2,MAX(0,ROUND(H115,0))))</f>
        <v/>
      </c>
      <c r="J115" s="4">
        <f>IF(A115="","",IF(I115&lt;=3,"0-3 Foundation: verification habit; building a decision system",IF(I115&lt;=7,"4-7 Volatile: experience-led, swayed by short-term swings; add validation + retros",IF(I115&lt;=10,"8-10 At risk: emotion, analogy and single-point calls dominate","11-12 High risk: reactive pattern, no validation, cash at risk"))))</f>
        <v/>
      </c>
    </row>
    <row r="116">
      <c r="I116" s="3">
        <f>IF(A116="","",MIN(2,MAX(0,ROUND(C116,0)))+MIN(2,MAX(0,ROUND(D116,0)))+MIN(2,MAX(0,ROUND(E116,0)))+MIN(2,MAX(0,ROUND(F116,0)))+MIN(2,MAX(0,ROUND(G116,0)))+MIN(2,MAX(0,ROUND(H116,0))))</f>
        <v/>
      </c>
      <c r="J116" s="4">
        <f>IF(A116="","",IF(I116&lt;=3,"0-3 Foundation: verification habit; building a decision system",IF(I116&lt;=7,"4-7 Volatile: experience-led, swayed by short-term swings; add validation + retros",IF(I116&lt;=10,"8-10 At risk: emotion, analogy and single-point calls dominate","11-12 High risk: reactive pattern, no validation, cash at risk"))))</f>
        <v/>
      </c>
    </row>
    <row r="117">
      <c r="I117" s="3">
        <f>IF(A117="","",MIN(2,MAX(0,ROUND(C117,0)))+MIN(2,MAX(0,ROUND(D117,0)))+MIN(2,MAX(0,ROUND(E117,0)))+MIN(2,MAX(0,ROUND(F117,0)))+MIN(2,MAX(0,ROUND(G117,0)))+MIN(2,MAX(0,ROUND(H117,0))))</f>
        <v/>
      </c>
      <c r="J117" s="4">
        <f>IF(A117="","",IF(I117&lt;=3,"0-3 Foundation: verification habit; building a decision system",IF(I117&lt;=7,"4-7 Volatile: experience-led, swayed by short-term swings; add validation + retros",IF(I117&lt;=10,"8-10 At risk: emotion, analogy and single-point calls dominate","11-12 High risk: reactive pattern, no validation, cash at risk"))))</f>
        <v/>
      </c>
    </row>
    <row r="118">
      <c r="I118" s="3">
        <f>IF(A118="","",MIN(2,MAX(0,ROUND(C118,0)))+MIN(2,MAX(0,ROUND(D118,0)))+MIN(2,MAX(0,ROUND(E118,0)))+MIN(2,MAX(0,ROUND(F118,0)))+MIN(2,MAX(0,ROUND(G118,0)))+MIN(2,MAX(0,ROUND(H118,0))))</f>
        <v/>
      </c>
      <c r="J118" s="4">
        <f>IF(A118="","",IF(I118&lt;=3,"0-3 Foundation: verification habit; building a decision system",IF(I118&lt;=7,"4-7 Volatile: experience-led, swayed by short-term swings; add validation + retros",IF(I118&lt;=10,"8-10 At risk: emotion, analogy and single-point calls dominate","11-12 High risk: reactive pattern, no validation, cash at risk"))))</f>
        <v/>
      </c>
    </row>
    <row r="119">
      <c r="I119" s="3">
        <f>IF(A119="","",MIN(2,MAX(0,ROUND(C119,0)))+MIN(2,MAX(0,ROUND(D119,0)))+MIN(2,MAX(0,ROUND(E119,0)))+MIN(2,MAX(0,ROUND(F119,0)))+MIN(2,MAX(0,ROUND(G119,0)))+MIN(2,MAX(0,ROUND(H119,0))))</f>
        <v/>
      </c>
      <c r="J119" s="4">
        <f>IF(A119="","",IF(I119&lt;=3,"0-3 Foundation: verification habit; building a decision system",IF(I119&lt;=7,"4-7 Volatile: experience-led, swayed by short-term swings; add validation + retros",IF(I119&lt;=10,"8-10 At risk: emotion, analogy and single-point calls dominate","11-12 High risk: reactive pattern, no validation, cash at risk"))))</f>
        <v/>
      </c>
    </row>
    <row r="120">
      <c r="I120" s="3">
        <f>IF(A120="","",MIN(2,MAX(0,ROUND(C120,0)))+MIN(2,MAX(0,ROUND(D120,0)))+MIN(2,MAX(0,ROUND(E120,0)))+MIN(2,MAX(0,ROUND(F120,0)))+MIN(2,MAX(0,ROUND(G120,0)))+MIN(2,MAX(0,ROUND(H120,0))))</f>
        <v/>
      </c>
      <c r="J120" s="4">
        <f>IF(A120="","",IF(I120&lt;=3,"0-3 Foundation: verification habit; building a decision system",IF(I120&lt;=7,"4-7 Volatile: experience-led, swayed by short-term swings; add validation + retros",IF(I120&lt;=10,"8-10 At risk: emotion, analogy and single-point calls dominate","11-12 High risk: reactive pattern, no validation, cash at risk"))))</f>
        <v/>
      </c>
    </row>
    <row r="121">
      <c r="I121" s="3">
        <f>IF(A121="","",MIN(2,MAX(0,ROUND(C121,0)))+MIN(2,MAX(0,ROUND(D121,0)))+MIN(2,MAX(0,ROUND(E121,0)))+MIN(2,MAX(0,ROUND(F121,0)))+MIN(2,MAX(0,ROUND(G121,0)))+MIN(2,MAX(0,ROUND(H121,0))))</f>
        <v/>
      </c>
      <c r="J121" s="4">
        <f>IF(A121="","",IF(I121&lt;=3,"0-3 Foundation: verification habit; building a decision system",IF(I121&lt;=7,"4-7 Volatile: experience-led, swayed by short-term swings; add validation + retros",IF(I121&lt;=10,"8-10 At risk: emotion, analogy and single-point calls dominate","11-12 High risk: reactive pattern, no validation, cash at risk"))))</f>
        <v/>
      </c>
    </row>
    <row r="122">
      <c r="I122" s="3">
        <f>IF(A122="","",MIN(2,MAX(0,ROUND(C122,0)))+MIN(2,MAX(0,ROUND(D122,0)))+MIN(2,MAX(0,ROUND(E122,0)))+MIN(2,MAX(0,ROUND(F122,0)))+MIN(2,MAX(0,ROUND(G122,0)))+MIN(2,MAX(0,ROUND(H122,0))))</f>
        <v/>
      </c>
      <c r="J122" s="4">
        <f>IF(A122="","",IF(I122&lt;=3,"0-3 Foundation: verification habit; building a decision system",IF(I122&lt;=7,"4-7 Volatile: experience-led, swayed by short-term swings; add validation + retros",IF(I122&lt;=10,"8-10 At risk: emotion, analogy and single-point calls dominate","11-12 High risk: reactive pattern, no validation, cash at risk"))))</f>
        <v/>
      </c>
    </row>
    <row r="123">
      <c r="I123" s="3">
        <f>IF(A123="","",MIN(2,MAX(0,ROUND(C123,0)))+MIN(2,MAX(0,ROUND(D123,0)))+MIN(2,MAX(0,ROUND(E123,0)))+MIN(2,MAX(0,ROUND(F123,0)))+MIN(2,MAX(0,ROUND(G123,0)))+MIN(2,MAX(0,ROUND(H123,0))))</f>
        <v/>
      </c>
      <c r="J123" s="4">
        <f>IF(A123="","",IF(I123&lt;=3,"0-3 Foundation: verification habit; building a decision system",IF(I123&lt;=7,"4-7 Volatile: experience-led, swayed by short-term swings; add validation + retros",IF(I123&lt;=10,"8-10 At risk: emotion, analogy and single-point calls dominate","11-12 High risk: reactive pattern, no validation, cash at risk"))))</f>
        <v/>
      </c>
    </row>
    <row r="124">
      <c r="I124" s="3">
        <f>IF(A124="","",MIN(2,MAX(0,ROUND(C124,0)))+MIN(2,MAX(0,ROUND(D124,0)))+MIN(2,MAX(0,ROUND(E124,0)))+MIN(2,MAX(0,ROUND(F124,0)))+MIN(2,MAX(0,ROUND(G124,0)))+MIN(2,MAX(0,ROUND(H124,0))))</f>
        <v/>
      </c>
      <c r="J124" s="4">
        <f>IF(A124="","",IF(I124&lt;=3,"0-3 Foundation: verification habit; building a decision system",IF(I124&lt;=7,"4-7 Volatile: experience-led, swayed by short-term swings; add validation + retros",IF(I124&lt;=10,"8-10 At risk: emotion, analogy and single-point calls dominate","11-12 High risk: reactive pattern, no validation, cash at risk"))))</f>
        <v/>
      </c>
    </row>
    <row r="125">
      <c r="I125" s="3">
        <f>IF(A125="","",MIN(2,MAX(0,ROUND(C125,0)))+MIN(2,MAX(0,ROUND(D125,0)))+MIN(2,MAX(0,ROUND(E125,0)))+MIN(2,MAX(0,ROUND(F125,0)))+MIN(2,MAX(0,ROUND(G125,0)))+MIN(2,MAX(0,ROUND(H125,0))))</f>
        <v/>
      </c>
      <c r="J125" s="4">
        <f>IF(A125="","",IF(I125&lt;=3,"0-3 Foundation: verification habit; building a decision system",IF(I125&lt;=7,"4-7 Volatile: experience-led, swayed by short-term swings; add validation + retros",IF(I125&lt;=10,"8-10 At risk: emotion, analogy and single-point calls dominate","11-12 High risk: reactive pattern, no validation, cash at risk"))))</f>
        <v/>
      </c>
    </row>
    <row r="126">
      <c r="I126" s="3">
        <f>IF(A126="","",MIN(2,MAX(0,ROUND(C126,0)))+MIN(2,MAX(0,ROUND(D126,0)))+MIN(2,MAX(0,ROUND(E126,0)))+MIN(2,MAX(0,ROUND(F126,0)))+MIN(2,MAX(0,ROUND(G126,0)))+MIN(2,MAX(0,ROUND(H126,0))))</f>
        <v/>
      </c>
      <c r="J126" s="4">
        <f>IF(A126="","",IF(I126&lt;=3,"0-3 Foundation: verification habit; building a decision system",IF(I126&lt;=7,"4-7 Volatile: experience-led, swayed by short-term swings; add validation + retros",IF(I126&lt;=10,"8-10 At risk: emotion, analogy and single-point calls dominate","11-12 High risk: reactive pattern, no validation, cash at risk"))))</f>
        <v/>
      </c>
    </row>
    <row r="127">
      <c r="I127" s="3">
        <f>IF(A127="","",MIN(2,MAX(0,ROUND(C127,0)))+MIN(2,MAX(0,ROUND(D127,0)))+MIN(2,MAX(0,ROUND(E127,0)))+MIN(2,MAX(0,ROUND(F127,0)))+MIN(2,MAX(0,ROUND(G127,0)))+MIN(2,MAX(0,ROUND(H127,0))))</f>
        <v/>
      </c>
      <c r="J127" s="4">
        <f>IF(A127="","",IF(I127&lt;=3,"0-3 Foundation: verification habit; building a decision system",IF(I127&lt;=7,"4-7 Volatile: experience-led, swayed by short-term swings; add validation + retros",IF(I127&lt;=10,"8-10 At risk: emotion, analogy and single-point calls dominate","11-12 High risk: reactive pattern, no validation, cash at risk"))))</f>
        <v/>
      </c>
    </row>
    <row r="128">
      <c r="I128" s="3">
        <f>IF(A128="","",MIN(2,MAX(0,ROUND(C128,0)))+MIN(2,MAX(0,ROUND(D128,0)))+MIN(2,MAX(0,ROUND(E128,0)))+MIN(2,MAX(0,ROUND(F128,0)))+MIN(2,MAX(0,ROUND(G128,0)))+MIN(2,MAX(0,ROUND(H128,0))))</f>
        <v/>
      </c>
      <c r="J128" s="4">
        <f>IF(A128="","",IF(I128&lt;=3,"0-3 Foundation: verification habit; building a decision system",IF(I128&lt;=7,"4-7 Volatile: experience-led, swayed by short-term swings; add validation + retros",IF(I128&lt;=10,"8-10 At risk: emotion, analogy and single-point calls dominate","11-12 High risk: reactive pattern, no validation, cash at risk"))))</f>
        <v/>
      </c>
    </row>
    <row r="129">
      <c r="I129" s="3">
        <f>IF(A129="","",MIN(2,MAX(0,ROUND(C129,0)))+MIN(2,MAX(0,ROUND(D129,0)))+MIN(2,MAX(0,ROUND(E129,0)))+MIN(2,MAX(0,ROUND(F129,0)))+MIN(2,MAX(0,ROUND(G129,0)))+MIN(2,MAX(0,ROUND(H129,0))))</f>
        <v/>
      </c>
      <c r="J129" s="4">
        <f>IF(A129="","",IF(I129&lt;=3,"0-3 Foundation: verification habit; building a decision system",IF(I129&lt;=7,"4-7 Volatile: experience-led, swayed by short-term swings; add validation + retros",IF(I129&lt;=10,"8-10 At risk: emotion, analogy and single-point calls dominate","11-12 High risk: reactive pattern, no validation, cash at risk"))))</f>
        <v/>
      </c>
    </row>
    <row r="130">
      <c r="I130" s="3">
        <f>IF(A130="","",MIN(2,MAX(0,ROUND(C130,0)))+MIN(2,MAX(0,ROUND(D130,0)))+MIN(2,MAX(0,ROUND(E130,0)))+MIN(2,MAX(0,ROUND(F130,0)))+MIN(2,MAX(0,ROUND(G130,0)))+MIN(2,MAX(0,ROUND(H130,0))))</f>
        <v/>
      </c>
      <c r="J130" s="4">
        <f>IF(A130="","",IF(I130&lt;=3,"0-3 Foundation: verification habit; building a decision system",IF(I130&lt;=7,"4-7 Volatile: experience-led, swayed by short-term swings; add validation + retros",IF(I130&lt;=10,"8-10 At risk: emotion, analogy and single-point calls dominate","11-12 High risk: reactive pattern, no validation, cash at risk"))))</f>
        <v/>
      </c>
    </row>
    <row r="131">
      <c r="I131" s="3">
        <f>IF(A131="","",MIN(2,MAX(0,ROUND(C131,0)))+MIN(2,MAX(0,ROUND(D131,0)))+MIN(2,MAX(0,ROUND(E131,0)))+MIN(2,MAX(0,ROUND(F131,0)))+MIN(2,MAX(0,ROUND(G131,0)))+MIN(2,MAX(0,ROUND(H131,0))))</f>
        <v/>
      </c>
      <c r="J131" s="4">
        <f>IF(A131="","",IF(I131&lt;=3,"0-3 Foundation: verification habit; building a decision system",IF(I131&lt;=7,"4-7 Volatile: experience-led, swayed by short-term swings; add validation + retros",IF(I131&lt;=10,"8-10 At risk: emotion, analogy and single-point calls dominate","11-12 High risk: reactive pattern, no validation, cash at risk"))))</f>
        <v/>
      </c>
    </row>
    <row r="132">
      <c r="I132" s="3">
        <f>IF(A132="","",MIN(2,MAX(0,ROUND(C132,0)))+MIN(2,MAX(0,ROUND(D132,0)))+MIN(2,MAX(0,ROUND(E132,0)))+MIN(2,MAX(0,ROUND(F132,0)))+MIN(2,MAX(0,ROUND(G132,0)))+MIN(2,MAX(0,ROUND(H132,0))))</f>
        <v/>
      </c>
      <c r="J132" s="4">
        <f>IF(A132="","",IF(I132&lt;=3,"0-3 Foundation: verification habit; building a decision system",IF(I132&lt;=7,"4-7 Volatile: experience-led, swayed by short-term swings; add validation + retros",IF(I132&lt;=10,"8-10 At risk: emotion, analogy and single-point calls dominate","11-12 High risk: reactive pattern, no validation, cash at risk"))))</f>
        <v/>
      </c>
    </row>
    <row r="133">
      <c r="I133" s="3">
        <f>IF(A133="","",MIN(2,MAX(0,ROUND(C133,0)))+MIN(2,MAX(0,ROUND(D133,0)))+MIN(2,MAX(0,ROUND(E133,0)))+MIN(2,MAX(0,ROUND(F133,0)))+MIN(2,MAX(0,ROUND(G133,0)))+MIN(2,MAX(0,ROUND(H133,0))))</f>
        <v/>
      </c>
      <c r="J133" s="4">
        <f>IF(A133="","",IF(I133&lt;=3,"0-3 Foundation: verification habit; building a decision system",IF(I133&lt;=7,"4-7 Volatile: experience-led, swayed by short-term swings; add validation + retros",IF(I133&lt;=10,"8-10 At risk: emotion, analogy and single-point calls dominate","11-12 High risk: reactive pattern, no validation, cash at risk"))))</f>
        <v/>
      </c>
    </row>
    <row r="134">
      <c r="I134" s="3">
        <f>IF(A134="","",MIN(2,MAX(0,ROUND(C134,0)))+MIN(2,MAX(0,ROUND(D134,0)))+MIN(2,MAX(0,ROUND(E134,0)))+MIN(2,MAX(0,ROUND(F134,0)))+MIN(2,MAX(0,ROUND(G134,0)))+MIN(2,MAX(0,ROUND(H134,0))))</f>
        <v/>
      </c>
      <c r="J134" s="4">
        <f>IF(A134="","",IF(I134&lt;=3,"0-3 Foundation: verification habit; building a decision system",IF(I134&lt;=7,"4-7 Volatile: experience-led, swayed by short-term swings; add validation + retros",IF(I134&lt;=10,"8-10 At risk: emotion, analogy and single-point calls dominate","11-12 High risk: reactive pattern, no validation, cash at risk"))))</f>
        <v/>
      </c>
    </row>
    <row r="135">
      <c r="I135" s="3">
        <f>IF(A135="","",MIN(2,MAX(0,ROUND(C135,0)))+MIN(2,MAX(0,ROUND(D135,0)))+MIN(2,MAX(0,ROUND(E135,0)))+MIN(2,MAX(0,ROUND(F135,0)))+MIN(2,MAX(0,ROUND(G135,0)))+MIN(2,MAX(0,ROUND(H135,0))))</f>
        <v/>
      </c>
      <c r="J135" s="4">
        <f>IF(A135="","",IF(I135&lt;=3,"0-3 Foundation: verification habit; building a decision system",IF(I135&lt;=7,"4-7 Volatile: experience-led, swayed by short-term swings; add validation + retros",IF(I135&lt;=10,"8-10 At risk: emotion, analogy and single-point calls dominate","11-12 High risk: reactive pattern, no validation, cash at risk"))))</f>
        <v/>
      </c>
    </row>
    <row r="136">
      <c r="I136" s="3">
        <f>IF(A136="","",MIN(2,MAX(0,ROUND(C136,0)))+MIN(2,MAX(0,ROUND(D136,0)))+MIN(2,MAX(0,ROUND(E136,0)))+MIN(2,MAX(0,ROUND(F136,0)))+MIN(2,MAX(0,ROUND(G136,0)))+MIN(2,MAX(0,ROUND(H136,0))))</f>
        <v/>
      </c>
      <c r="J136" s="4">
        <f>IF(A136="","",IF(I136&lt;=3,"0-3 Foundation: verification habit; building a decision system",IF(I136&lt;=7,"4-7 Volatile: experience-led, swayed by short-term swings; add validation + retros",IF(I136&lt;=10,"8-10 At risk: emotion, analogy and single-point calls dominate","11-12 High risk: reactive pattern, no validation, cash at risk"))))</f>
        <v/>
      </c>
    </row>
    <row r="137">
      <c r="I137" s="3">
        <f>IF(A137="","",MIN(2,MAX(0,ROUND(C137,0)))+MIN(2,MAX(0,ROUND(D137,0)))+MIN(2,MAX(0,ROUND(E137,0)))+MIN(2,MAX(0,ROUND(F137,0)))+MIN(2,MAX(0,ROUND(G137,0)))+MIN(2,MAX(0,ROUND(H137,0))))</f>
        <v/>
      </c>
      <c r="J137" s="4">
        <f>IF(A137="","",IF(I137&lt;=3,"0-3 Foundation: verification habit; building a decision system",IF(I137&lt;=7,"4-7 Volatile: experience-led, swayed by short-term swings; add validation + retros",IF(I137&lt;=10,"8-10 At risk: emotion, analogy and single-point calls dominate","11-12 High risk: reactive pattern, no validation, cash at risk"))))</f>
        <v/>
      </c>
    </row>
    <row r="138">
      <c r="I138" s="3">
        <f>IF(A138="","",MIN(2,MAX(0,ROUND(C138,0)))+MIN(2,MAX(0,ROUND(D138,0)))+MIN(2,MAX(0,ROUND(E138,0)))+MIN(2,MAX(0,ROUND(F138,0)))+MIN(2,MAX(0,ROUND(G138,0)))+MIN(2,MAX(0,ROUND(H138,0))))</f>
        <v/>
      </c>
      <c r="J138" s="4">
        <f>IF(A138="","",IF(I138&lt;=3,"0-3 Foundation: verification habit; building a decision system",IF(I138&lt;=7,"4-7 Volatile: experience-led, swayed by short-term swings; add validation + retros",IF(I138&lt;=10,"8-10 At risk: emotion, analogy and single-point calls dominate","11-12 High risk: reactive pattern, no validation, cash at risk"))))</f>
        <v/>
      </c>
    </row>
    <row r="139">
      <c r="I139" s="3">
        <f>IF(A139="","",MIN(2,MAX(0,ROUND(C139,0)))+MIN(2,MAX(0,ROUND(D139,0)))+MIN(2,MAX(0,ROUND(E139,0)))+MIN(2,MAX(0,ROUND(F139,0)))+MIN(2,MAX(0,ROUND(G139,0)))+MIN(2,MAX(0,ROUND(H139,0))))</f>
        <v/>
      </c>
      <c r="J139" s="4">
        <f>IF(A139="","",IF(I139&lt;=3,"0-3 Foundation: verification habit; building a decision system",IF(I139&lt;=7,"4-7 Volatile: experience-led, swayed by short-term swings; add validation + retros",IF(I139&lt;=10,"8-10 At risk: emotion, analogy and single-point calls dominate","11-12 High risk: reactive pattern, no validation, cash at risk"))))</f>
        <v/>
      </c>
    </row>
    <row r="140">
      <c r="I140" s="3">
        <f>IF(A140="","",MIN(2,MAX(0,ROUND(C140,0)))+MIN(2,MAX(0,ROUND(D140,0)))+MIN(2,MAX(0,ROUND(E140,0)))+MIN(2,MAX(0,ROUND(F140,0)))+MIN(2,MAX(0,ROUND(G140,0)))+MIN(2,MAX(0,ROUND(H140,0))))</f>
        <v/>
      </c>
      <c r="J140" s="4">
        <f>IF(A140="","",IF(I140&lt;=3,"0-3 Foundation: verification habit; building a decision system",IF(I140&lt;=7,"4-7 Volatile: experience-led, swayed by short-term swings; add validation + retros",IF(I140&lt;=10,"8-10 At risk: emotion, analogy and single-point calls dominate","11-12 High risk: reactive pattern, no validation, cash at risk"))))</f>
        <v/>
      </c>
    </row>
    <row r="141">
      <c r="I141" s="3">
        <f>IF(A141="","",MIN(2,MAX(0,ROUND(C141,0)))+MIN(2,MAX(0,ROUND(D141,0)))+MIN(2,MAX(0,ROUND(E141,0)))+MIN(2,MAX(0,ROUND(F141,0)))+MIN(2,MAX(0,ROUND(G141,0)))+MIN(2,MAX(0,ROUND(H141,0))))</f>
        <v/>
      </c>
      <c r="J141" s="4">
        <f>IF(A141="","",IF(I141&lt;=3,"0-3 Foundation: verification habit; building a decision system",IF(I141&lt;=7,"4-7 Volatile: experience-led, swayed by short-term swings; add validation + retros",IF(I141&lt;=10,"8-10 At risk: emotion, analogy and single-point calls dominate","11-12 High risk: reactive pattern, no validation, cash at risk"))))</f>
        <v/>
      </c>
    </row>
    <row r="142">
      <c r="I142" s="3">
        <f>IF(A142="","",MIN(2,MAX(0,ROUND(C142,0)))+MIN(2,MAX(0,ROUND(D142,0)))+MIN(2,MAX(0,ROUND(E142,0)))+MIN(2,MAX(0,ROUND(F142,0)))+MIN(2,MAX(0,ROUND(G142,0)))+MIN(2,MAX(0,ROUND(H142,0))))</f>
        <v/>
      </c>
      <c r="J142" s="4">
        <f>IF(A142="","",IF(I142&lt;=3,"0-3 Foundation: verification habit; building a decision system",IF(I142&lt;=7,"4-7 Volatile: experience-led, swayed by short-term swings; add validation + retros",IF(I142&lt;=10,"8-10 At risk: emotion, analogy and single-point calls dominate","11-12 High risk: reactive pattern, no validation, cash at risk"))))</f>
        <v/>
      </c>
    </row>
    <row r="143">
      <c r="I143" s="3">
        <f>IF(A143="","",MIN(2,MAX(0,ROUND(C143,0)))+MIN(2,MAX(0,ROUND(D143,0)))+MIN(2,MAX(0,ROUND(E143,0)))+MIN(2,MAX(0,ROUND(F143,0)))+MIN(2,MAX(0,ROUND(G143,0)))+MIN(2,MAX(0,ROUND(H143,0))))</f>
        <v/>
      </c>
      <c r="J143" s="4">
        <f>IF(A143="","",IF(I143&lt;=3,"0-3 Foundation: verification habit; building a decision system",IF(I143&lt;=7,"4-7 Volatile: experience-led, swayed by short-term swings; add validation + retros",IF(I143&lt;=10,"8-10 At risk: emotion, analogy and single-point calls dominate","11-12 High risk: reactive pattern, no validation, cash at risk"))))</f>
        <v/>
      </c>
    </row>
    <row r="144">
      <c r="I144" s="3">
        <f>IF(A144="","",MIN(2,MAX(0,ROUND(C144,0)))+MIN(2,MAX(0,ROUND(D144,0)))+MIN(2,MAX(0,ROUND(E144,0)))+MIN(2,MAX(0,ROUND(F144,0)))+MIN(2,MAX(0,ROUND(G144,0)))+MIN(2,MAX(0,ROUND(H144,0))))</f>
        <v/>
      </c>
      <c r="J144" s="4">
        <f>IF(A144="","",IF(I144&lt;=3,"0-3 Foundation: verification habit; building a decision system",IF(I144&lt;=7,"4-7 Volatile: experience-led, swayed by short-term swings; add validation + retros",IF(I144&lt;=10,"8-10 At risk: emotion, analogy and single-point calls dominate","11-12 High risk: reactive pattern, no validation, cash at risk"))))</f>
        <v/>
      </c>
    </row>
    <row r="145">
      <c r="I145" s="3">
        <f>IF(A145="","",MIN(2,MAX(0,ROUND(C145,0)))+MIN(2,MAX(0,ROUND(D145,0)))+MIN(2,MAX(0,ROUND(E145,0)))+MIN(2,MAX(0,ROUND(F145,0)))+MIN(2,MAX(0,ROUND(G145,0)))+MIN(2,MAX(0,ROUND(H145,0))))</f>
        <v/>
      </c>
      <c r="J145" s="4">
        <f>IF(A145="","",IF(I145&lt;=3,"0-3 Foundation: verification habit; building a decision system",IF(I145&lt;=7,"4-7 Volatile: experience-led, swayed by short-term swings; add validation + retros",IF(I145&lt;=10,"8-10 At risk: emotion, analogy and single-point calls dominate","11-12 High risk: reactive pattern, no validation, cash at risk"))))</f>
        <v/>
      </c>
    </row>
    <row r="146">
      <c r="I146" s="3">
        <f>IF(A146="","",MIN(2,MAX(0,ROUND(C146,0)))+MIN(2,MAX(0,ROUND(D146,0)))+MIN(2,MAX(0,ROUND(E146,0)))+MIN(2,MAX(0,ROUND(F146,0)))+MIN(2,MAX(0,ROUND(G146,0)))+MIN(2,MAX(0,ROUND(H146,0))))</f>
        <v/>
      </c>
      <c r="J146" s="4">
        <f>IF(A146="","",IF(I146&lt;=3,"0-3 Foundation: verification habit; building a decision system",IF(I146&lt;=7,"4-7 Volatile: experience-led, swayed by short-term swings; add validation + retros",IF(I146&lt;=10,"8-10 At risk: emotion, analogy and single-point calls dominate","11-12 High risk: reactive pattern, no validation, cash at risk"))))</f>
        <v/>
      </c>
    </row>
    <row r="147">
      <c r="I147" s="3">
        <f>IF(A147="","",MIN(2,MAX(0,ROUND(C147,0)))+MIN(2,MAX(0,ROUND(D147,0)))+MIN(2,MAX(0,ROUND(E147,0)))+MIN(2,MAX(0,ROUND(F147,0)))+MIN(2,MAX(0,ROUND(G147,0)))+MIN(2,MAX(0,ROUND(H147,0))))</f>
        <v/>
      </c>
      <c r="J147" s="4">
        <f>IF(A147="","",IF(I147&lt;=3,"0-3 Foundation: verification habit; building a decision system",IF(I147&lt;=7,"4-7 Volatile: experience-led, swayed by short-term swings; add validation + retros",IF(I147&lt;=10,"8-10 At risk: emotion, analogy and single-point calls dominate","11-12 High risk: reactive pattern, no validation, cash at risk"))))</f>
        <v/>
      </c>
    </row>
    <row r="148">
      <c r="I148" s="3">
        <f>IF(A148="","",MIN(2,MAX(0,ROUND(C148,0)))+MIN(2,MAX(0,ROUND(D148,0)))+MIN(2,MAX(0,ROUND(E148,0)))+MIN(2,MAX(0,ROUND(F148,0)))+MIN(2,MAX(0,ROUND(G148,0)))+MIN(2,MAX(0,ROUND(H148,0))))</f>
        <v/>
      </c>
      <c r="J148" s="4">
        <f>IF(A148="","",IF(I148&lt;=3,"0-3 Foundation: verification habit; building a decision system",IF(I148&lt;=7,"4-7 Volatile: experience-led, swayed by short-term swings; add validation + retros",IF(I148&lt;=10,"8-10 At risk: emotion, analogy and single-point calls dominate","11-12 High risk: reactive pattern, no validation, cash at risk"))))</f>
        <v/>
      </c>
    </row>
    <row r="149">
      <c r="I149" s="3">
        <f>IF(A149="","",MIN(2,MAX(0,ROUND(C149,0)))+MIN(2,MAX(0,ROUND(D149,0)))+MIN(2,MAX(0,ROUND(E149,0)))+MIN(2,MAX(0,ROUND(F149,0)))+MIN(2,MAX(0,ROUND(G149,0)))+MIN(2,MAX(0,ROUND(H149,0))))</f>
        <v/>
      </c>
      <c r="J149" s="4">
        <f>IF(A149="","",IF(I149&lt;=3,"0-3 Foundation: verification habit; building a decision system",IF(I149&lt;=7,"4-7 Volatile: experience-led, swayed by short-term swings; add validation + retros",IF(I149&lt;=10,"8-10 At risk: emotion, analogy and single-point calls dominate","11-12 High risk: reactive pattern, no validation, cash at risk"))))</f>
        <v/>
      </c>
    </row>
    <row r="150">
      <c r="I150" s="3">
        <f>IF(A150="","",MIN(2,MAX(0,ROUND(C150,0)))+MIN(2,MAX(0,ROUND(D150,0)))+MIN(2,MAX(0,ROUND(E150,0)))+MIN(2,MAX(0,ROUND(F150,0)))+MIN(2,MAX(0,ROUND(G150,0)))+MIN(2,MAX(0,ROUND(H150,0))))</f>
        <v/>
      </c>
      <c r="J150" s="4">
        <f>IF(A150="","",IF(I150&lt;=3,"0-3 Foundation: verification habit; building a decision system",IF(I150&lt;=7,"4-7 Volatile: experience-led, swayed by short-term swings; add validation + retros",IF(I150&lt;=10,"8-10 At risk: emotion, analogy and single-point calls dominate","11-12 High risk: reactive pattern, no validation, cash at risk"))))</f>
        <v/>
      </c>
    </row>
    <row r="151">
      <c r="I151" s="3">
        <f>IF(A151="","",MIN(2,MAX(0,ROUND(C151,0)))+MIN(2,MAX(0,ROUND(D151,0)))+MIN(2,MAX(0,ROUND(E151,0)))+MIN(2,MAX(0,ROUND(F151,0)))+MIN(2,MAX(0,ROUND(G151,0)))+MIN(2,MAX(0,ROUND(H151,0))))</f>
        <v/>
      </c>
      <c r="J151" s="4">
        <f>IF(A151="","",IF(I151&lt;=3,"0-3 Foundation: verification habit; building a decision system",IF(I151&lt;=7,"4-7 Volatile: experience-led, swayed by short-term swings; add validation + retros",IF(I151&lt;=10,"8-10 At risk: emotion, analogy and single-point calls dominate","11-12 High risk: reactive pattern, no validation, cash at risk"))))</f>
        <v/>
      </c>
    </row>
    <row r="152">
      <c r="I152" s="3">
        <f>IF(A152="","",MIN(2,MAX(0,ROUND(C152,0)))+MIN(2,MAX(0,ROUND(D152,0)))+MIN(2,MAX(0,ROUND(E152,0)))+MIN(2,MAX(0,ROUND(F152,0)))+MIN(2,MAX(0,ROUND(G152,0)))+MIN(2,MAX(0,ROUND(H152,0))))</f>
        <v/>
      </c>
      <c r="J152" s="4">
        <f>IF(A152="","",IF(I152&lt;=3,"0-3 Foundation: verification habit; building a decision system",IF(I152&lt;=7,"4-7 Volatile: experience-led, swayed by short-term swings; add validation + retros",IF(I152&lt;=10,"8-10 At risk: emotion, analogy and single-point calls dominate","11-12 High risk: reactive pattern, no validation, cash at risk"))))</f>
        <v/>
      </c>
    </row>
    <row r="153">
      <c r="I153" s="3">
        <f>IF(A153="","",MIN(2,MAX(0,ROUND(C153,0)))+MIN(2,MAX(0,ROUND(D153,0)))+MIN(2,MAX(0,ROUND(E153,0)))+MIN(2,MAX(0,ROUND(F153,0)))+MIN(2,MAX(0,ROUND(G153,0)))+MIN(2,MAX(0,ROUND(H153,0))))</f>
        <v/>
      </c>
      <c r="J153" s="4">
        <f>IF(A153="","",IF(I153&lt;=3,"0-3 Foundation: verification habit; building a decision system",IF(I153&lt;=7,"4-7 Volatile: experience-led, swayed by short-term swings; add validation + retros",IF(I153&lt;=10,"8-10 At risk: emotion, analogy and single-point calls dominate","11-12 High risk: reactive pattern, no validation, cash at risk"))))</f>
        <v/>
      </c>
    </row>
    <row r="154">
      <c r="I154" s="3">
        <f>IF(A154="","",MIN(2,MAX(0,ROUND(C154,0)))+MIN(2,MAX(0,ROUND(D154,0)))+MIN(2,MAX(0,ROUND(E154,0)))+MIN(2,MAX(0,ROUND(F154,0)))+MIN(2,MAX(0,ROUND(G154,0)))+MIN(2,MAX(0,ROUND(H154,0))))</f>
        <v/>
      </c>
      <c r="J154" s="4">
        <f>IF(A154="","",IF(I154&lt;=3,"0-3 Foundation: verification habit; building a decision system",IF(I154&lt;=7,"4-7 Volatile: experience-led, swayed by short-term swings; add validation + retros",IF(I154&lt;=10,"8-10 At risk: emotion, analogy and single-point calls dominate","11-12 High risk: reactive pattern, no validation, cash at risk"))))</f>
        <v/>
      </c>
    </row>
    <row r="155">
      <c r="I155" s="3">
        <f>IF(A155="","",MIN(2,MAX(0,ROUND(C155,0)))+MIN(2,MAX(0,ROUND(D155,0)))+MIN(2,MAX(0,ROUND(E155,0)))+MIN(2,MAX(0,ROUND(F155,0)))+MIN(2,MAX(0,ROUND(G155,0)))+MIN(2,MAX(0,ROUND(H155,0))))</f>
        <v/>
      </c>
      <c r="J155" s="4">
        <f>IF(A155="","",IF(I155&lt;=3,"0-3 Foundation: verification habit; building a decision system",IF(I155&lt;=7,"4-7 Volatile: experience-led, swayed by short-term swings; add validation + retros",IF(I155&lt;=10,"8-10 At risk: emotion, analogy and single-point calls dominate","11-12 High risk: reactive pattern, no validation, cash at risk"))))</f>
        <v/>
      </c>
    </row>
    <row r="156">
      <c r="I156" s="3">
        <f>IF(A156="","",MIN(2,MAX(0,ROUND(C156,0)))+MIN(2,MAX(0,ROUND(D156,0)))+MIN(2,MAX(0,ROUND(E156,0)))+MIN(2,MAX(0,ROUND(F156,0)))+MIN(2,MAX(0,ROUND(G156,0)))+MIN(2,MAX(0,ROUND(H156,0))))</f>
        <v/>
      </c>
      <c r="J156" s="4">
        <f>IF(A156="","",IF(I156&lt;=3,"0-3 Foundation: verification habit; building a decision system",IF(I156&lt;=7,"4-7 Volatile: experience-led, swayed by short-term swings; add validation + retros",IF(I156&lt;=10,"8-10 At risk: emotion, analogy and single-point calls dominate","11-12 High risk: reactive pattern, no validation, cash at risk"))))</f>
        <v/>
      </c>
    </row>
    <row r="157">
      <c r="I157" s="3">
        <f>IF(A157="","",MIN(2,MAX(0,ROUND(C157,0)))+MIN(2,MAX(0,ROUND(D157,0)))+MIN(2,MAX(0,ROUND(E157,0)))+MIN(2,MAX(0,ROUND(F157,0)))+MIN(2,MAX(0,ROUND(G157,0)))+MIN(2,MAX(0,ROUND(H157,0))))</f>
        <v/>
      </c>
      <c r="J157" s="4">
        <f>IF(A157="","",IF(I157&lt;=3,"0-3 Foundation: verification habit; building a decision system",IF(I157&lt;=7,"4-7 Volatile: experience-led, swayed by short-term swings; add validation + retros",IF(I157&lt;=10,"8-10 At risk: emotion, analogy and single-point calls dominate","11-12 High risk: reactive pattern, no validation, cash at risk"))))</f>
        <v/>
      </c>
    </row>
    <row r="158">
      <c r="I158" s="3">
        <f>IF(A158="","",MIN(2,MAX(0,ROUND(C158,0)))+MIN(2,MAX(0,ROUND(D158,0)))+MIN(2,MAX(0,ROUND(E158,0)))+MIN(2,MAX(0,ROUND(F158,0)))+MIN(2,MAX(0,ROUND(G158,0)))+MIN(2,MAX(0,ROUND(H158,0))))</f>
        <v/>
      </c>
      <c r="J158" s="4">
        <f>IF(A158="","",IF(I158&lt;=3,"0-3 Foundation: verification habit; building a decision system",IF(I158&lt;=7,"4-7 Volatile: experience-led, swayed by short-term swings; add validation + retros",IF(I158&lt;=10,"8-10 At risk: emotion, analogy and single-point calls dominate","11-12 High risk: reactive pattern, no validation, cash at risk"))))</f>
        <v/>
      </c>
    </row>
    <row r="159">
      <c r="I159" s="3">
        <f>IF(A159="","",MIN(2,MAX(0,ROUND(C159,0)))+MIN(2,MAX(0,ROUND(D159,0)))+MIN(2,MAX(0,ROUND(E159,0)))+MIN(2,MAX(0,ROUND(F159,0)))+MIN(2,MAX(0,ROUND(G159,0)))+MIN(2,MAX(0,ROUND(H159,0))))</f>
        <v/>
      </c>
      <c r="J159" s="4">
        <f>IF(A159="","",IF(I159&lt;=3,"0-3 Foundation: verification habit; building a decision system",IF(I159&lt;=7,"4-7 Volatile: experience-led, swayed by short-term swings; add validation + retros",IF(I159&lt;=10,"8-10 At risk: emotion, analogy and single-point calls dominate","11-12 High risk: reactive pattern, no validation, cash at risk"))))</f>
        <v/>
      </c>
    </row>
    <row r="160">
      <c r="I160" s="3">
        <f>IF(A160="","",MIN(2,MAX(0,ROUND(C160,0)))+MIN(2,MAX(0,ROUND(D160,0)))+MIN(2,MAX(0,ROUND(E160,0)))+MIN(2,MAX(0,ROUND(F160,0)))+MIN(2,MAX(0,ROUND(G160,0)))+MIN(2,MAX(0,ROUND(H160,0))))</f>
        <v/>
      </c>
      <c r="J160" s="4">
        <f>IF(A160="","",IF(I160&lt;=3,"0-3 Foundation: verification habit; building a decision system",IF(I160&lt;=7,"4-7 Volatile: experience-led, swayed by short-term swings; add validation + retros",IF(I160&lt;=10,"8-10 At risk: emotion, analogy and single-point calls dominate","11-12 High risk: reactive pattern, no validation, cash at risk"))))</f>
        <v/>
      </c>
    </row>
    <row r="161">
      <c r="I161" s="3">
        <f>IF(A161="","",MIN(2,MAX(0,ROUND(C161,0)))+MIN(2,MAX(0,ROUND(D161,0)))+MIN(2,MAX(0,ROUND(E161,0)))+MIN(2,MAX(0,ROUND(F161,0)))+MIN(2,MAX(0,ROUND(G161,0)))+MIN(2,MAX(0,ROUND(H161,0))))</f>
        <v/>
      </c>
      <c r="J161" s="4">
        <f>IF(A161="","",IF(I161&lt;=3,"0-3 Foundation: verification habit; building a decision system",IF(I161&lt;=7,"4-7 Volatile: experience-led, swayed by short-term swings; add validation + retros",IF(I161&lt;=10,"8-10 At risk: emotion, analogy and single-point calls dominate","11-12 High risk: reactive pattern, no validation, cash at risk"))))</f>
        <v/>
      </c>
    </row>
    <row r="162">
      <c r="I162" s="3">
        <f>IF(A162="","",MIN(2,MAX(0,ROUND(C162,0)))+MIN(2,MAX(0,ROUND(D162,0)))+MIN(2,MAX(0,ROUND(E162,0)))+MIN(2,MAX(0,ROUND(F162,0)))+MIN(2,MAX(0,ROUND(G162,0)))+MIN(2,MAX(0,ROUND(H162,0))))</f>
        <v/>
      </c>
      <c r="J162" s="4">
        <f>IF(A162="","",IF(I162&lt;=3,"0-3 Foundation: verification habit; building a decision system",IF(I162&lt;=7,"4-7 Volatile: experience-led, swayed by short-term swings; add validation + retros",IF(I162&lt;=10,"8-10 At risk: emotion, analogy and single-point calls dominate","11-12 High risk: reactive pattern, no validation, cash at risk"))))</f>
        <v/>
      </c>
    </row>
    <row r="163">
      <c r="I163" s="3">
        <f>IF(A163="","",MIN(2,MAX(0,ROUND(C163,0)))+MIN(2,MAX(0,ROUND(D163,0)))+MIN(2,MAX(0,ROUND(E163,0)))+MIN(2,MAX(0,ROUND(F163,0)))+MIN(2,MAX(0,ROUND(G163,0)))+MIN(2,MAX(0,ROUND(H163,0))))</f>
        <v/>
      </c>
      <c r="J163" s="4">
        <f>IF(A163="","",IF(I163&lt;=3,"0-3 Foundation: verification habit; building a decision system",IF(I163&lt;=7,"4-7 Volatile: experience-led, swayed by short-term swings; add validation + retros",IF(I163&lt;=10,"8-10 At risk: emotion, analogy and single-point calls dominate","11-12 High risk: reactive pattern, no validation, cash at risk"))))</f>
        <v/>
      </c>
    </row>
    <row r="164">
      <c r="I164" s="3">
        <f>IF(A164="","",MIN(2,MAX(0,ROUND(C164,0)))+MIN(2,MAX(0,ROUND(D164,0)))+MIN(2,MAX(0,ROUND(E164,0)))+MIN(2,MAX(0,ROUND(F164,0)))+MIN(2,MAX(0,ROUND(G164,0)))+MIN(2,MAX(0,ROUND(H164,0))))</f>
        <v/>
      </c>
      <c r="J164" s="4">
        <f>IF(A164="","",IF(I164&lt;=3,"0-3 Foundation: verification habit; building a decision system",IF(I164&lt;=7,"4-7 Volatile: experience-led, swayed by short-term swings; add validation + retros",IF(I164&lt;=10,"8-10 At risk: emotion, analogy and single-point calls dominate","11-12 High risk: reactive pattern, no validation, cash at risk"))))</f>
        <v/>
      </c>
    </row>
    <row r="165">
      <c r="I165" s="3">
        <f>IF(A165="","",MIN(2,MAX(0,ROUND(C165,0)))+MIN(2,MAX(0,ROUND(D165,0)))+MIN(2,MAX(0,ROUND(E165,0)))+MIN(2,MAX(0,ROUND(F165,0)))+MIN(2,MAX(0,ROUND(G165,0)))+MIN(2,MAX(0,ROUND(H165,0))))</f>
        <v/>
      </c>
      <c r="J165" s="4">
        <f>IF(A165="","",IF(I165&lt;=3,"0-3 Foundation: verification habit; building a decision system",IF(I165&lt;=7,"4-7 Volatile: experience-led, swayed by short-term swings; add validation + retros",IF(I165&lt;=10,"8-10 At risk: emotion, analogy and single-point calls dominate","11-12 High risk: reactive pattern, no validation, cash at risk"))))</f>
        <v/>
      </c>
    </row>
    <row r="166">
      <c r="I166" s="3">
        <f>IF(A166="","",MIN(2,MAX(0,ROUND(C166,0)))+MIN(2,MAX(0,ROUND(D166,0)))+MIN(2,MAX(0,ROUND(E166,0)))+MIN(2,MAX(0,ROUND(F166,0)))+MIN(2,MAX(0,ROUND(G166,0)))+MIN(2,MAX(0,ROUND(H166,0))))</f>
        <v/>
      </c>
      <c r="J166" s="4">
        <f>IF(A166="","",IF(I166&lt;=3,"0-3 Foundation: verification habit; building a decision system",IF(I166&lt;=7,"4-7 Volatile: experience-led, swayed by short-term swings; add validation + retros",IF(I166&lt;=10,"8-10 At risk: emotion, analogy and single-point calls dominate","11-12 High risk: reactive pattern, no validation, cash at risk"))))</f>
        <v/>
      </c>
    </row>
    <row r="167">
      <c r="I167" s="3">
        <f>IF(A167="","",MIN(2,MAX(0,ROUND(C167,0)))+MIN(2,MAX(0,ROUND(D167,0)))+MIN(2,MAX(0,ROUND(E167,0)))+MIN(2,MAX(0,ROUND(F167,0)))+MIN(2,MAX(0,ROUND(G167,0)))+MIN(2,MAX(0,ROUND(H167,0))))</f>
        <v/>
      </c>
      <c r="J167" s="4">
        <f>IF(A167="","",IF(I167&lt;=3,"0-3 Foundation: verification habit; building a decision system",IF(I167&lt;=7,"4-7 Volatile: experience-led, swayed by short-term swings; add validation + retros",IF(I167&lt;=10,"8-10 At risk: emotion, analogy and single-point calls dominate","11-12 High risk: reactive pattern, no validation, cash at risk"))))</f>
        <v/>
      </c>
    </row>
    <row r="168">
      <c r="I168" s="3">
        <f>IF(A168="","",MIN(2,MAX(0,ROUND(C168,0)))+MIN(2,MAX(0,ROUND(D168,0)))+MIN(2,MAX(0,ROUND(E168,0)))+MIN(2,MAX(0,ROUND(F168,0)))+MIN(2,MAX(0,ROUND(G168,0)))+MIN(2,MAX(0,ROUND(H168,0))))</f>
        <v/>
      </c>
      <c r="J168" s="4">
        <f>IF(A168="","",IF(I168&lt;=3,"0-3 Foundation: verification habit; building a decision system",IF(I168&lt;=7,"4-7 Volatile: experience-led, swayed by short-term swings; add validation + retros",IF(I168&lt;=10,"8-10 At risk: emotion, analogy and single-point calls dominate","11-12 High risk: reactive pattern, no validation, cash at risk"))))</f>
        <v/>
      </c>
    </row>
    <row r="169">
      <c r="I169" s="3">
        <f>IF(A169="","",MIN(2,MAX(0,ROUND(C169,0)))+MIN(2,MAX(0,ROUND(D169,0)))+MIN(2,MAX(0,ROUND(E169,0)))+MIN(2,MAX(0,ROUND(F169,0)))+MIN(2,MAX(0,ROUND(G169,0)))+MIN(2,MAX(0,ROUND(H169,0))))</f>
        <v/>
      </c>
      <c r="J169" s="4">
        <f>IF(A169="","",IF(I169&lt;=3,"0-3 Foundation: verification habit; building a decision system",IF(I169&lt;=7,"4-7 Volatile: experience-led, swayed by short-term swings; add validation + retros",IF(I169&lt;=10,"8-10 At risk: emotion, analogy and single-point calls dominate","11-12 High risk: reactive pattern, no validation, cash at risk"))))</f>
        <v/>
      </c>
    </row>
    <row r="170">
      <c r="I170" s="3">
        <f>IF(A170="","",MIN(2,MAX(0,ROUND(C170,0)))+MIN(2,MAX(0,ROUND(D170,0)))+MIN(2,MAX(0,ROUND(E170,0)))+MIN(2,MAX(0,ROUND(F170,0)))+MIN(2,MAX(0,ROUND(G170,0)))+MIN(2,MAX(0,ROUND(H170,0))))</f>
        <v/>
      </c>
      <c r="J170" s="4">
        <f>IF(A170="","",IF(I170&lt;=3,"0-3 Foundation: verification habit; building a decision system",IF(I170&lt;=7,"4-7 Volatile: experience-led, swayed by short-term swings; add validation + retros",IF(I170&lt;=10,"8-10 At risk: emotion, analogy and single-point calls dominate","11-12 High risk: reactive pattern, no validation, cash at risk"))))</f>
        <v/>
      </c>
    </row>
    <row r="171">
      <c r="I171" s="3">
        <f>IF(A171="","",MIN(2,MAX(0,ROUND(C171,0)))+MIN(2,MAX(0,ROUND(D171,0)))+MIN(2,MAX(0,ROUND(E171,0)))+MIN(2,MAX(0,ROUND(F171,0)))+MIN(2,MAX(0,ROUND(G171,0)))+MIN(2,MAX(0,ROUND(H171,0))))</f>
        <v/>
      </c>
      <c r="J171" s="4">
        <f>IF(A171="","",IF(I171&lt;=3,"0-3 Foundation: verification habit; building a decision system",IF(I171&lt;=7,"4-7 Volatile: experience-led, swayed by short-term swings; add validation + retros",IF(I171&lt;=10,"8-10 At risk: emotion, analogy and single-point calls dominate","11-12 High risk: reactive pattern, no validation, cash at risk"))))</f>
        <v/>
      </c>
    </row>
    <row r="172">
      <c r="I172" s="3">
        <f>IF(A172="","",MIN(2,MAX(0,ROUND(C172,0)))+MIN(2,MAX(0,ROUND(D172,0)))+MIN(2,MAX(0,ROUND(E172,0)))+MIN(2,MAX(0,ROUND(F172,0)))+MIN(2,MAX(0,ROUND(G172,0)))+MIN(2,MAX(0,ROUND(H172,0))))</f>
        <v/>
      </c>
      <c r="J172" s="4">
        <f>IF(A172="","",IF(I172&lt;=3,"0-3 Foundation: verification habit; building a decision system",IF(I172&lt;=7,"4-7 Volatile: experience-led, swayed by short-term swings; add validation + retros",IF(I172&lt;=10,"8-10 At risk: emotion, analogy and single-point calls dominate","11-12 High risk: reactive pattern, no validation, cash at risk"))))</f>
        <v/>
      </c>
    </row>
    <row r="173">
      <c r="I173" s="3">
        <f>IF(A173="","",MIN(2,MAX(0,ROUND(C173,0)))+MIN(2,MAX(0,ROUND(D173,0)))+MIN(2,MAX(0,ROUND(E173,0)))+MIN(2,MAX(0,ROUND(F173,0)))+MIN(2,MAX(0,ROUND(G173,0)))+MIN(2,MAX(0,ROUND(H173,0))))</f>
        <v/>
      </c>
      <c r="J173" s="4">
        <f>IF(A173="","",IF(I173&lt;=3,"0-3 Foundation: verification habit; building a decision system",IF(I173&lt;=7,"4-7 Volatile: experience-led, swayed by short-term swings; add validation + retros",IF(I173&lt;=10,"8-10 At risk: emotion, analogy and single-point calls dominate","11-12 High risk: reactive pattern, no validation, cash at risk"))))</f>
        <v/>
      </c>
    </row>
    <row r="174">
      <c r="I174" s="3">
        <f>IF(A174="","",MIN(2,MAX(0,ROUND(C174,0)))+MIN(2,MAX(0,ROUND(D174,0)))+MIN(2,MAX(0,ROUND(E174,0)))+MIN(2,MAX(0,ROUND(F174,0)))+MIN(2,MAX(0,ROUND(G174,0)))+MIN(2,MAX(0,ROUND(H174,0))))</f>
        <v/>
      </c>
      <c r="J174" s="4">
        <f>IF(A174="","",IF(I174&lt;=3,"0-3 Foundation: verification habit; building a decision system",IF(I174&lt;=7,"4-7 Volatile: experience-led, swayed by short-term swings; add validation + retros",IF(I174&lt;=10,"8-10 At risk: emotion, analogy and single-point calls dominate","11-12 High risk: reactive pattern, no validation, cash at risk"))))</f>
        <v/>
      </c>
    </row>
    <row r="175">
      <c r="I175" s="3">
        <f>IF(A175="","",MIN(2,MAX(0,ROUND(C175,0)))+MIN(2,MAX(0,ROUND(D175,0)))+MIN(2,MAX(0,ROUND(E175,0)))+MIN(2,MAX(0,ROUND(F175,0)))+MIN(2,MAX(0,ROUND(G175,0)))+MIN(2,MAX(0,ROUND(H175,0))))</f>
        <v/>
      </c>
      <c r="J175" s="4">
        <f>IF(A175="","",IF(I175&lt;=3,"0-3 Foundation: verification habit; building a decision system",IF(I175&lt;=7,"4-7 Volatile: experience-led, swayed by short-term swings; add validation + retros",IF(I175&lt;=10,"8-10 At risk: emotion, analogy and single-point calls dominate","11-12 High risk: reactive pattern, no validation, cash at risk"))))</f>
        <v/>
      </c>
    </row>
    <row r="176">
      <c r="I176" s="3">
        <f>IF(A176="","",MIN(2,MAX(0,ROUND(C176,0)))+MIN(2,MAX(0,ROUND(D176,0)))+MIN(2,MAX(0,ROUND(E176,0)))+MIN(2,MAX(0,ROUND(F176,0)))+MIN(2,MAX(0,ROUND(G176,0)))+MIN(2,MAX(0,ROUND(H176,0))))</f>
        <v/>
      </c>
      <c r="J176" s="4">
        <f>IF(A176="","",IF(I176&lt;=3,"0-3 Foundation: verification habit; building a decision system",IF(I176&lt;=7,"4-7 Volatile: experience-led, swayed by short-term swings; add validation + retros",IF(I176&lt;=10,"8-10 At risk: emotion, analogy and single-point calls dominate","11-12 High risk: reactive pattern, no validation, cash at risk"))))</f>
        <v/>
      </c>
    </row>
    <row r="177">
      <c r="I177" s="3">
        <f>IF(A177="","",MIN(2,MAX(0,ROUND(C177,0)))+MIN(2,MAX(0,ROUND(D177,0)))+MIN(2,MAX(0,ROUND(E177,0)))+MIN(2,MAX(0,ROUND(F177,0)))+MIN(2,MAX(0,ROUND(G177,0)))+MIN(2,MAX(0,ROUND(H177,0))))</f>
        <v/>
      </c>
      <c r="J177" s="4">
        <f>IF(A177="","",IF(I177&lt;=3,"0-3 Foundation: verification habit; building a decision system",IF(I177&lt;=7,"4-7 Volatile: experience-led, swayed by short-term swings; add validation + retros",IF(I177&lt;=10,"8-10 At risk: emotion, analogy and single-point calls dominate","11-12 High risk: reactive pattern, no validation, cash at risk"))))</f>
        <v/>
      </c>
    </row>
    <row r="178">
      <c r="I178" s="3">
        <f>IF(A178="","",MIN(2,MAX(0,ROUND(C178,0)))+MIN(2,MAX(0,ROUND(D178,0)))+MIN(2,MAX(0,ROUND(E178,0)))+MIN(2,MAX(0,ROUND(F178,0)))+MIN(2,MAX(0,ROUND(G178,0)))+MIN(2,MAX(0,ROUND(H178,0))))</f>
        <v/>
      </c>
      <c r="J178" s="4">
        <f>IF(A178="","",IF(I178&lt;=3,"0-3 Foundation: verification habit; building a decision system",IF(I178&lt;=7,"4-7 Volatile: experience-led, swayed by short-term swings; add validation + retros",IF(I178&lt;=10,"8-10 At risk: emotion, analogy and single-point calls dominate","11-12 High risk: reactive pattern, no validation, cash at risk"))))</f>
        <v/>
      </c>
    </row>
    <row r="179">
      <c r="I179" s="3">
        <f>IF(A179="","",MIN(2,MAX(0,ROUND(C179,0)))+MIN(2,MAX(0,ROUND(D179,0)))+MIN(2,MAX(0,ROUND(E179,0)))+MIN(2,MAX(0,ROUND(F179,0)))+MIN(2,MAX(0,ROUND(G179,0)))+MIN(2,MAX(0,ROUND(H179,0))))</f>
        <v/>
      </c>
      <c r="J179" s="4">
        <f>IF(A179="","",IF(I179&lt;=3,"0-3 Foundation: verification habit; building a decision system",IF(I179&lt;=7,"4-7 Volatile: experience-led, swayed by short-term swings; add validation + retros",IF(I179&lt;=10,"8-10 At risk: emotion, analogy and single-point calls dominate","11-12 High risk: reactive pattern, no validation, cash at risk"))))</f>
        <v/>
      </c>
    </row>
    <row r="180">
      <c r="I180" s="3">
        <f>IF(A180="","",MIN(2,MAX(0,ROUND(C180,0)))+MIN(2,MAX(0,ROUND(D180,0)))+MIN(2,MAX(0,ROUND(E180,0)))+MIN(2,MAX(0,ROUND(F180,0)))+MIN(2,MAX(0,ROUND(G180,0)))+MIN(2,MAX(0,ROUND(H180,0))))</f>
        <v/>
      </c>
      <c r="J180" s="4">
        <f>IF(A180="","",IF(I180&lt;=3,"0-3 Foundation: verification habit; building a decision system",IF(I180&lt;=7,"4-7 Volatile: experience-led, swayed by short-term swings; add validation + retros",IF(I180&lt;=10,"8-10 At risk: emotion, analogy and single-point calls dominate","11-12 High risk: reactive pattern, no validation, cash at risk"))))</f>
        <v/>
      </c>
    </row>
    <row r="181">
      <c r="I181" s="3">
        <f>IF(A181="","",MIN(2,MAX(0,ROUND(C181,0)))+MIN(2,MAX(0,ROUND(D181,0)))+MIN(2,MAX(0,ROUND(E181,0)))+MIN(2,MAX(0,ROUND(F181,0)))+MIN(2,MAX(0,ROUND(G181,0)))+MIN(2,MAX(0,ROUND(H181,0))))</f>
        <v/>
      </c>
      <c r="J181" s="4">
        <f>IF(A181="","",IF(I181&lt;=3,"0-3 Foundation: verification habit; building a decision system",IF(I181&lt;=7,"4-7 Volatile: experience-led, swayed by short-term swings; add validation + retros",IF(I181&lt;=10,"8-10 At risk: emotion, analogy and single-point calls dominate","11-12 High risk: reactive pattern, no validation, cash at risk"))))</f>
        <v/>
      </c>
    </row>
    <row r="182">
      <c r="I182" s="3">
        <f>IF(A182="","",MIN(2,MAX(0,ROUND(C182,0)))+MIN(2,MAX(0,ROUND(D182,0)))+MIN(2,MAX(0,ROUND(E182,0)))+MIN(2,MAX(0,ROUND(F182,0)))+MIN(2,MAX(0,ROUND(G182,0)))+MIN(2,MAX(0,ROUND(H182,0))))</f>
        <v/>
      </c>
      <c r="J182" s="4">
        <f>IF(A182="","",IF(I182&lt;=3,"0-3 Foundation: verification habit; building a decision system",IF(I182&lt;=7,"4-7 Volatile: experience-led, swayed by short-term swings; add validation + retros",IF(I182&lt;=10,"8-10 At risk: emotion, analogy and single-point calls dominate","11-12 High risk: reactive pattern, no validation, cash at risk"))))</f>
        <v/>
      </c>
    </row>
    <row r="183">
      <c r="I183" s="3">
        <f>IF(A183="","",MIN(2,MAX(0,ROUND(C183,0)))+MIN(2,MAX(0,ROUND(D183,0)))+MIN(2,MAX(0,ROUND(E183,0)))+MIN(2,MAX(0,ROUND(F183,0)))+MIN(2,MAX(0,ROUND(G183,0)))+MIN(2,MAX(0,ROUND(H183,0))))</f>
        <v/>
      </c>
      <c r="J183" s="4">
        <f>IF(A183="","",IF(I183&lt;=3,"0-3 Foundation: verification habit; building a decision system",IF(I183&lt;=7,"4-7 Volatile: experience-led, swayed by short-term swings; add validation + retros",IF(I183&lt;=10,"8-10 At risk: emotion, analogy and single-point calls dominate","11-12 High risk: reactive pattern, no validation, cash at risk"))))</f>
        <v/>
      </c>
    </row>
    <row r="184">
      <c r="I184" s="3">
        <f>IF(A184="","",MIN(2,MAX(0,ROUND(C184,0)))+MIN(2,MAX(0,ROUND(D184,0)))+MIN(2,MAX(0,ROUND(E184,0)))+MIN(2,MAX(0,ROUND(F184,0)))+MIN(2,MAX(0,ROUND(G184,0)))+MIN(2,MAX(0,ROUND(H184,0))))</f>
        <v/>
      </c>
      <c r="J184" s="4">
        <f>IF(A184="","",IF(I184&lt;=3,"0-3 Foundation: verification habit; building a decision system",IF(I184&lt;=7,"4-7 Volatile: experience-led, swayed by short-term swings; add validation + retros",IF(I184&lt;=10,"8-10 At risk: emotion, analogy and single-point calls dominate","11-12 High risk: reactive pattern, no validation, cash at risk"))))</f>
        <v/>
      </c>
    </row>
    <row r="185">
      <c r="I185" s="3">
        <f>IF(A185="","",MIN(2,MAX(0,ROUND(C185,0)))+MIN(2,MAX(0,ROUND(D185,0)))+MIN(2,MAX(0,ROUND(E185,0)))+MIN(2,MAX(0,ROUND(F185,0)))+MIN(2,MAX(0,ROUND(G185,0)))+MIN(2,MAX(0,ROUND(H185,0))))</f>
        <v/>
      </c>
      <c r="J185" s="4">
        <f>IF(A185="","",IF(I185&lt;=3,"0-3 Foundation: verification habit; building a decision system",IF(I185&lt;=7,"4-7 Volatile: experience-led, swayed by short-term swings; add validation + retros",IF(I185&lt;=10,"8-10 At risk: emotion, analogy and single-point calls dominate","11-12 High risk: reactive pattern, no validation, cash at risk"))))</f>
        <v/>
      </c>
    </row>
    <row r="186">
      <c r="I186" s="3">
        <f>IF(A186="","",MIN(2,MAX(0,ROUND(C186,0)))+MIN(2,MAX(0,ROUND(D186,0)))+MIN(2,MAX(0,ROUND(E186,0)))+MIN(2,MAX(0,ROUND(F186,0)))+MIN(2,MAX(0,ROUND(G186,0)))+MIN(2,MAX(0,ROUND(H186,0))))</f>
        <v/>
      </c>
      <c r="J186" s="4">
        <f>IF(A186="","",IF(I186&lt;=3,"0-3 Foundation: verification habit; building a decision system",IF(I186&lt;=7,"4-7 Volatile: experience-led, swayed by short-term swings; add validation + retros",IF(I186&lt;=10,"8-10 At risk: emotion, analogy and single-point calls dominate","11-12 High risk: reactive pattern, no validation, cash at risk"))))</f>
        <v/>
      </c>
    </row>
    <row r="187">
      <c r="I187" s="3">
        <f>IF(A187="","",MIN(2,MAX(0,ROUND(C187,0)))+MIN(2,MAX(0,ROUND(D187,0)))+MIN(2,MAX(0,ROUND(E187,0)))+MIN(2,MAX(0,ROUND(F187,0)))+MIN(2,MAX(0,ROUND(G187,0)))+MIN(2,MAX(0,ROUND(H187,0))))</f>
        <v/>
      </c>
      <c r="J187" s="4">
        <f>IF(A187="","",IF(I187&lt;=3,"0-3 Foundation: verification habit; building a decision system",IF(I187&lt;=7,"4-7 Volatile: experience-led, swayed by short-term swings; add validation + retros",IF(I187&lt;=10,"8-10 At risk: emotion, analogy and single-point calls dominate","11-12 High risk: reactive pattern, no validation, cash at risk"))))</f>
        <v/>
      </c>
    </row>
    <row r="188">
      <c r="I188" s="3">
        <f>IF(A188="","",MIN(2,MAX(0,ROUND(C188,0)))+MIN(2,MAX(0,ROUND(D188,0)))+MIN(2,MAX(0,ROUND(E188,0)))+MIN(2,MAX(0,ROUND(F188,0)))+MIN(2,MAX(0,ROUND(G188,0)))+MIN(2,MAX(0,ROUND(H188,0))))</f>
        <v/>
      </c>
      <c r="J188" s="4">
        <f>IF(A188="","",IF(I188&lt;=3,"0-3 Foundation: verification habit; building a decision system",IF(I188&lt;=7,"4-7 Volatile: experience-led, swayed by short-term swings; add validation + retros",IF(I188&lt;=10,"8-10 At risk: emotion, analogy and single-point calls dominate","11-12 High risk: reactive pattern, no validation, cash at risk"))))</f>
        <v/>
      </c>
    </row>
    <row r="189">
      <c r="I189" s="3">
        <f>IF(A189="","",MIN(2,MAX(0,ROUND(C189,0)))+MIN(2,MAX(0,ROUND(D189,0)))+MIN(2,MAX(0,ROUND(E189,0)))+MIN(2,MAX(0,ROUND(F189,0)))+MIN(2,MAX(0,ROUND(G189,0)))+MIN(2,MAX(0,ROUND(H189,0))))</f>
        <v/>
      </c>
      <c r="J189" s="4">
        <f>IF(A189="","",IF(I189&lt;=3,"0-3 Foundation: verification habit; building a decision system",IF(I189&lt;=7,"4-7 Volatile: experience-led, swayed by short-term swings; add validation + retros",IF(I189&lt;=10,"8-10 At risk: emotion, analogy and single-point calls dominate","11-12 High risk: reactive pattern, no validation, cash at risk"))))</f>
        <v/>
      </c>
    </row>
    <row r="190">
      <c r="I190" s="3">
        <f>IF(A190="","",MIN(2,MAX(0,ROUND(C190,0)))+MIN(2,MAX(0,ROUND(D190,0)))+MIN(2,MAX(0,ROUND(E190,0)))+MIN(2,MAX(0,ROUND(F190,0)))+MIN(2,MAX(0,ROUND(G190,0)))+MIN(2,MAX(0,ROUND(H190,0))))</f>
        <v/>
      </c>
      <c r="J190" s="4">
        <f>IF(A190="","",IF(I190&lt;=3,"0-3 Foundation: verification habit; building a decision system",IF(I190&lt;=7,"4-7 Volatile: experience-led, swayed by short-term swings; add validation + retros",IF(I190&lt;=10,"8-10 At risk: emotion, analogy and single-point calls dominate","11-12 High risk: reactive pattern, no validation, cash at risk"))))</f>
        <v/>
      </c>
    </row>
    <row r="191">
      <c r="I191" s="3">
        <f>IF(A191="","",MIN(2,MAX(0,ROUND(C191,0)))+MIN(2,MAX(0,ROUND(D191,0)))+MIN(2,MAX(0,ROUND(E191,0)))+MIN(2,MAX(0,ROUND(F191,0)))+MIN(2,MAX(0,ROUND(G191,0)))+MIN(2,MAX(0,ROUND(H191,0))))</f>
        <v/>
      </c>
      <c r="J191" s="4">
        <f>IF(A191="","",IF(I191&lt;=3,"0-3 Foundation: verification habit; building a decision system",IF(I191&lt;=7,"4-7 Volatile: experience-led, swayed by short-term swings; add validation + retros",IF(I191&lt;=10,"8-10 At risk: emotion, analogy and single-point calls dominate","11-12 High risk: reactive pattern, no validation, cash at risk"))))</f>
        <v/>
      </c>
    </row>
    <row r="192">
      <c r="I192" s="3">
        <f>IF(A192="","",MIN(2,MAX(0,ROUND(C192,0)))+MIN(2,MAX(0,ROUND(D192,0)))+MIN(2,MAX(0,ROUND(E192,0)))+MIN(2,MAX(0,ROUND(F192,0)))+MIN(2,MAX(0,ROUND(G192,0)))+MIN(2,MAX(0,ROUND(H192,0))))</f>
        <v/>
      </c>
      <c r="J192" s="4">
        <f>IF(A192="","",IF(I192&lt;=3,"0-3 Foundation: verification habit; building a decision system",IF(I192&lt;=7,"4-7 Volatile: experience-led, swayed by short-term swings; add validation + retros",IF(I192&lt;=10,"8-10 At risk: emotion, analogy and single-point calls dominate","11-12 High risk: reactive pattern, no validation, cash at risk"))))</f>
        <v/>
      </c>
    </row>
    <row r="193">
      <c r="I193" s="3">
        <f>IF(A193="","",MIN(2,MAX(0,ROUND(C193,0)))+MIN(2,MAX(0,ROUND(D193,0)))+MIN(2,MAX(0,ROUND(E193,0)))+MIN(2,MAX(0,ROUND(F193,0)))+MIN(2,MAX(0,ROUND(G193,0)))+MIN(2,MAX(0,ROUND(H193,0))))</f>
        <v/>
      </c>
      <c r="J193" s="4">
        <f>IF(A193="","",IF(I193&lt;=3,"0-3 Foundation: verification habit; building a decision system",IF(I193&lt;=7,"4-7 Volatile: experience-led, swayed by short-term swings; add validation + retros",IF(I193&lt;=10,"8-10 At risk: emotion, analogy and single-point calls dominate","11-12 High risk: reactive pattern, no validation, cash at risk"))))</f>
        <v/>
      </c>
    </row>
    <row r="194">
      <c r="I194" s="3">
        <f>IF(A194="","",MIN(2,MAX(0,ROUND(C194,0)))+MIN(2,MAX(0,ROUND(D194,0)))+MIN(2,MAX(0,ROUND(E194,0)))+MIN(2,MAX(0,ROUND(F194,0)))+MIN(2,MAX(0,ROUND(G194,0)))+MIN(2,MAX(0,ROUND(H194,0))))</f>
        <v/>
      </c>
      <c r="J194" s="4">
        <f>IF(A194="","",IF(I194&lt;=3,"0-3 Foundation: verification habit; building a decision system",IF(I194&lt;=7,"4-7 Volatile: experience-led, swayed by short-term swings; add validation + retros",IF(I194&lt;=10,"8-10 At risk: emotion, analogy and single-point calls dominate","11-12 High risk: reactive pattern, no validation, cash at risk"))))</f>
        <v/>
      </c>
    </row>
    <row r="195">
      <c r="I195" s="3">
        <f>IF(A195="","",MIN(2,MAX(0,ROUND(C195,0)))+MIN(2,MAX(0,ROUND(D195,0)))+MIN(2,MAX(0,ROUND(E195,0)))+MIN(2,MAX(0,ROUND(F195,0)))+MIN(2,MAX(0,ROUND(G195,0)))+MIN(2,MAX(0,ROUND(H195,0))))</f>
        <v/>
      </c>
      <c r="J195" s="4">
        <f>IF(A195="","",IF(I195&lt;=3,"0-3 Foundation: verification habit; building a decision system",IF(I195&lt;=7,"4-7 Volatile: experience-led, swayed by short-term swings; add validation + retros",IF(I195&lt;=10,"8-10 At risk: emotion, analogy and single-point calls dominate","11-12 High risk: reactive pattern, no validation, cash at risk"))))</f>
        <v/>
      </c>
    </row>
    <row r="196">
      <c r="I196" s="3">
        <f>IF(A196="","",MIN(2,MAX(0,ROUND(C196,0)))+MIN(2,MAX(0,ROUND(D196,0)))+MIN(2,MAX(0,ROUND(E196,0)))+MIN(2,MAX(0,ROUND(F196,0)))+MIN(2,MAX(0,ROUND(G196,0)))+MIN(2,MAX(0,ROUND(H196,0))))</f>
        <v/>
      </c>
      <c r="J196" s="4">
        <f>IF(A196="","",IF(I196&lt;=3,"0-3 Foundation: verification habit; building a decision system",IF(I196&lt;=7,"4-7 Volatile: experience-led, swayed by short-term swings; add validation + retros",IF(I196&lt;=10,"8-10 At risk: emotion, analogy and single-point calls dominate","11-12 High risk: reactive pattern, no validation, cash at risk"))))</f>
        <v/>
      </c>
    </row>
    <row r="197">
      <c r="I197" s="3">
        <f>IF(A197="","",MIN(2,MAX(0,ROUND(C197,0)))+MIN(2,MAX(0,ROUND(D197,0)))+MIN(2,MAX(0,ROUND(E197,0)))+MIN(2,MAX(0,ROUND(F197,0)))+MIN(2,MAX(0,ROUND(G197,0)))+MIN(2,MAX(0,ROUND(H197,0))))</f>
        <v/>
      </c>
      <c r="J197" s="4">
        <f>IF(A197="","",IF(I197&lt;=3,"0-3 Foundation: verification habit; building a decision system",IF(I197&lt;=7,"4-7 Volatile: experience-led, swayed by short-term swings; add validation + retros",IF(I197&lt;=10,"8-10 At risk: emotion, analogy and single-point calls dominate","11-12 High risk: reactive pattern, no validation, cash at risk"))))</f>
        <v/>
      </c>
    </row>
    <row r="198">
      <c r="I198" s="3">
        <f>IF(A198="","",MIN(2,MAX(0,ROUND(C198,0)))+MIN(2,MAX(0,ROUND(D198,0)))+MIN(2,MAX(0,ROUND(E198,0)))+MIN(2,MAX(0,ROUND(F198,0)))+MIN(2,MAX(0,ROUND(G198,0)))+MIN(2,MAX(0,ROUND(H198,0))))</f>
        <v/>
      </c>
      <c r="J198" s="4">
        <f>IF(A198="","",IF(I198&lt;=3,"0-3 Foundation: verification habit; building a decision system",IF(I198&lt;=7,"4-7 Volatile: experience-led, swayed by short-term swings; add validation + retros",IF(I198&lt;=10,"8-10 At risk: emotion, analogy and single-point calls dominate","11-12 High risk: reactive pattern, no validation, cash at risk"))))</f>
        <v/>
      </c>
    </row>
    <row r="199">
      <c r="I199" s="3">
        <f>IF(A199="","",MIN(2,MAX(0,ROUND(C199,0)))+MIN(2,MAX(0,ROUND(D199,0)))+MIN(2,MAX(0,ROUND(E199,0)))+MIN(2,MAX(0,ROUND(F199,0)))+MIN(2,MAX(0,ROUND(G199,0)))+MIN(2,MAX(0,ROUND(H199,0))))</f>
        <v/>
      </c>
      <c r="J199" s="4">
        <f>IF(A199="","",IF(I199&lt;=3,"0-3 Foundation: verification habit; building a decision system",IF(I199&lt;=7,"4-7 Volatile: experience-led, swayed by short-term swings; add validation + retros",IF(I199&lt;=10,"8-10 At risk: emotion, analogy and single-point calls dominate","11-12 High risk: reactive pattern, no validation, cash at risk"))))</f>
        <v/>
      </c>
    </row>
    <row r="200">
      <c r="I200" s="3">
        <f>IF(A200="","",MIN(2,MAX(0,ROUND(C200,0)))+MIN(2,MAX(0,ROUND(D200,0)))+MIN(2,MAX(0,ROUND(E200,0)))+MIN(2,MAX(0,ROUND(F200,0)))+MIN(2,MAX(0,ROUND(G200,0)))+MIN(2,MAX(0,ROUND(H200,0))))</f>
        <v/>
      </c>
      <c r="J200" s="4">
        <f>IF(A200="","",IF(I200&lt;=3,"0-3 Foundation: verification habit; building a decision system",IF(I200&lt;=7,"4-7 Volatile: experience-led, swayed by short-term swings; add validation + retros",IF(I200&lt;=10,"8-10 At risk: emotion, analogy and single-point calls dominate","11-12 High risk: reactive pattern, no validation, cash at risk"))))</f>
        <v/>
      </c>
    </row>
    <row r="201">
      <c r="I201" s="3">
        <f>IF(A201="","",MIN(2,MAX(0,ROUND(C201,0)))+MIN(2,MAX(0,ROUND(D201,0)))+MIN(2,MAX(0,ROUND(E201,0)))+MIN(2,MAX(0,ROUND(F201,0)))+MIN(2,MAX(0,ROUND(G201,0)))+MIN(2,MAX(0,ROUND(H201,0))))</f>
        <v/>
      </c>
      <c r="J201" s="4">
        <f>IF(A201="","",IF(I201&lt;=3,"0-3 Foundation: verification habit; building a decision system",IF(I201&lt;=7,"4-7 Volatile: experience-led, swayed by short-term swings; add validation + retros",IF(I201&lt;=10,"8-10 At risk: emotion, analogy and single-point calls dominate","11-12 High risk: reactive pattern, no validation, cash at risk"))))</f>
        <v/>
      </c>
    </row>
    <row r="203">
      <c r="A203" s="5">
        <f>COUNTA(A2:A201)</f>
        <v/>
      </c>
    </row>
    <row r="205">
      <c r="A205" s="5" t="inlineStr">
        <is>
          <t>Average score (/12, lower is better)</t>
        </is>
      </c>
      <c r="B205" s="6">
        <f>IFERROR(SUM(I2:I201)/COUNTA(A2:A201),0)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aiOS Grok Edition · Owner Self-Check (decision habits)</t>
        </is>
      </c>
    </row>
    <row r="2">
      <c r="A2" t="inlineStr">
        <is>
          <t>Score one live project on real behavior, not ability: 0 never, 1 sometimes, 2 often, for each of the six traps. Lower is better. Re-score monthly and fix the highest trap first.</t>
        </is>
      </c>
    </row>
    <row r="3">
      <c r="A3" t="inlineStr">
        <is>
          <t>Module 00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2026-10-16T12:09:09Z</dcterms:created>
  <dcterms:modified xmlns:dcterms="http://purl.org/dc/terms/" xmlns:xsi="http://www.w3.org/2001/XMLSchema-instance" xsi:type="dcterms:W3CDTF">2026-10-16T12:09:09Z</dcterms:modified>
</cp:coreProperties>
</file>